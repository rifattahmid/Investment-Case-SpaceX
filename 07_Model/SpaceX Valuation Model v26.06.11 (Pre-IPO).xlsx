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Personal Finances\4-Trades &amp; Investments\Valuation Models\$SPCX - Space Exploration Technologies Corp\07_Model\"/>
    </mc:Choice>
  </mc:AlternateContent>
  <xr:revisionPtr revIDLastSave="0" documentId="13_ncr:1_{D9443D32-AFD5-471E-863C-0D8F8F8A4D47}" xr6:coauthVersionLast="47" xr6:coauthVersionMax="47" xr10:uidLastSave="{00000000-0000-0000-0000-000000000000}"/>
  <bookViews>
    <workbookView xWindow="-108" yWindow="-108" windowWidth="23256" windowHeight="13896" tabRatio="877" xr2:uid="{80111FE1-D860-9C46-9D05-D269D00C2A2F}"/>
  </bookViews>
  <sheets>
    <sheet name="Exec Summary" sheetId="27" r:id="rId1"/>
    <sheet name="COVER" sheetId="16" r:id="rId2"/>
    <sheet name="SOTP" sheetId="11" r:id="rId3"/>
    <sheet name="Conn DCF" sheetId="12" r:id="rId4"/>
    <sheet name="Space DCF" sheetId="13" r:id="rId5"/>
    <sheet name="AI DCF" sheetId="14" r:id="rId6"/>
    <sheet name="WACC" sheetId="15" r:id="rId7"/>
    <sheet name="Ratios" sheetId="20" r:id="rId8"/>
    <sheet name="Graphs" sheetId="19" r:id="rId9"/>
    <sheet name="Conn Comps" sheetId="23" r:id="rId10"/>
    <sheet name="Space Comps" sheetId="24" r:id="rId11"/>
    <sheet name="AI Comps" sheetId="25" r:id="rId12"/>
    <sheet name="Actuals" sheetId="21" r:id="rId13"/>
    <sheet name="Historicals" sheetId="26" r:id="rId1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1" l="1"/>
  <c r="D79" i="14"/>
  <c r="B79" i="14"/>
  <c r="F9" i="11"/>
  <c r="F8" i="11"/>
  <c r="D79" i="13"/>
  <c r="D79" i="12"/>
  <c r="X42" i="25"/>
  <c r="V42" i="25"/>
  <c r="T42" i="25"/>
  <c r="R42" i="25"/>
  <c r="K42" i="25"/>
  <c r="J42" i="25"/>
  <c r="C70" i="16"/>
  <c r="B70" i="16"/>
  <c r="E23" i="21"/>
  <c r="E22" i="21"/>
  <c r="E21" i="21"/>
  <c r="E20" i="21"/>
  <c r="D23" i="21"/>
  <c r="D22" i="21"/>
  <c r="D21" i="21"/>
  <c r="D20" i="21"/>
  <c r="C23" i="21"/>
  <c r="C22" i="21"/>
  <c r="C21" i="21"/>
  <c r="C20" i="21"/>
  <c r="B51" i="27"/>
  <c r="B50" i="27"/>
  <c r="B49" i="27"/>
  <c r="B48" i="27"/>
  <c r="C47" i="27"/>
  <c r="B47" i="27"/>
  <c r="C46" i="27"/>
  <c r="B46" i="27"/>
  <c r="C45" i="27"/>
  <c r="B45" i="27"/>
  <c r="C44" i="27"/>
  <c r="B44" i="27"/>
  <c r="B39" i="27"/>
  <c r="B38" i="27"/>
  <c r="B37" i="27"/>
  <c r="D36" i="27"/>
  <c r="C36" i="27"/>
  <c r="B36" i="27"/>
  <c r="E28" i="27"/>
  <c r="E27" i="27"/>
  <c r="E26" i="27"/>
  <c r="A2" i="27"/>
  <c r="B21" i="27"/>
  <c r="B19" i="27"/>
  <c r="C19" i="27" s="1"/>
  <c r="F103" i="26"/>
  <c r="D103" i="26"/>
  <c r="C103" i="26"/>
  <c r="F101" i="26"/>
  <c r="D101" i="26"/>
  <c r="C101" i="26"/>
  <c r="F100" i="26"/>
  <c r="D100" i="26"/>
  <c r="C100" i="26"/>
  <c r="F99" i="26"/>
  <c r="D99" i="26"/>
  <c r="C99" i="26"/>
  <c r="F98" i="26"/>
  <c r="D98" i="26"/>
  <c r="C98" i="26"/>
  <c r="F97" i="26"/>
  <c r="D97" i="26"/>
  <c r="C97" i="26"/>
  <c r="F85" i="26"/>
  <c r="E85" i="26"/>
  <c r="D85" i="26"/>
  <c r="C85" i="26"/>
  <c r="B85" i="26"/>
  <c r="D79" i="26"/>
  <c r="D80" i="26" s="1"/>
  <c r="C79" i="26"/>
  <c r="C80" i="26" s="1"/>
  <c r="F64" i="26"/>
  <c r="E64" i="26"/>
  <c r="F63" i="26"/>
  <c r="F102" i="26" s="1"/>
  <c r="E63" i="26"/>
  <c r="D63" i="26"/>
  <c r="D64" i="26" s="1"/>
  <c r="C63" i="26"/>
  <c r="C64" i="26" s="1"/>
  <c r="B63" i="26"/>
  <c r="B64" i="26" s="1"/>
  <c r="F57" i="26"/>
  <c r="D57" i="26"/>
  <c r="C57" i="26"/>
  <c r="C51" i="26"/>
  <c r="B51" i="26"/>
  <c r="F50" i="26"/>
  <c r="F51" i="26" s="1"/>
  <c r="E50" i="26"/>
  <c r="E51" i="26" s="1"/>
  <c r="D50" i="26"/>
  <c r="D51" i="26" s="1"/>
  <c r="C50" i="26"/>
  <c r="B50" i="26"/>
  <c r="F44" i="26"/>
  <c r="E44" i="26"/>
  <c r="D44" i="26"/>
  <c r="C44" i="26"/>
  <c r="B44" i="26"/>
  <c r="F37" i="26"/>
  <c r="E37" i="26"/>
  <c r="D37" i="26"/>
  <c r="C37" i="26"/>
  <c r="B37" i="26"/>
  <c r="F15" i="26"/>
  <c r="F17" i="26" s="1"/>
  <c r="E15" i="26"/>
  <c r="E17" i="26" s="1"/>
  <c r="D15" i="26"/>
  <c r="D17" i="26" s="1"/>
  <c r="C15" i="26"/>
  <c r="C17" i="26" s="1"/>
  <c r="B15" i="26"/>
  <c r="B17" i="26" s="1"/>
  <c r="F9" i="26"/>
  <c r="F10" i="26" s="1"/>
  <c r="E9" i="26"/>
  <c r="E10" i="26" s="1"/>
  <c r="D9" i="26"/>
  <c r="D10" i="26" s="1"/>
  <c r="C9" i="26"/>
  <c r="C10" i="26" s="1"/>
  <c r="B9" i="26"/>
  <c r="B10" i="26" s="1"/>
  <c r="B24" i="15"/>
  <c r="B23" i="15"/>
  <c r="B79" i="13"/>
  <c r="B79" i="12"/>
  <c r="K16" i="24"/>
  <c r="K15" i="24"/>
  <c r="K14" i="24"/>
  <c r="K13" i="24"/>
  <c r="K12" i="24"/>
  <c r="K11" i="24"/>
  <c r="K10" i="24"/>
  <c r="K9" i="24"/>
  <c r="K8" i="24"/>
  <c r="K22" i="24" s="1"/>
  <c r="N40" i="24"/>
  <c r="N39" i="24"/>
  <c r="N38" i="24"/>
  <c r="N37" i="24"/>
  <c r="N36" i="24"/>
  <c r="N35" i="24"/>
  <c r="M40" i="24"/>
  <c r="M39" i="24"/>
  <c r="M38" i="24"/>
  <c r="M37" i="24"/>
  <c r="M36" i="24"/>
  <c r="M35" i="24"/>
  <c r="N33" i="24"/>
  <c r="N32" i="24"/>
  <c r="N31" i="24"/>
  <c r="N30" i="24"/>
  <c r="N29" i="24"/>
  <c r="J40" i="24"/>
  <c r="J39" i="24"/>
  <c r="J38" i="24"/>
  <c r="J37" i="24"/>
  <c r="J36" i="24"/>
  <c r="J35" i="24"/>
  <c r="F40" i="24"/>
  <c r="F39" i="24"/>
  <c r="F38" i="24"/>
  <c r="F37" i="24"/>
  <c r="F36" i="24"/>
  <c r="F35" i="24"/>
  <c r="J33" i="24"/>
  <c r="J32" i="24"/>
  <c r="J31" i="24"/>
  <c r="J30" i="24"/>
  <c r="J29" i="24"/>
  <c r="N23" i="24"/>
  <c r="N22" i="24"/>
  <c r="N21" i="24"/>
  <c r="N20" i="24"/>
  <c r="N19" i="24"/>
  <c r="N18" i="24"/>
  <c r="M23" i="24"/>
  <c r="M22" i="24"/>
  <c r="M21" i="24"/>
  <c r="M20" i="24"/>
  <c r="M19" i="24"/>
  <c r="M18" i="24"/>
  <c r="N16" i="24"/>
  <c r="N15" i="24"/>
  <c r="N14" i="24"/>
  <c r="N13" i="24"/>
  <c r="N12" i="24"/>
  <c r="N11" i="24"/>
  <c r="N10" i="24"/>
  <c r="N9" i="24"/>
  <c r="N8" i="24"/>
  <c r="K23" i="24"/>
  <c r="J23" i="24"/>
  <c r="J22" i="24"/>
  <c r="J21" i="24"/>
  <c r="J20" i="24"/>
  <c r="J19" i="24"/>
  <c r="J18" i="24"/>
  <c r="F23" i="24"/>
  <c r="F22" i="24"/>
  <c r="F21" i="24"/>
  <c r="F20" i="24"/>
  <c r="F19" i="24"/>
  <c r="F18" i="24"/>
  <c r="J16" i="24"/>
  <c r="J15" i="24"/>
  <c r="J14" i="24"/>
  <c r="J13" i="24"/>
  <c r="J12" i="24"/>
  <c r="J11" i="24"/>
  <c r="J10" i="24"/>
  <c r="J9" i="24"/>
  <c r="J8" i="24"/>
  <c r="J50" i="25"/>
  <c r="J49" i="25"/>
  <c r="J48" i="25"/>
  <c r="J47" i="25"/>
  <c r="J46" i="25"/>
  <c r="J45" i="25"/>
  <c r="F50" i="25"/>
  <c r="F49" i="25"/>
  <c r="F48" i="25"/>
  <c r="F47" i="25"/>
  <c r="F46" i="25"/>
  <c r="F45" i="25"/>
  <c r="J43" i="25"/>
  <c r="J41" i="25"/>
  <c r="J40" i="25"/>
  <c r="J39" i="25"/>
  <c r="N16" i="25"/>
  <c r="N15" i="25"/>
  <c r="N14" i="25"/>
  <c r="N13" i="25"/>
  <c r="N12" i="25"/>
  <c r="N11" i="25"/>
  <c r="M16" i="25"/>
  <c r="M15" i="25"/>
  <c r="M14" i="25"/>
  <c r="M13" i="25"/>
  <c r="M12" i="25"/>
  <c r="M11" i="25"/>
  <c r="N9" i="25"/>
  <c r="N8" i="25"/>
  <c r="J32" i="25"/>
  <c r="J31" i="25"/>
  <c r="J30" i="25"/>
  <c r="J29" i="25"/>
  <c r="J28" i="25"/>
  <c r="F33" i="25"/>
  <c r="F32" i="25"/>
  <c r="F31" i="25"/>
  <c r="F30" i="25"/>
  <c r="F29" i="25"/>
  <c r="F28" i="25"/>
  <c r="J26" i="25"/>
  <c r="J25" i="25"/>
  <c r="J24" i="25"/>
  <c r="J23" i="25"/>
  <c r="J22" i="25"/>
  <c r="J33" i="25" s="1"/>
  <c r="U40" i="24"/>
  <c r="U39" i="24"/>
  <c r="U38" i="24"/>
  <c r="U37" i="24"/>
  <c r="U36" i="24"/>
  <c r="U35" i="24"/>
  <c r="S40" i="24"/>
  <c r="S39" i="24"/>
  <c r="S38" i="24"/>
  <c r="S37" i="24"/>
  <c r="S36" i="24"/>
  <c r="S35" i="24"/>
  <c r="Q40" i="24"/>
  <c r="Q39" i="24"/>
  <c r="Q38" i="24"/>
  <c r="Q37" i="24"/>
  <c r="Q36" i="24"/>
  <c r="Q35" i="24"/>
  <c r="U23" i="24"/>
  <c r="U22" i="24"/>
  <c r="U21" i="24"/>
  <c r="U20" i="24"/>
  <c r="U19" i="24"/>
  <c r="U18" i="24"/>
  <c r="S23" i="24"/>
  <c r="S22" i="24"/>
  <c r="S21" i="24"/>
  <c r="S20" i="24"/>
  <c r="S19" i="24"/>
  <c r="S18" i="24"/>
  <c r="Q23" i="24"/>
  <c r="Q22" i="24"/>
  <c r="Q21" i="24"/>
  <c r="Q20" i="24"/>
  <c r="Q19" i="24"/>
  <c r="Q18" i="24"/>
  <c r="U50" i="25"/>
  <c r="U49" i="25"/>
  <c r="U48" i="25"/>
  <c r="U47" i="25"/>
  <c r="U46" i="25"/>
  <c r="U45" i="25"/>
  <c r="S50" i="25"/>
  <c r="S49" i="25"/>
  <c r="S48" i="25"/>
  <c r="S47" i="25"/>
  <c r="S46" i="25"/>
  <c r="S45" i="25"/>
  <c r="Q50" i="25"/>
  <c r="Q49" i="25"/>
  <c r="Q48" i="25"/>
  <c r="Q47" i="25"/>
  <c r="Q46" i="25"/>
  <c r="Q45" i="25"/>
  <c r="U33" i="25"/>
  <c r="U32" i="25"/>
  <c r="U31" i="25"/>
  <c r="U30" i="25"/>
  <c r="U29" i="25"/>
  <c r="U28" i="25"/>
  <c r="S33" i="25"/>
  <c r="S32" i="25"/>
  <c r="S31" i="25"/>
  <c r="S30" i="25"/>
  <c r="S29" i="25"/>
  <c r="S28" i="25"/>
  <c r="Q33" i="25"/>
  <c r="Q32" i="25"/>
  <c r="Q31" i="25"/>
  <c r="Q30" i="25"/>
  <c r="Q29" i="25"/>
  <c r="Q28" i="25"/>
  <c r="U16" i="25"/>
  <c r="U15" i="25"/>
  <c r="U14" i="25"/>
  <c r="U13" i="25"/>
  <c r="U12" i="25"/>
  <c r="U11" i="25"/>
  <c r="S16" i="25"/>
  <c r="S15" i="25"/>
  <c r="S14" i="25"/>
  <c r="S13" i="25"/>
  <c r="S12" i="25"/>
  <c r="S11" i="25"/>
  <c r="Q16" i="25"/>
  <c r="Q15" i="25"/>
  <c r="Q14" i="25"/>
  <c r="Q13" i="25"/>
  <c r="Q12" i="25"/>
  <c r="Q11" i="25"/>
  <c r="J16" i="25"/>
  <c r="J15" i="25"/>
  <c r="J14" i="25"/>
  <c r="J13" i="25"/>
  <c r="J12" i="25"/>
  <c r="F16" i="25"/>
  <c r="F15" i="25"/>
  <c r="F14" i="25"/>
  <c r="F13" i="25"/>
  <c r="F12" i="25"/>
  <c r="F11" i="25"/>
  <c r="J9" i="25"/>
  <c r="J8" i="25"/>
  <c r="J11" i="25" s="1"/>
  <c r="N40" i="23"/>
  <c r="M40" i="23"/>
  <c r="N39" i="23"/>
  <c r="M39" i="23"/>
  <c r="N38" i="23"/>
  <c r="M38" i="23"/>
  <c r="N37" i="23"/>
  <c r="M37" i="23"/>
  <c r="K40" i="23"/>
  <c r="K38" i="23"/>
  <c r="K37" i="23"/>
  <c r="J40" i="23"/>
  <c r="J38" i="23"/>
  <c r="J37" i="23"/>
  <c r="K21" i="23"/>
  <c r="K19" i="23"/>
  <c r="K18" i="23"/>
  <c r="J21" i="23"/>
  <c r="J19" i="23"/>
  <c r="J18" i="23"/>
  <c r="R50" i="23"/>
  <c r="I41" i="23"/>
  <c r="I40" i="23"/>
  <c r="I39" i="23"/>
  <c r="I38" i="23"/>
  <c r="I37" i="23"/>
  <c r="I36" i="23"/>
  <c r="P41" i="23"/>
  <c r="P40" i="23"/>
  <c r="P39" i="23"/>
  <c r="P38" i="23"/>
  <c r="P37" i="23"/>
  <c r="P36" i="23"/>
  <c r="G41" i="23"/>
  <c r="G40" i="23"/>
  <c r="G39" i="23"/>
  <c r="G38" i="23"/>
  <c r="G37" i="23"/>
  <c r="G36" i="23"/>
  <c r="V60" i="23"/>
  <c r="V59" i="23"/>
  <c r="V58" i="23"/>
  <c r="V57" i="23"/>
  <c r="V56" i="23"/>
  <c r="V55" i="23"/>
  <c r="R60" i="23"/>
  <c r="R59" i="23"/>
  <c r="R58" i="23"/>
  <c r="R57" i="23"/>
  <c r="R56" i="23"/>
  <c r="R55" i="23"/>
  <c r="V41" i="23"/>
  <c r="V40" i="23"/>
  <c r="V39" i="23"/>
  <c r="V38" i="23"/>
  <c r="V37" i="23"/>
  <c r="V36" i="23"/>
  <c r="R41" i="23"/>
  <c r="R40" i="23"/>
  <c r="R39" i="23"/>
  <c r="R38" i="23"/>
  <c r="R37" i="23"/>
  <c r="R36" i="23"/>
  <c r="V22" i="23"/>
  <c r="V21" i="23"/>
  <c r="V20" i="23"/>
  <c r="V19" i="23"/>
  <c r="V18" i="23"/>
  <c r="V17" i="23"/>
  <c r="R22" i="23"/>
  <c r="R21" i="23"/>
  <c r="R20" i="23"/>
  <c r="R19" i="23"/>
  <c r="R18" i="23"/>
  <c r="R17" i="23"/>
  <c r="V53" i="23"/>
  <c r="V52" i="23"/>
  <c r="V51" i="23"/>
  <c r="V50" i="23"/>
  <c r="V49" i="23"/>
  <c r="V48" i="23"/>
  <c r="V47" i="23"/>
  <c r="V46" i="23"/>
  <c r="R53" i="23"/>
  <c r="R52" i="23"/>
  <c r="R51" i="23"/>
  <c r="R49" i="23"/>
  <c r="R48" i="23"/>
  <c r="R47" i="23"/>
  <c r="R46" i="23"/>
  <c r="V34" i="23"/>
  <c r="V33" i="23"/>
  <c r="V32" i="23"/>
  <c r="V31" i="23"/>
  <c r="V30" i="23"/>
  <c r="V29" i="23"/>
  <c r="V28" i="23"/>
  <c r="V27" i="23"/>
  <c r="R34" i="23"/>
  <c r="R33" i="23"/>
  <c r="R32" i="23"/>
  <c r="R31" i="23"/>
  <c r="R30" i="23"/>
  <c r="R29" i="23"/>
  <c r="R28" i="23"/>
  <c r="R27" i="23"/>
  <c r="V15" i="23"/>
  <c r="V14" i="23"/>
  <c r="V13" i="23"/>
  <c r="V12" i="23"/>
  <c r="V11" i="23"/>
  <c r="V10" i="23"/>
  <c r="V9" i="23"/>
  <c r="V8" i="23"/>
  <c r="R15" i="23"/>
  <c r="R14" i="23"/>
  <c r="R13" i="23"/>
  <c r="R12" i="23"/>
  <c r="R11" i="23"/>
  <c r="R10" i="23"/>
  <c r="R9" i="23"/>
  <c r="R8" i="23"/>
  <c r="N60" i="23"/>
  <c r="N55" i="23"/>
  <c r="M60" i="23"/>
  <c r="M55" i="23"/>
  <c r="N22" i="23"/>
  <c r="N17" i="23"/>
  <c r="M22" i="23"/>
  <c r="M17" i="23"/>
  <c r="N41" i="23"/>
  <c r="N36" i="23"/>
  <c r="M41" i="23"/>
  <c r="M36" i="23"/>
  <c r="D41" i="23"/>
  <c r="D40" i="23"/>
  <c r="D39" i="23"/>
  <c r="D38" i="23"/>
  <c r="D37" i="23"/>
  <c r="D36" i="23"/>
  <c r="C41" i="23"/>
  <c r="C40" i="23"/>
  <c r="C39" i="23"/>
  <c r="C38" i="23"/>
  <c r="C37" i="23"/>
  <c r="C36" i="23"/>
  <c r="J59" i="23"/>
  <c r="J57" i="23"/>
  <c r="J56" i="23"/>
  <c r="U60" i="23"/>
  <c r="U59" i="23"/>
  <c r="U58" i="23"/>
  <c r="U57" i="23"/>
  <c r="U56" i="23"/>
  <c r="U55" i="23"/>
  <c r="S60" i="23"/>
  <c r="S59" i="23"/>
  <c r="S58" i="23"/>
  <c r="S57" i="23"/>
  <c r="S56" i="23"/>
  <c r="S55" i="23"/>
  <c r="Q60" i="23"/>
  <c r="Q59" i="23"/>
  <c r="Q58" i="23"/>
  <c r="Q57" i="23"/>
  <c r="Q56" i="23"/>
  <c r="Q55" i="23"/>
  <c r="J58" i="23"/>
  <c r="J53" i="23"/>
  <c r="J52" i="23"/>
  <c r="J51" i="23"/>
  <c r="J50" i="23"/>
  <c r="J60" i="23" s="1"/>
  <c r="J49" i="23"/>
  <c r="J48" i="23"/>
  <c r="J47" i="23"/>
  <c r="J46" i="23"/>
  <c r="F60" i="23"/>
  <c r="F59" i="23"/>
  <c r="F58" i="23"/>
  <c r="F57" i="23"/>
  <c r="F56" i="23"/>
  <c r="F55" i="23"/>
  <c r="U41" i="23"/>
  <c r="U40" i="23"/>
  <c r="U39" i="23"/>
  <c r="U38" i="23"/>
  <c r="U37" i="23"/>
  <c r="U36" i="23"/>
  <c r="S41" i="23"/>
  <c r="S40" i="23"/>
  <c r="S39" i="23"/>
  <c r="S38" i="23"/>
  <c r="S37" i="23"/>
  <c r="S36" i="23"/>
  <c r="Q41" i="23"/>
  <c r="Q40" i="23"/>
  <c r="Q39" i="23"/>
  <c r="Q38" i="23"/>
  <c r="Q37" i="23"/>
  <c r="Q36" i="23"/>
  <c r="J34" i="23"/>
  <c r="J33" i="23"/>
  <c r="J32" i="23"/>
  <c r="J31" i="23"/>
  <c r="J30" i="23"/>
  <c r="J39" i="23" s="1"/>
  <c r="J29" i="23"/>
  <c r="J28" i="23"/>
  <c r="J27" i="23"/>
  <c r="F41" i="23"/>
  <c r="F40" i="23"/>
  <c r="F39" i="23"/>
  <c r="F38" i="23"/>
  <c r="F37" i="23"/>
  <c r="F36" i="23"/>
  <c r="U22" i="23"/>
  <c r="U21" i="23"/>
  <c r="U20" i="23"/>
  <c r="U19" i="23"/>
  <c r="U18" i="23"/>
  <c r="U17" i="23"/>
  <c r="S22" i="23"/>
  <c r="S21" i="23"/>
  <c r="S20" i="23"/>
  <c r="S19" i="23"/>
  <c r="S18" i="23"/>
  <c r="S17" i="23"/>
  <c r="Q22" i="23"/>
  <c r="Q21" i="23"/>
  <c r="Q20" i="23"/>
  <c r="Q19" i="23"/>
  <c r="Q18" i="23"/>
  <c r="Q17" i="23"/>
  <c r="J22" i="23"/>
  <c r="J20" i="23"/>
  <c r="J17" i="23"/>
  <c r="J15" i="23"/>
  <c r="J14" i="23"/>
  <c r="J13" i="23"/>
  <c r="J12" i="23"/>
  <c r="J11" i="23"/>
  <c r="J10" i="23"/>
  <c r="J9" i="23"/>
  <c r="J8" i="23"/>
  <c r="F22" i="23"/>
  <c r="F21" i="23"/>
  <c r="F20" i="23"/>
  <c r="F19" i="23"/>
  <c r="F18" i="23"/>
  <c r="F17" i="23"/>
  <c r="R8" i="24"/>
  <c r="T8" i="24"/>
  <c r="V8" i="24"/>
  <c r="V23" i="24" s="1"/>
  <c r="X8" i="24"/>
  <c r="X21" i="24" s="1"/>
  <c r="R9" i="24"/>
  <c r="T9" i="24"/>
  <c r="V9" i="24"/>
  <c r="X9" i="24"/>
  <c r="R10" i="24"/>
  <c r="R18" i="24" s="1"/>
  <c r="T10" i="24"/>
  <c r="T18" i="24" s="1"/>
  <c r="V10" i="24"/>
  <c r="V18" i="24" s="1"/>
  <c r="X10" i="24"/>
  <c r="X18" i="24" s="1"/>
  <c r="R11" i="24"/>
  <c r="T11" i="24"/>
  <c r="V11" i="24"/>
  <c r="X11" i="24"/>
  <c r="R12" i="24"/>
  <c r="T12" i="24"/>
  <c r="V12" i="24"/>
  <c r="X12" i="24"/>
  <c r="R13" i="24"/>
  <c r="T13" i="24"/>
  <c r="V13" i="24"/>
  <c r="X13" i="24"/>
  <c r="R14" i="24"/>
  <c r="R20" i="24" s="1"/>
  <c r="T14" i="24"/>
  <c r="V14" i="24"/>
  <c r="X14" i="24"/>
  <c r="R15" i="24"/>
  <c r="T15" i="24"/>
  <c r="V15" i="24"/>
  <c r="X15" i="24"/>
  <c r="R16" i="24"/>
  <c r="T16" i="24"/>
  <c r="V16" i="24"/>
  <c r="X16" i="24"/>
  <c r="C18" i="24"/>
  <c r="D18" i="24"/>
  <c r="E18" i="24"/>
  <c r="G18" i="24"/>
  <c r="H18" i="24"/>
  <c r="I18" i="24"/>
  <c r="P18" i="24"/>
  <c r="W18" i="24"/>
  <c r="C19" i="24"/>
  <c r="D19" i="24"/>
  <c r="E19" i="24"/>
  <c r="G19" i="24"/>
  <c r="H19" i="24"/>
  <c r="I19" i="24"/>
  <c r="P19" i="24"/>
  <c r="W19" i="24"/>
  <c r="X19" i="24"/>
  <c r="C20" i="24"/>
  <c r="D20" i="24"/>
  <c r="E20" i="24"/>
  <c r="G20" i="24"/>
  <c r="H20" i="24"/>
  <c r="I20" i="24"/>
  <c r="P20" i="24"/>
  <c r="T20" i="24"/>
  <c r="V20" i="24"/>
  <c r="W20" i="24"/>
  <c r="X20" i="24"/>
  <c r="C21" i="24"/>
  <c r="D21" i="24"/>
  <c r="E21" i="24"/>
  <c r="G21" i="24"/>
  <c r="H21" i="24"/>
  <c r="I21" i="24"/>
  <c r="P21" i="24"/>
  <c r="T21" i="24"/>
  <c r="V21" i="24"/>
  <c r="W21" i="24"/>
  <c r="C22" i="24"/>
  <c r="D22" i="24"/>
  <c r="E22" i="24"/>
  <c r="G22" i="24"/>
  <c r="H22" i="24"/>
  <c r="I22" i="24"/>
  <c r="P22" i="24"/>
  <c r="T22" i="24"/>
  <c r="V22" i="24"/>
  <c r="W22" i="24"/>
  <c r="C23" i="24"/>
  <c r="D23" i="24"/>
  <c r="E23" i="24"/>
  <c r="G23" i="24"/>
  <c r="H23" i="24"/>
  <c r="I23" i="24"/>
  <c r="P23" i="24"/>
  <c r="T23" i="24"/>
  <c r="W23" i="24"/>
  <c r="K29" i="24"/>
  <c r="R29" i="24"/>
  <c r="R38" i="24" s="1"/>
  <c r="T29" i="24"/>
  <c r="T37" i="24" s="1"/>
  <c r="V29" i="24"/>
  <c r="V36" i="24" s="1"/>
  <c r="X29" i="24"/>
  <c r="X35" i="24" s="1"/>
  <c r="K30" i="24"/>
  <c r="R30" i="24"/>
  <c r="T30" i="24"/>
  <c r="V30" i="24"/>
  <c r="X30" i="24"/>
  <c r="K31" i="24"/>
  <c r="R31" i="24"/>
  <c r="T31" i="24"/>
  <c r="V31" i="24"/>
  <c r="X31" i="24"/>
  <c r="K32" i="24"/>
  <c r="R32" i="24"/>
  <c r="T32" i="24"/>
  <c r="V32" i="24"/>
  <c r="X32" i="24"/>
  <c r="K33" i="24"/>
  <c r="R33" i="24"/>
  <c r="T33" i="24"/>
  <c r="V33" i="24"/>
  <c r="X33" i="24"/>
  <c r="C35" i="24"/>
  <c r="D35" i="24"/>
  <c r="E35" i="24"/>
  <c r="G35" i="24"/>
  <c r="H35" i="24"/>
  <c r="I35" i="24"/>
  <c r="P35" i="24"/>
  <c r="R35" i="24"/>
  <c r="T35" i="24"/>
  <c r="V35" i="24"/>
  <c r="W35" i="24"/>
  <c r="C36" i="24"/>
  <c r="D36" i="24"/>
  <c r="E36" i="24"/>
  <c r="G36" i="24"/>
  <c r="H36" i="24"/>
  <c r="I36" i="24"/>
  <c r="P36" i="24"/>
  <c r="R36" i="24"/>
  <c r="T36" i="24"/>
  <c r="W36" i="24"/>
  <c r="C37" i="24"/>
  <c r="D37" i="24"/>
  <c r="E37" i="24"/>
  <c r="G37" i="24"/>
  <c r="H37" i="24"/>
  <c r="I37" i="24"/>
  <c r="P37" i="24"/>
  <c r="R37" i="24"/>
  <c r="W37" i="24"/>
  <c r="C38" i="24"/>
  <c r="D38" i="24"/>
  <c r="E38" i="24"/>
  <c r="G38" i="24"/>
  <c r="H38" i="24"/>
  <c r="I38" i="24"/>
  <c r="P38" i="24"/>
  <c r="W38" i="24"/>
  <c r="C39" i="24"/>
  <c r="D39" i="24"/>
  <c r="E39" i="24"/>
  <c r="G39" i="24"/>
  <c r="H39" i="24"/>
  <c r="I39" i="24"/>
  <c r="P39" i="24"/>
  <c r="W39" i="24"/>
  <c r="C40" i="24"/>
  <c r="D40" i="24"/>
  <c r="E40" i="24"/>
  <c r="G40" i="24"/>
  <c r="H40" i="24"/>
  <c r="I40" i="24"/>
  <c r="P40" i="24"/>
  <c r="W40" i="24"/>
  <c r="K8" i="23"/>
  <c r="T8" i="23"/>
  <c r="X8" i="23"/>
  <c r="X17" i="23" s="1"/>
  <c r="K9" i="23"/>
  <c r="T9" i="23"/>
  <c r="T20" i="23" s="1"/>
  <c r="X9" i="23"/>
  <c r="X20" i="23" s="1"/>
  <c r="K10" i="23"/>
  <c r="T10" i="23"/>
  <c r="T18" i="23" s="1"/>
  <c r="X10" i="23"/>
  <c r="K11" i="23"/>
  <c r="T11" i="23"/>
  <c r="X11" i="23"/>
  <c r="K12" i="23"/>
  <c r="T12" i="23"/>
  <c r="X12" i="23"/>
  <c r="K13" i="23"/>
  <c r="T13" i="23"/>
  <c r="X13" i="23"/>
  <c r="K14" i="23"/>
  <c r="T14" i="23"/>
  <c r="X14" i="23"/>
  <c r="K15" i="23"/>
  <c r="T15" i="23"/>
  <c r="X15" i="23"/>
  <c r="C17" i="23"/>
  <c r="D17" i="23"/>
  <c r="E17" i="23"/>
  <c r="G17" i="23"/>
  <c r="H17" i="23"/>
  <c r="I17" i="23"/>
  <c r="P17" i="23"/>
  <c r="W17" i="23"/>
  <c r="C18" i="23"/>
  <c r="D18" i="23"/>
  <c r="E18" i="23"/>
  <c r="G18" i="23"/>
  <c r="H18" i="23"/>
  <c r="I18" i="23"/>
  <c r="M18" i="23"/>
  <c r="N18" i="23"/>
  <c r="P18" i="23"/>
  <c r="W18" i="23"/>
  <c r="C19" i="23"/>
  <c r="D19" i="23"/>
  <c r="E19" i="23"/>
  <c r="G19" i="23"/>
  <c r="H19" i="23"/>
  <c r="I19" i="23"/>
  <c r="M19" i="23"/>
  <c r="N19" i="23"/>
  <c r="P19" i="23"/>
  <c r="T19" i="23"/>
  <c r="W19" i="23"/>
  <c r="C20" i="23"/>
  <c r="D20" i="23"/>
  <c r="E20" i="23"/>
  <c r="G20" i="23"/>
  <c r="H20" i="23"/>
  <c r="I20" i="23"/>
  <c r="M20" i="23"/>
  <c r="N20" i="23"/>
  <c r="P20" i="23"/>
  <c r="W20" i="23"/>
  <c r="C21" i="23"/>
  <c r="D21" i="23"/>
  <c r="E21" i="23"/>
  <c r="G21" i="23"/>
  <c r="H21" i="23"/>
  <c r="I21" i="23"/>
  <c r="M21" i="23"/>
  <c r="N21" i="23"/>
  <c r="P21" i="23"/>
  <c r="W21" i="23"/>
  <c r="C22" i="23"/>
  <c r="D22" i="23"/>
  <c r="E22" i="23"/>
  <c r="G22" i="23"/>
  <c r="H22" i="23"/>
  <c r="I22" i="23"/>
  <c r="P22" i="23"/>
  <c r="W22" i="23"/>
  <c r="K27" i="23"/>
  <c r="T27" i="23"/>
  <c r="T39" i="23" s="1"/>
  <c r="X27" i="23"/>
  <c r="K28" i="23"/>
  <c r="T28" i="23"/>
  <c r="X28" i="23"/>
  <c r="K29" i="23"/>
  <c r="T29" i="23"/>
  <c r="X29" i="23"/>
  <c r="K30" i="23"/>
  <c r="T30" i="23"/>
  <c r="X30" i="23"/>
  <c r="K31" i="23"/>
  <c r="K36" i="23" s="1"/>
  <c r="T31" i="23"/>
  <c r="X31" i="23"/>
  <c r="K32" i="23"/>
  <c r="T32" i="23"/>
  <c r="X32" i="23"/>
  <c r="K33" i="23"/>
  <c r="T33" i="23"/>
  <c r="X33" i="23"/>
  <c r="K34" i="23"/>
  <c r="T34" i="23"/>
  <c r="X34" i="23"/>
  <c r="E36" i="23"/>
  <c r="H36" i="23"/>
  <c r="W36" i="23"/>
  <c r="E37" i="23"/>
  <c r="H37" i="23"/>
  <c r="W37" i="23"/>
  <c r="E38" i="23"/>
  <c r="H38" i="23"/>
  <c r="W38" i="23"/>
  <c r="E39" i="23"/>
  <c r="H39" i="23"/>
  <c r="W39" i="23"/>
  <c r="E40" i="23"/>
  <c r="H40" i="23"/>
  <c r="W40" i="23"/>
  <c r="E41" i="23"/>
  <c r="H41" i="23"/>
  <c r="W41" i="23"/>
  <c r="K46" i="23"/>
  <c r="T46" i="23"/>
  <c r="X46" i="23"/>
  <c r="K47" i="23"/>
  <c r="T47" i="23"/>
  <c r="X47" i="23"/>
  <c r="K48" i="23"/>
  <c r="T48" i="23"/>
  <c r="X48" i="23"/>
  <c r="K49" i="23"/>
  <c r="T49" i="23"/>
  <c r="X49" i="23"/>
  <c r="K50" i="23"/>
  <c r="T50" i="23"/>
  <c r="X50" i="23"/>
  <c r="K51" i="23"/>
  <c r="T51" i="23"/>
  <c r="X51" i="23"/>
  <c r="K52" i="23"/>
  <c r="T52" i="23"/>
  <c r="X52" i="23"/>
  <c r="K53" i="23"/>
  <c r="T53" i="23"/>
  <c r="X53" i="23"/>
  <c r="C55" i="23"/>
  <c r="D55" i="23"/>
  <c r="E55" i="23"/>
  <c r="G55" i="23"/>
  <c r="H55" i="23"/>
  <c r="I55" i="23"/>
  <c r="P55" i="23"/>
  <c r="W55" i="23"/>
  <c r="C56" i="23"/>
  <c r="D56" i="23"/>
  <c r="E56" i="23"/>
  <c r="G56" i="23"/>
  <c r="H56" i="23"/>
  <c r="I56" i="23"/>
  <c r="M56" i="23"/>
  <c r="N56" i="23"/>
  <c r="P56" i="23"/>
  <c r="W56" i="23"/>
  <c r="C57" i="23"/>
  <c r="D57" i="23"/>
  <c r="E57" i="23"/>
  <c r="G57" i="23"/>
  <c r="H57" i="23"/>
  <c r="I57" i="23"/>
  <c r="M57" i="23"/>
  <c r="N57" i="23"/>
  <c r="P57" i="23"/>
  <c r="W57" i="23"/>
  <c r="C58" i="23"/>
  <c r="D58" i="23"/>
  <c r="E58" i="23"/>
  <c r="G58" i="23"/>
  <c r="H58" i="23"/>
  <c r="I58" i="23"/>
  <c r="M58" i="23"/>
  <c r="N58" i="23"/>
  <c r="P58" i="23"/>
  <c r="W58" i="23"/>
  <c r="C59" i="23"/>
  <c r="D59" i="23"/>
  <c r="E59" i="23"/>
  <c r="G59" i="23"/>
  <c r="H59" i="23"/>
  <c r="I59" i="23"/>
  <c r="M59" i="23"/>
  <c r="N59" i="23"/>
  <c r="P59" i="23"/>
  <c r="W59" i="23"/>
  <c r="C60" i="23"/>
  <c r="D60" i="23"/>
  <c r="E60" i="23"/>
  <c r="G60" i="23"/>
  <c r="H60" i="23"/>
  <c r="I60" i="23"/>
  <c r="P60" i="23"/>
  <c r="W60" i="23"/>
  <c r="K8" i="25"/>
  <c r="K15" i="25" s="1"/>
  <c r="R8" i="25"/>
  <c r="R13" i="25" s="1"/>
  <c r="T8" i="25"/>
  <c r="T15" i="25" s="1"/>
  <c r="V8" i="25"/>
  <c r="V15" i="25" s="1"/>
  <c r="X8" i="25"/>
  <c r="X15" i="25" s="1"/>
  <c r="K9" i="25"/>
  <c r="K11" i="25" s="1"/>
  <c r="R9" i="25"/>
  <c r="R14" i="25" s="1"/>
  <c r="T9" i="25"/>
  <c r="V9" i="25"/>
  <c r="X9" i="25"/>
  <c r="C11" i="25"/>
  <c r="D11" i="25"/>
  <c r="E11" i="25"/>
  <c r="G11" i="25"/>
  <c r="H11" i="25"/>
  <c r="I11" i="25"/>
  <c r="P11" i="25"/>
  <c r="W11" i="25"/>
  <c r="C12" i="25"/>
  <c r="D12" i="25"/>
  <c r="E12" i="25"/>
  <c r="G12" i="25"/>
  <c r="H12" i="25"/>
  <c r="I12" i="25"/>
  <c r="P12" i="25"/>
  <c r="W12" i="25"/>
  <c r="C13" i="25"/>
  <c r="D13" i="25"/>
  <c r="E13" i="25"/>
  <c r="G13" i="25"/>
  <c r="H13" i="25"/>
  <c r="I13" i="25"/>
  <c r="P13" i="25"/>
  <c r="W13" i="25"/>
  <c r="C14" i="25"/>
  <c r="D14" i="25"/>
  <c r="E14" i="25"/>
  <c r="G14" i="25"/>
  <c r="H14" i="25"/>
  <c r="I14" i="25"/>
  <c r="P14" i="25"/>
  <c r="T14" i="25"/>
  <c r="V14" i="25"/>
  <c r="W14" i="25"/>
  <c r="C15" i="25"/>
  <c r="D15" i="25"/>
  <c r="E15" i="25"/>
  <c r="G15" i="25"/>
  <c r="H15" i="25"/>
  <c r="I15" i="25"/>
  <c r="P15" i="25"/>
  <c r="W15" i="25"/>
  <c r="C16" i="25"/>
  <c r="D16" i="25"/>
  <c r="E16" i="25"/>
  <c r="G16" i="25"/>
  <c r="H16" i="25"/>
  <c r="I16" i="25"/>
  <c r="P16" i="25"/>
  <c r="W16" i="25"/>
  <c r="K22" i="25"/>
  <c r="K29" i="25" s="1"/>
  <c r="R22" i="25"/>
  <c r="R30" i="25" s="1"/>
  <c r="T22" i="25"/>
  <c r="T30" i="25" s="1"/>
  <c r="V22" i="25"/>
  <c r="V29" i="25" s="1"/>
  <c r="X22" i="25"/>
  <c r="X28" i="25" s="1"/>
  <c r="K23" i="25"/>
  <c r="R23" i="25"/>
  <c r="R32" i="25" s="1"/>
  <c r="T23" i="25"/>
  <c r="T28" i="25" s="1"/>
  <c r="V23" i="25"/>
  <c r="X23" i="25"/>
  <c r="K24" i="25"/>
  <c r="R24" i="25"/>
  <c r="T24" i="25"/>
  <c r="V24" i="25"/>
  <c r="X24" i="25"/>
  <c r="K25" i="25"/>
  <c r="R25" i="25"/>
  <c r="T25" i="25"/>
  <c r="V25" i="25"/>
  <c r="X25" i="25"/>
  <c r="K26" i="25"/>
  <c r="R26" i="25"/>
  <c r="T26" i="25"/>
  <c r="V26" i="25"/>
  <c r="X26" i="25"/>
  <c r="C28" i="25"/>
  <c r="D28" i="25"/>
  <c r="E28" i="25"/>
  <c r="G28" i="25"/>
  <c r="H28" i="25"/>
  <c r="I28" i="25"/>
  <c r="M28" i="25"/>
  <c r="N28" i="25"/>
  <c r="P28" i="25"/>
  <c r="W28" i="25"/>
  <c r="C29" i="25"/>
  <c r="D29" i="25"/>
  <c r="E29" i="25"/>
  <c r="G29" i="25"/>
  <c r="H29" i="25"/>
  <c r="I29" i="25"/>
  <c r="M29" i="25"/>
  <c r="N29" i="25"/>
  <c r="P29" i="25"/>
  <c r="W29" i="25"/>
  <c r="C30" i="25"/>
  <c r="D30" i="25"/>
  <c r="E30" i="25"/>
  <c r="G30" i="25"/>
  <c r="H30" i="25"/>
  <c r="I30" i="25"/>
  <c r="M30" i="25"/>
  <c r="N30" i="25"/>
  <c r="P30" i="25"/>
  <c r="W30" i="25"/>
  <c r="C31" i="25"/>
  <c r="D31" i="25"/>
  <c r="E31" i="25"/>
  <c r="G31" i="25"/>
  <c r="H31" i="25"/>
  <c r="I31" i="25"/>
  <c r="M31" i="25"/>
  <c r="N31" i="25"/>
  <c r="P31" i="25"/>
  <c r="R31" i="25"/>
  <c r="W31" i="25"/>
  <c r="C32" i="25"/>
  <c r="D32" i="25"/>
  <c r="E32" i="25"/>
  <c r="G32" i="25"/>
  <c r="H32" i="25"/>
  <c r="I32" i="25"/>
  <c r="M32" i="25"/>
  <c r="N32" i="25"/>
  <c r="P32" i="25"/>
  <c r="W32" i="25"/>
  <c r="C33" i="25"/>
  <c r="D33" i="25"/>
  <c r="E33" i="25"/>
  <c r="G33" i="25"/>
  <c r="H33" i="25"/>
  <c r="I33" i="25"/>
  <c r="M33" i="25"/>
  <c r="N33" i="25"/>
  <c r="P33" i="25"/>
  <c r="W33" i="25"/>
  <c r="K39" i="25"/>
  <c r="R39" i="25"/>
  <c r="T39" i="25"/>
  <c r="V39" i="25"/>
  <c r="X39" i="25"/>
  <c r="K40" i="25"/>
  <c r="R40" i="25"/>
  <c r="T40" i="25"/>
  <c r="V40" i="25"/>
  <c r="X40" i="25"/>
  <c r="K41" i="25"/>
  <c r="R41" i="25"/>
  <c r="T41" i="25"/>
  <c r="V41" i="25"/>
  <c r="V46" i="25" s="1"/>
  <c r="X41" i="25"/>
  <c r="K43" i="25"/>
  <c r="R43" i="25"/>
  <c r="T43" i="25"/>
  <c r="V43" i="25"/>
  <c r="X43" i="25"/>
  <c r="C45" i="25"/>
  <c r="D45" i="25"/>
  <c r="E45" i="25"/>
  <c r="G45" i="25"/>
  <c r="H45" i="25"/>
  <c r="I45" i="25"/>
  <c r="M45" i="25"/>
  <c r="N45" i="25"/>
  <c r="P45" i="25"/>
  <c r="W45" i="25"/>
  <c r="C46" i="25"/>
  <c r="D46" i="25"/>
  <c r="E46" i="25"/>
  <c r="G46" i="25"/>
  <c r="H46" i="25"/>
  <c r="I46" i="25"/>
  <c r="M46" i="25"/>
  <c r="N46" i="25"/>
  <c r="P46" i="25"/>
  <c r="W46" i="25"/>
  <c r="C47" i="25"/>
  <c r="D47" i="25"/>
  <c r="E47" i="25"/>
  <c r="G47" i="25"/>
  <c r="H47" i="25"/>
  <c r="I47" i="25"/>
  <c r="M47" i="25"/>
  <c r="N47" i="25"/>
  <c r="P47" i="25"/>
  <c r="W47" i="25"/>
  <c r="C48" i="25"/>
  <c r="D48" i="25"/>
  <c r="E48" i="25"/>
  <c r="G48" i="25"/>
  <c r="H48" i="25"/>
  <c r="I48" i="25"/>
  <c r="M48" i="25"/>
  <c r="N48" i="25"/>
  <c r="P48" i="25"/>
  <c r="W48" i="25"/>
  <c r="C49" i="25"/>
  <c r="D49" i="25"/>
  <c r="E49" i="25"/>
  <c r="G49" i="25"/>
  <c r="H49" i="25"/>
  <c r="I49" i="25"/>
  <c r="M49" i="25"/>
  <c r="N49" i="25"/>
  <c r="P49" i="25"/>
  <c r="W49" i="25"/>
  <c r="C50" i="25"/>
  <c r="D50" i="25"/>
  <c r="E50" i="25"/>
  <c r="G50" i="25"/>
  <c r="H50" i="25"/>
  <c r="I50" i="25"/>
  <c r="M50" i="25"/>
  <c r="N50" i="25"/>
  <c r="P50" i="25"/>
  <c r="R50" i="25"/>
  <c r="W50" i="25"/>
  <c r="D25" i="11"/>
  <c r="C25" i="11"/>
  <c r="D24" i="11"/>
  <c r="C24" i="11"/>
  <c r="D19" i="11"/>
  <c r="D18" i="11"/>
  <c r="D17" i="11"/>
  <c r="D16" i="11"/>
  <c r="C19" i="11"/>
  <c r="C18" i="11"/>
  <c r="C17" i="11"/>
  <c r="C16" i="11"/>
  <c r="V47" i="25" l="1"/>
  <c r="T45" i="25"/>
  <c r="R47" i="25"/>
  <c r="R49" i="25"/>
  <c r="R28" i="25"/>
  <c r="X47" i="25"/>
  <c r="B25" i="15" s="1"/>
  <c r="K14" i="25"/>
  <c r="V49" i="25"/>
  <c r="K28" i="25"/>
  <c r="T50" i="25"/>
  <c r="R29" i="25"/>
  <c r="V48" i="25"/>
  <c r="K45" i="25"/>
  <c r="T16" i="25"/>
  <c r="X13" i="25"/>
  <c r="K31" i="25"/>
  <c r="X45" i="25"/>
  <c r="R16" i="25"/>
  <c r="K32" i="25"/>
  <c r="V13" i="25"/>
  <c r="K33" i="25"/>
  <c r="T31" i="25"/>
  <c r="R11" i="25"/>
  <c r="R15" i="25"/>
  <c r="X12" i="25"/>
  <c r="K13" i="25"/>
  <c r="T29" i="25"/>
  <c r="V12" i="25"/>
  <c r="V16" i="25"/>
  <c r="T12" i="25"/>
  <c r="K30" i="25"/>
  <c r="R12" i="25"/>
  <c r="K16" i="25"/>
  <c r="V45" i="25"/>
  <c r="T13" i="25"/>
  <c r="X11" i="25"/>
  <c r="V30" i="25"/>
  <c r="T11" i="25"/>
  <c r="K50" i="25"/>
  <c r="K12" i="25"/>
  <c r="T49" i="25"/>
  <c r="X14" i="25"/>
  <c r="V11" i="25"/>
  <c r="X46" i="25"/>
  <c r="V28" i="25"/>
  <c r="D19" i="27"/>
  <c r="D18" i="26"/>
  <c r="D22" i="26"/>
  <c r="D24" i="26" s="1"/>
  <c r="D25" i="26" s="1"/>
  <c r="F18" i="26"/>
  <c r="F22" i="26"/>
  <c r="F24" i="26" s="1"/>
  <c r="F25" i="26" s="1"/>
  <c r="B18" i="26"/>
  <c r="B22" i="26"/>
  <c r="B24" i="26" s="1"/>
  <c r="B25" i="26" s="1"/>
  <c r="C18" i="26"/>
  <c r="C22" i="26"/>
  <c r="C24" i="26" s="1"/>
  <c r="C25" i="26" s="1"/>
  <c r="E22" i="26"/>
  <c r="E24" i="26" s="1"/>
  <c r="E25" i="26" s="1"/>
  <c r="E18" i="26"/>
  <c r="C102" i="26"/>
  <c r="D102" i="26"/>
  <c r="K35" i="24"/>
  <c r="K18" i="24"/>
  <c r="K19" i="24"/>
  <c r="K20" i="24"/>
  <c r="K21" i="24"/>
  <c r="J55" i="23"/>
  <c r="X58" i="23"/>
  <c r="K39" i="23"/>
  <c r="K41" i="23"/>
  <c r="J41" i="23"/>
  <c r="J36" i="23"/>
  <c r="X40" i="23"/>
  <c r="X41" i="23"/>
  <c r="K58" i="23"/>
  <c r="T55" i="23"/>
  <c r="X56" i="23"/>
  <c r="X59" i="23"/>
  <c r="X55" i="23"/>
  <c r="K22" i="23"/>
  <c r="K17" i="23"/>
  <c r="K20" i="23"/>
  <c r="K40" i="24"/>
  <c r="R23" i="24"/>
  <c r="K39" i="24"/>
  <c r="R22" i="24"/>
  <c r="K38" i="24"/>
  <c r="R21" i="24"/>
  <c r="V19" i="24"/>
  <c r="K37" i="24"/>
  <c r="T19" i="24"/>
  <c r="K36" i="24"/>
  <c r="R19" i="24"/>
  <c r="X40" i="24"/>
  <c r="X39" i="24"/>
  <c r="V40" i="24"/>
  <c r="X38" i="24"/>
  <c r="T40" i="24"/>
  <c r="V39" i="24"/>
  <c r="X37" i="24"/>
  <c r="R40" i="24"/>
  <c r="T39" i="24"/>
  <c r="V38" i="24"/>
  <c r="X36" i="24"/>
  <c r="X23" i="24"/>
  <c r="R39" i="24"/>
  <c r="T38" i="24"/>
  <c r="V37" i="24"/>
  <c r="X22" i="24"/>
  <c r="K60" i="23"/>
  <c r="X39" i="23"/>
  <c r="X36" i="23"/>
  <c r="T60" i="23"/>
  <c r="T17" i="23"/>
  <c r="K57" i="23"/>
  <c r="K56" i="23"/>
  <c r="T38" i="23"/>
  <c r="X22" i="23"/>
  <c r="T59" i="23"/>
  <c r="X38" i="23"/>
  <c r="K55" i="23"/>
  <c r="T37" i="23"/>
  <c r="X21" i="23"/>
  <c r="T58" i="23"/>
  <c r="T41" i="23"/>
  <c r="X37" i="23"/>
  <c r="T36" i="23"/>
  <c r="T57" i="23"/>
  <c r="T40" i="23"/>
  <c r="T22" i="23"/>
  <c r="X19" i="23"/>
  <c r="K59" i="23"/>
  <c r="X60" i="23"/>
  <c r="T21" i="23"/>
  <c r="X18" i="23"/>
  <c r="X57" i="23"/>
  <c r="T56" i="23"/>
  <c r="R46" i="25"/>
  <c r="T47" i="25"/>
  <c r="K49" i="25"/>
  <c r="K48" i="25"/>
  <c r="T48" i="25"/>
  <c r="K46" i="25"/>
  <c r="X32" i="25"/>
  <c r="K47" i="25"/>
  <c r="V33" i="25"/>
  <c r="X31" i="25"/>
  <c r="T46" i="25"/>
  <c r="X50" i="25"/>
  <c r="X49" i="25"/>
  <c r="T33" i="25"/>
  <c r="V32" i="25"/>
  <c r="X30" i="25"/>
  <c r="R48" i="25"/>
  <c r="R45" i="25"/>
  <c r="X33" i="25"/>
  <c r="V50" i="25"/>
  <c r="X48" i="25"/>
  <c r="R33" i="25"/>
  <c r="T32" i="25"/>
  <c r="V31" i="25"/>
  <c r="X29" i="25"/>
  <c r="X16" i="25"/>
  <c r="G106" i="14"/>
  <c r="E116" i="12"/>
  <c r="F40" i="16"/>
  <c r="E40" i="16"/>
  <c r="D40" i="16"/>
  <c r="C40" i="16"/>
  <c r="B40" i="16"/>
  <c r="B20" i="20"/>
  <c r="B48" i="20" s="1"/>
  <c r="B19" i="20"/>
  <c r="B17" i="20"/>
  <c r="B16" i="20"/>
  <c r="B15" i="20"/>
  <c r="B14" i="20"/>
  <c r="B51" i="20" s="1"/>
  <c r="E36" i="21"/>
  <c r="D36" i="21"/>
  <c r="E35" i="21"/>
  <c r="D35" i="21"/>
  <c r="E34" i="21"/>
  <c r="D34" i="21"/>
  <c r="E33" i="21"/>
  <c r="D33" i="21"/>
  <c r="E32" i="21"/>
  <c r="D32" i="21"/>
  <c r="B5" i="14"/>
  <c r="U43" i="14" s="1"/>
  <c r="B5" i="13"/>
  <c r="X43" i="13" s="1"/>
  <c r="B5" i="12"/>
  <c r="S42" i="12" s="1"/>
  <c r="E43" i="21"/>
  <c r="D43" i="21"/>
  <c r="E42" i="21"/>
  <c r="D42" i="21"/>
  <c r="E41" i="21"/>
  <c r="D41" i="21"/>
  <c r="E40" i="21"/>
  <c r="D40" i="21"/>
  <c r="E31" i="21"/>
  <c r="D31" i="21"/>
  <c r="E30" i="21"/>
  <c r="D30" i="21"/>
  <c r="E29" i="21"/>
  <c r="D29" i="21"/>
  <c r="D28" i="21"/>
  <c r="D51" i="14"/>
  <c r="D49" i="14"/>
  <c r="D51" i="13"/>
  <c r="D49" i="13"/>
  <c r="D51" i="12"/>
  <c r="D49" i="12"/>
  <c r="D134" i="12" s="1"/>
  <c r="D58" i="13"/>
  <c r="D58" i="12"/>
  <c r="B47" i="20"/>
  <c r="B45" i="20"/>
  <c r="B44" i="20"/>
  <c r="B43" i="20"/>
  <c r="B42" i="20"/>
  <c r="B10" i="20"/>
  <c r="B46" i="20" s="1"/>
  <c r="B8" i="20"/>
  <c r="B7" i="20"/>
  <c r="E130" i="13"/>
  <c r="F130" i="13" s="1"/>
  <c r="G130" i="13" s="1"/>
  <c r="H130" i="13" s="1"/>
  <c r="I130" i="13" s="1"/>
  <c r="J130" i="13" s="1"/>
  <c r="K130" i="13" s="1"/>
  <c r="L130" i="13" s="1"/>
  <c r="M130" i="13" s="1"/>
  <c r="N130" i="13" s="1"/>
  <c r="O130" i="13" s="1"/>
  <c r="P130" i="13" s="1"/>
  <c r="X127" i="13"/>
  <c r="X129" i="13" s="1"/>
  <c r="W127" i="13"/>
  <c r="W129" i="13" s="1"/>
  <c r="V127" i="13"/>
  <c r="V129" i="13" s="1"/>
  <c r="U127" i="13"/>
  <c r="U129" i="13" s="1"/>
  <c r="T127" i="13"/>
  <c r="T129" i="13" s="1"/>
  <c r="S127" i="13"/>
  <c r="S129" i="13" s="1"/>
  <c r="R127" i="13"/>
  <c r="R129" i="13" s="1"/>
  <c r="Q127" i="13"/>
  <c r="Q129" i="13" s="1"/>
  <c r="P127" i="13"/>
  <c r="P129" i="13" s="1"/>
  <c r="O127" i="13"/>
  <c r="O129" i="13" s="1"/>
  <c r="N127" i="13"/>
  <c r="N129" i="13" s="1"/>
  <c r="M127" i="13"/>
  <c r="M129" i="13" s="1"/>
  <c r="L127" i="13"/>
  <c r="L129" i="13" s="1"/>
  <c r="K127" i="13"/>
  <c r="K129" i="13" s="1"/>
  <c r="J127" i="13"/>
  <c r="J129" i="13" s="1"/>
  <c r="I127" i="13"/>
  <c r="I129" i="13" s="1"/>
  <c r="H127" i="13"/>
  <c r="H129" i="13" s="1"/>
  <c r="G127" i="13"/>
  <c r="G129" i="13" s="1"/>
  <c r="F127" i="13"/>
  <c r="F129" i="13" s="1"/>
  <c r="E127" i="13"/>
  <c r="E129" i="13" s="1"/>
  <c r="D127" i="13"/>
  <c r="D129" i="13" s="1"/>
  <c r="D132" i="13" s="1"/>
  <c r="E131" i="14"/>
  <c r="F131" i="14" s="1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X128" i="14"/>
  <c r="X130" i="14" s="1"/>
  <c r="W128" i="14"/>
  <c r="W130" i="14" s="1"/>
  <c r="V128" i="14"/>
  <c r="V130" i="14" s="1"/>
  <c r="U128" i="14"/>
  <c r="U130" i="14" s="1"/>
  <c r="T128" i="14"/>
  <c r="T130" i="14" s="1"/>
  <c r="S128" i="14"/>
  <c r="S130" i="14" s="1"/>
  <c r="R128" i="14"/>
  <c r="R130" i="14" s="1"/>
  <c r="Q128" i="14"/>
  <c r="Q130" i="14" s="1"/>
  <c r="P128" i="14"/>
  <c r="P130" i="14" s="1"/>
  <c r="O128" i="14"/>
  <c r="O130" i="14" s="1"/>
  <c r="N128" i="14"/>
  <c r="N130" i="14" s="1"/>
  <c r="M128" i="14"/>
  <c r="M130" i="14" s="1"/>
  <c r="L128" i="14"/>
  <c r="L130" i="14" s="1"/>
  <c r="K128" i="14"/>
  <c r="K130" i="14" s="1"/>
  <c r="J128" i="14"/>
  <c r="J130" i="14" s="1"/>
  <c r="I128" i="14"/>
  <c r="I130" i="14" s="1"/>
  <c r="H128" i="14"/>
  <c r="H130" i="14" s="1"/>
  <c r="G128" i="14"/>
  <c r="G130" i="14" s="1"/>
  <c r="F128" i="14"/>
  <c r="F130" i="14" s="1"/>
  <c r="E128" i="14"/>
  <c r="E130" i="14" s="1"/>
  <c r="D128" i="14"/>
  <c r="D130" i="14" s="1"/>
  <c r="D133" i="14" s="1"/>
  <c r="E131" i="12"/>
  <c r="F131" i="12" s="1"/>
  <c r="G131" i="12" s="1"/>
  <c r="H131" i="12" s="1"/>
  <c r="I131" i="12" s="1"/>
  <c r="J131" i="12" s="1"/>
  <c r="X128" i="12"/>
  <c r="X130" i="12" s="1"/>
  <c r="W128" i="12"/>
  <c r="W130" i="12" s="1"/>
  <c r="V128" i="12"/>
  <c r="V130" i="12" s="1"/>
  <c r="U128" i="12"/>
  <c r="U130" i="12" s="1"/>
  <c r="T128" i="12"/>
  <c r="T130" i="12" s="1"/>
  <c r="S128" i="12"/>
  <c r="S130" i="12" s="1"/>
  <c r="R128" i="12"/>
  <c r="R130" i="12" s="1"/>
  <c r="Q128" i="12"/>
  <c r="Q130" i="12" s="1"/>
  <c r="P128" i="12"/>
  <c r="P130" i="12" s="1"/>
  <c r="O128" i="12"/>
  <c r="O130" i="12" s="1"/>
  <c r="N128" i="12"/>
  <c r="N130" i="12" s="1"/>
  <c r="M128" i="12"/>
  <c r="M130" i="12" s="1"/>
  <c r="L128" i="12"/>
  <c r="L130" i="12" s="1"/>
  <c r="K128" i="12"/>
  <c r="K130" i="12" s="1"/>
  <c r="J128" i="12"/>
  <c r="J130" i="12" s="1"/>
  <c r="I128" i="12"/>
  <c r="I130" i="12" s="1"/>
  <c r="H128" i="12"/>
  <c r="H130" i="12" s="1"/>
  <c r="G128" i="12"/>
  <c r="G130" i="12" s="1"/>
  <c r="F128" i="12"/>
  <c r="F130" i="12" s="1"/>
  <c r="E128" i="12"/>
  <c r="E130" i="12" s="1"/>
  <c r="D128" i="12"/>
  <c r="D130" i="12" s="1"/>
  <c r="D133" i="12" s="1"/>
  <c r="G106" i="13"/>
  <c r="F106" i="13"/>
  <c r="C106" i="13"/>
  <c r="D106" i="13"/>
  <c r="E106" i="13"/>
  <c r="D106" i="14" l="1"/>
  <c r="C106" i="14"/>
  <c r="F106" i="14"/>
  <c r="E106" i="14"/>
  <c r="C106" i="12"/>
  <c r="D106" i="12"/>
  <c r="F116" i="12"/>
  <c r="E106" i="12"/>
  <c r="G116" i="12"/>
  <c r="F106" i="12"/>
  <c r="D116" i="12"/>
  <c r="G106" i="12"/>
  <c r="C116" i="12"/>
  <c r="P40" i="12"/>
  <c r="Q40" i="12"/>
  <c r="W43" i="12"/>
  <c r="S42" i="13"/>
  <c r="X39" i="12"/>
  <c r="O40" i="12"/>
  <c r="V41" i="12"/>
  <c r="W41" i="12"/>
  <c r="O42" i="12"/>
  <c r="T43" i="12"/>
  <c r="U43" i="12"/>
  <c r="X41" i="12"/>
  <c r="V43" i="12"/>
  <c r="U42" i="13"/>
  <c r="T42" i="13"/>
  <c r="R39" i="13"/>
  <c r="V42" i="13"/>
  <c r="W42" i="13"/>
  <c r="Q39" i="13"/>
  <c r="S39" i="13"/>
  <c r="U39" i="13"/>
  <c r="W40" i="13"/>
  <c r="B49" i="20"/>
  <c r="X40" i="13"/>
  <c r="B50" i="20"/>
  <c r="T39" i="13"/>
  <c r="P41" i="13"/>
  <c r="T40" i="14"/>
  <c r="O41" i="13"/>
  <c r="Q41" i="13"/>
  <c r="Q43" i="13"/>
  <c r="R40" i="12"/>
  <c r="S40" i="12"/>
  <c r="T40" i="12"/>
  <c r="S41" i="13"/>
  <c r="T41" i="13"/>
  <c r="V42" i="12"/>
  <c r="R39" i="12"/>
  <c r="P41" i="12"/>
  <c r="X42" i="12"/>
  <c r="Q40" i="13"/>
  <c r="W41" i="13"/>
  <c r="S43" i="13"/>
  <c r="R41" i="13"/>
  <c r="T42" i="12"/>
  <c r="W39" i="13"/>
  <c r="O43" i="13"/>
  <c r="U40" i="12"/>
  <c r="V43" i="14"/>
  <c r="X40" i="12"/>
  <c r="B111" i="12" s="1"/>
  <c r="U41" i="13"/>
  <c r="W42" i="12"/>
  <c r="V41" i="13"/>
  <c r="R43" i="13"/>
  <c r="S39" i="12"/>
  <c r="O43" i="12"/>
  <c r="R40" i="13"/>
  <c r="T43" i="13"/>
  <c r="T39" i="12"/>
  <c r="R41" i="12"/>
  <c r="U43" i="13"/>
  <c r="U39" i="12"/>
  <c r="S41" i="12"/>
  <c r="Q43" i="12"/>
  <c r="T40" i="13"/>
  <c r="P42" i="13"/>
  <c r="V43" i="13"/>
  <c r="V39" i="12"/>
  <c r="T41" i="12"/>
  <c r="R43" i="12"/>
  <c r="O39" i="13"/>
  <c r="U40" i="13"/>
  <c r="Q42" i="13"/>
  <c r="W43" i="13"/>
  <c r="P42" i="12"/>
  <c r="Q42" i="12"/>
  <c r="V39" i="13"/>
  <c r="X42" i="13"/>
  <c r="P42" i="14"/>
  <c r="U42" i="12"/>
  <c r="X39" i="13"/>
  <c r="P43" i="13"/>
  <c r="O40" i="13"/>
  <c r="O39" i="12"/>
  <c r="O41" i="12"/>
  <c r="P40" i="13"/>
  <c r="Q41" i="12"/>
  <c r="X41" i="13"/>
  <c r="P43" i="12"/>
  <c r="S40" i="13"/>
  <c r="O42" i="13"/>
  <c r="W39" i="12"/>
  <c r="U41" i="12"/>
  <c r="S43" i="12"/>
  <c r="P39" i="13"/>
  <c r="V40" i="13"/>
  <c r="R42" i="13"/>
  <c r="Q42" i="14"/>
  <c r="X40" i="14"/>
  <c r="U39" i="14"/>
  <c r="V39" i="14"/>
  <c r="X42" i="14"/>
  <c r="P43" i="14"/>
  <c r="Q39" i="14"/>
  <c r="U42" i="14"/>
  <c r="V42" i="14"/>
  <c r="O43" i="14"/>
  <c r="U40" i="14"/>
  <c r="R42" i="14"/>
  <c r="P40" i="14"/>
  <c r="V41" i="14"/>
  <c r="R43" i="14"/>
  <c r="P39" i="14"/>
  <c r="V40" i="14"/>
  <c r="R39" i="14"/>
  <c r="T42" i="14"/>
  <c r="P41" i="14"/>
  <c r="W42" i="14"/>
  <c r="W39" i="14"/>
  <c r="X39" i="14"/>
  <c r="Q40" i="14"/>
  <c r="W41" i="14"/>
  <c r="S43" i="14"/>
  <c r="W43" i="14"/>
  <c r="W40" i="14"/>
  <c r="O41" i="14"/>
  <c r="T41" i="14"/>
  <c r="O40" i="14"/>
  <c r="R40" i="14"/>
  <c r="X41" i="14"/>
  <c r="T43" i="14"/>
  <c r="O39" i="14"/>
  <c r="X43" i="14"/>
  <c r="S42" i="14"/>
  <c r="S39" i="14"/>
  <c r="T39" i="14"/>
  <c r="Q41" i="14"/>
  <c r="R41" i="14"/>
  <c r="S41" i="14"/>
  <c r="U41" i="14"/>
  <c r="Q43" i="14"/>
  <c r="S40" i="14"/>
  <c r="O42" i="14"/>
  <c r="P39" i="12"/>
  <c r="V40" i="12"/>
  <c r="R42" i="12"/>
  <c r="X43" i="12"/>
  <c r="Q39" i="12"/>
  <c r="W40" i="12"/>
  <c r="D50" i="12"/>
  <c r="B9" i="20"/>
  <c r="B11" i="20" s="1"/>
  <c r="E132" i="13"/>
  <c r="F132" i="13"/>
  <c r="H132" i="13"/>
  <c r="G132" i="13"/>
  <c r="D135" i="12"/>
  <c r="F133" i="12"/>
  <c r="J132" i="13"/>
  <c r="L132" i="13"/>
  <c r="N132" i="13"/>
  <c r="O132" i="13"/>
  <c r="K133" i="14"/>
  <c r="J133" i="14"/>
  <c r="I132" i="13"/>
  <c r="K132" i="13"/>
  <c r="P132" i="13"/>
  <c r="Q130" i="13"/>
  <c r="R130" i="13" s="1"/>
  <c r="S130" i="13" s="1"/>
  <c r="T130" i="13" s="1"/>
  <c r="U130" i="13" s="1"/>
  <c r="V130" i="13" s="1"/>
  <c r="W130" i="13" s="1"/>
  <c r="X130" i="13" s="1"/>
  <c r="X132" i="13" s="1"/>
  <c r="M132" i="13"/>
  <c r="E133" i="14"/>
  <c r="N133" i="14"/>
  <c r="F133" i="14"/>
  <c r="G133" i="14"/>
  <c r="H133" i="14"/>
  <c r="I133" i="14"/>
  <c r="O133" i="14"/>
  <c r="E133" i="12"/>
  <c r="P133" i="14"/>
  <c r="Q131" i="14"/>
  <c r="R131" i="14" s="1"/>
  <c r="S131" i="14" s="1"/>
  <c r="T131" i="14" s="1"/>
  <c r="U131" i="14" s="1"/>
  <c r="V131" i="14" s="1"/>
  <c r="W131" i="14" s="1"/>
  <c r="X131" i="14" s="1"/>
  <c r="X133" i="14" s="1"/>
  <c r="L133" i="14"/>
  <c r="M133" i="14"/>
  <c r="G133" i="12"/>
  <c r="H133" i="12"/>
  <c r="I133" i="12"/>
  <c r="J133" i="12"/>
  <c r="K131" i="12"/>
  <c r="C27" i="20" l="1"/>
  <c r="C25" i="20"/>
  <c r="C26" i="20"/>
  <c r="C24" i="20"/>
  <c r="C29" i="20"/>
  <c r="B107" i="12"/>
  <c r="B110" i="12"/>
  <c r="B108" i="12"/>
  <c r="B109" i="12"/>
  <c r="V133" i="14"/>
  <c r="Q133" i="14"/>
  <c r="W132" i="13"/>
  <c r="S132" i="13"/>
  <c r="V132" i="13"/>
  <c r="U132" i="13"/>
  <c r="R132" i="13"/>
  <c r="T132" i="13"/>
  <c r="Q132" i="13"/>
  <c r="R133" i="14"/>
  <c r="S133" i="14"/>
  <c r="T133" i="14"/>
  <c r="W133" i="14"/>
  <c r="U133" i="14"/>
  <c r="K133" i="12"/>
  <c r="L131" i="12"/>
  <c r="L133" i="12" l="1"/>
  <c r="M131" i="12"/>
  <c r="N131" i="12" l="1"/>
  <c r="M133" i="12"/>
  <c r="O131" i="12" l="1"/>
  <c r="N133" i="12"/>
  <c r="P131" i="12" l="1"/>
  <c r="O133" i="12"/>
  <c r="Q131" i="12" l="1"/>
  <c r="P133" i="12"/>
  <c r="R131" i="12" l="1"/>
  <c r="Q133" i="12"/>
  <c r="S131" i="12" l="1"/>
  <c r="R133" i="12"/>
  <c r="T131" i="12" l="1"/>
  <c r="S133" i="12"/>
  <c r="U131" i="12" l="1"/>
  <c r="T133" i="12"/>
  <c r="V131" i="12" l="1"/>
  <c r="U133" i="12"/>
  <c r="W131" i="12" l="1"/>
  <c r="V133" i="12"/>
  <c r="X131" i="12" l="1"/>
  <c r="X133" i="12" s="1"/>
  <c r="W133" i="12"/>
  <c r="D30" i="15" l="1"/>
  <c r="D31" i="15" s="1"/>
  <c r="C30" i="15"/>
  <c r="C31" i="15" s="1"/>
  <c r="B30" i="15"/>
  <c r="B31" i="15" s="1"/>
  <c r="D23" i="16" l="1"/>
  <c r="C23" i="16"/>
  <c r="B23" i="16"/>
  <c r="E30" i="16" l="1"/>
  <c r="C30" i="16"/>
  <c r="E29" i="16"/>
  <c r="C29" i="16"/>
  <c r="E28" i="16"/>
  <c r="C28" i="16"/>
  <c r="D10" i="16"/>
  <c r="C10" i="16"/>
  <c r="B10" i="16"/>
  <c r="B34" i="12"/>
  <c r="B24" i="12"/>
  <c r="B44" i="12" s="1"/>
  <c r="B14" i="12"/>
  <c r="B34" i="14"/>
  <c r="B24" i="14"/>
  <c r="B44" i="14" s="1"/>
  <c r="B14" i="14"/>
  <c r="B34" i="13"/>
  <c r="B24" i="13"/>
  <c r="B44" i="13" s="1"/>
  <c r="B14" i="13"/>
  <c r="D36" i="15"/>
  <c r="C36" i="15"/>
  <c r="B36" i="15"/>
  <c r="B58" i="14"/>
  <c r="C58" i="14"/>
  <c r="D58" i="14"/>
  <c r="B54" i="14"/>
  <c r="C54" i="14"/>
  <c r="C55" i="14" s="1"/>
  <c r="D54" i="14"/>
  <c r="D56" i="14" s="1"/>
  <c r="D57" i="14" s="1"/>
  <c r="B52" i="14"/>
  <c r="C52" i="14"/>
  <c r="C50" i="14"/>
  <c r="N43" i="14"/>
  <c r="M43" i="14"/>
  <c r="L43" i="14"/>
  <c r="K43" i="14"/>
  <c r="J43" i="14"/>
  <c r="I43" i="14"/>
  <c r="H43" i="14"/>
  <c r="G43" i="14"/>
  <c r="F43" i="14"/>
  <c r="E43" i="14"/>
  <c r="N42" i="14"/>
  <c r="M42" i="14"/>
  <c r="L42" i="14"/>
  <c r="K42" i="14"/>
  <c r="J42" i="14"/>
  <c r="I42" i="14"/>
  <c r="H42" i="14"/>
  <c r="G42" i="14"/>
  <c r="F42" i="14"/>
  <c r="E42" i="14"/>
  <c r="N41" i="14"/>
  <c r="M41" i="14"/>
  <c r="L41" i="14"/>
  <c r="K41" i="14"/>
  <c r="J41" i="14"/>
  <c r="I41" i="14"/>
  <c r="H41" i="14"/>
  <c r="G41" i="14"/>
  <c r="F41" i="14"/>
  <c r="E41" i="14"/>
  <c r="N40" i="14"/>
  <c r="M40" i="14"/>
  <c r="L40" i="14"/>
  <c r="K40" i="14"/>
  <c r="J40" i="14"/>
  <c r="I40" i="14"/>
  <c r="H40" i="14"/>
  <c r="G40" i="14"/>
  <c r="F40" i="14"/>
  <c r="E40" i="14"/>
  <c r="N39" i="14"/>
  <c r="M39" i="14"/>
  <c r="L39" i="14"/>
  <c r="K39" i="14"/>
  <c r="J39" i="14"/>
  <c r="I39" i="14"/>
  <c r="H39" i="14"/>
  <c r="G39" i="14"/>
  <c r="F39" i="14"/>
  <c r="E39" i="14"/>
  <c r="C5" i="14"/>
  <c r="B58" i="13"/>
  <c r="C58" i="13"/>
  <c r="B54" i="13"/>
  <c r="B56" i="13" s="1"/>
  <c r="B57" i="13" s="1"/>
  <c r="C54" i="13"/>
  <c r="C56" i="13" s="1"/>
  <c r="D54" i="13"/>
  <c r="B52" i="13"/>
  <c r="C52" i="13"/>
  <c r="C50" i="13"/>
  <c r="N43" i="13"/>
  <c r="M43" i="13"/>
  <c r="L43" i="13"/>
  <c r="K43" i="13"/>
  <c r="J43" i="13"/>
  <c r="I43" i="13"/>
  <c r="H43" i="13"/>
  <c r="G43" i="13"/>
  <c r="F43" i="13"/>
  <c r="E43" i="13"/>
  <c r="N42" i="13"/>
  <c r="M42" i="13"/>
  <c r="L42" i="13"/>
  <c r="K42" i="13"/>
  <c r="J42" i="13"/>
  <c r="I42" i="13"/>
  <c r="H42" i="13"/>
  <c r="G42" i="13"/>
  <c r="F42" i="13"/>
  <c r="E42" i="13"/>
  <c r="N41" i="13"/>
  <c r="M41" i="13"/>
  <c r="L41" i="13"/>
  <c r="K41" i="13"/>
  <c r="J41" i="13"/>
  <c r="I41" i="13"/>
  <c r="H41" i="13"/>
  <c r="G41" i="13"/>
  <c r="F41" i="13"/>
  <c r="E41" i="13"/>
  <c r="N40" i="13"/>
  <c r="M40" i="13"/>
  <c r="L40" i="13"/>
  <c r="K40" i="13"/>
  <c r="J40" i="13"/>
  <c r="I40" i="13"/>
  <c r="H40" i="13"/>
  <c r="G40" i="13"/>
  <c r="F40" i="13"/>
  <c r="E40" i="13"/>
  <c r="N39" i="13"/>
  <c r="M39" i="13"/>
  <c r="L39" i="13"/>
  <c r="K39" i="13"/>
  <c r="J39" i="13"/>
  <c r="I39" i="13"/>
  <c r="H39" i="13"/>
  <c r="G39" i="13"/>
  <c r="F39" i="13"/>
  <c r="E39" i="13"/>
  <c r="C5" i="13"/>
  <c r="B58" i="12"/>
  <c r="C58" i="12"/>
  <c r="B54" i="12"/>
  <c r="B55" i="12" s="1"/>
  <c r="C54" i="12"/>
  <c r="C56" i="12" s="1"/>
  <c r="B52" i="12"/>
  <c r="C52" i="12"/>
  <c r="C50" i="12"/>
  <c r="N43" i="12"/>
  <c r="M43" i="12"/>
  <c r="L43" i="12"/>
  <c r="K43" i="12"/>
  <c r="J43" i="12"/>
  <c r="I43" i="12"/>
  <c r="H43" i="12"/>
  <c r="G43" i="12"/>
  <c r="F43" i="12"/>
  <c r="E43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F39" i="12"/>
  <c r="E39" i="12"/>
  <c r="C5" i="12"/>
  <c r="B42" i="15"/>
  <c r="C42" i="15"/>
  <c r="D42" i="15"/>
  <c r="B41" i="15"/>
  <c r="C41" i="15"/>
  <c r="D41" i="15"/>
  <c r="E13" i="15"/>
  <c r="E14" i="15"/>
  <c r="E15" i="15"/>
  <c r="E16" i="15"/>
  <c r="E17" i="15"/>
  <c r="E18" i="15"/>
  <c r="E19" i="15"/>
  <c r="E49" i="12" l="1"/>
  <c r="E59" i="12" s="1"/>
  <c r="F96" i="14"/>
  <c r="C96" i="14"/>
  <c r="E96" i="14"/>
  <c r="G96" i="14"/>
  <c r="D96" i="14"/>
  <c r="C96" i="13"/>
  <c r="G96" i="13"/>
  <c r="E96" i="13"/>
  <c r="D96" i="13"/>
  <c r="F96" i="13"/>
  <c r="G96" i="12"/>
  <c r="F96" i="12"/>
  <c r="C96" i="12"/>
  <c r="D96" i="12"/>
  <c r="E96" i="12"/>
  <c r="B61" i="13"/>
  <c r="B62" i="13" s="1"/>
  <c r="B43" i="15"/>
  <c r="B47" i="15" s="1"/>
  <c r="C55" i="13"/>
  <c r="C56" i="14"/>
  <c r="C57" i="14" s="1"/>
  <c r="C61" i="14" s="1"/>
  <c r="C62" i="14" s="1"/>
  <c r="B55" i="14"/>
  <c r="C43" i="15"/>
  <c r="B48" i="15" s="1"/>
  <c r="B56" i="14"/>
  <c r="B57" i="14" s="1"/>
  <c r="B61" i="14" s="1"/>
  <c r="B62" i="14" s="1"/>
  <c r="B55" i="13"/>
  <c r="B56" i="12"/>
  <c r="B57" i="12" s="1"/>
  <c r="B61" i="12" s="1"/>
  <c r="B62" i="12" s="1"/>
  <c r="C57" i="13"/>
  <c r="C61" i="13" s="1"/>
  <c r="C62" i="13" s="1"/>
  <c r="D56" i="13"/>
  <c r="D57" i="13" s="1"/>
  <c r="D61" i="13" s="1"/>
  <c r="D61" i="14"/>
  <c r="C57" i="12"/>
  <c r="C61" i="12" s="1"/>
  <c r="C62" i="12" s="1"/>
  <c r="D43" i="15"/>
  <c r="C55" i="12"/>
  <c r="D27" i="27" l="1"/>
  <c r="C35" i="27"/>
  <c r="B15" i="12"/>
  <c r="B35" i="27"/>
  <c r="D26" i="27"/>
  <c r="E7" i="21"/>
  <c r="B29" i="21" s="1"/>
  <c r="E134" i="12"/>
  <c r="E135" i="12" s="1"/>
  <c r="E51" i="12"/>
  <c r="E10" i="21" s="1"/>
  <c r="B32" i="21" s="1"/>
  <c r="E60" i="12"/>
  <c r="E50" i="12"/>
  <c r="F49" i="12"/>
  <c r="E53" i="12"/>
  <c r="D28" i="16"/>
  <c r="B35" i="12"/>
  <c r="B25" i="12"/>
  <c r="B45" i="12" s="1"/>
  <c r="D29" i="16"/>
  <c r="B49" i="15"/>
  <c r="D30" i="16"/>
  <c r="B25" i="13"/>
  <c r="B45" i="13" s="1"/>
  <c r="B15" i="13"/>
  <c r="B35" i="13"/>
  <c r="D35" i="27" l="1"/>
  <c r="D28" i="27"/>
  <c r="B66" i="11"/>
  <c r="B65" i="11"/>
  <c r="B64" i="11"/>
  <c r="B63" i="11"/>
  <c r="B62" i="11"/>
  <c r="B52" i="11"/>
  <c r="A41" i="16" s="1"/>
  <c r="B53" i="11"/>
  <c r="A42" i="16" s="1"/>
  <c r="B54" i="11"/>
  <c r="A43" i="16" s="1"/>
  <c r="B55" i="11"/>
  <c r="A44" i="16" s="1"/>
  <c r="B56" i="11"/>
  <c r="A45" i="16" s="1"/>
  <c r="F7" i="21"/>
  <c r="F134" i="12"/>
  <c r="F135" i="12" s="1"/>
  <c r="E58" i="12"/>
  <c r="E52" i="12"/>
  <c r="F50" i="12"/>
  <c r="F53" i="12"/>
  <c r="F51" i="12"/>
  <c r="F10" i="21" s="1"/>
  <c r="F60" i="12"/>
  <c r="G49" i="12"/>
  <c r="E54" i="12"/>
  <c r="E56" i="12" s="1"/>
  <c r="E57" i="12" s="1"/>
  <c r="F59" i="12"/>
  <c r="P67" i="12"/>
  <c r="B121" i="12"/>
  <c r="M67" i="12"/>
  <c r="W67" i="12"/>
  <c r="E31" i="11"/>
  <c r="B118" i="12"/>
  <c r="J67" i="12"/>
  <c r="F67" i="12"/>
  <c r="E67" i="12"/>
  <c r="K67" i="12"/>
  <c r="I67" i="12"/>
  <c r="H67" i="12"/>
  <c r="G67" i="12"/>
  <c r="B120" i="12"/>
  <c r="B117" i="12"/>
  <c r="N67" i="12"/>
  <c r="X67" i="12"/>
  <c r="B99" i="12"/>
  <c r="L67" i="12"/>
  <c r="O67" i="12"/>
  <c r="B97" i="12"/>
  <c r="B107" i="13"/>
  <c r="B108" i="13"/>
  <c r="B109" i="13"/>
  <c r="B110" i="13"/>
  <c r="B111" i="13"/>
  <c r="Q67" i="12"/>
  <c r="R67" i="12"/>
  <c r="B101" i="12"/>
  <c r="T67" i="12"/>
  <c r="B98" i="12"/>
  <c r="B119" i="12"/>
  <c r="B100" i="12"/>
  <c r="V67" i="12"/>
  <c r="U67" i="12"/>
  <c r="B97" i="13"/>
  <c r="B98" i="13"/>
  <c r="B99" i="13"/>
  <c r="B101" i="13"/>
  <c r="B100" i="13"/>
  <c r="S67" i="12"/>
  <c r="R67" i="13"/>
  <c r="X67" i="13"/>
  <c r="T67" i="13"/>
  <c r="W67" i="13"/>
  <c r="Q67" i="13"/>
  <c r="V67" i="13"/>
  <c r="S67" i="13"/>
  <c r="U67" i="13"/>
  <c r="P67" i="13"/>
  <c r="O67" i="13"/>
  <c r="B35" i="14"/>
  <c r="B25" i="14"/>
  <c r="B45" i="14" s="1"/>
  <c r="B15" i="14"/>
  <c r="L67" i="13"/>
  <c r="E67" i="13"/>
  <c r="H67" i="13"/>
  <c r="J67" i="13"/>
  <c r="G67" i="13"/>
  <c r="I67" i="13"/>
  <c r="N67" i="13"/>
  <c r="F67" i="13"/>
  <c r="K67" i="13"/>
  <c r="E32" i="11"/>
  <c r="M67" i="13"/>
  <c r="F21" i="21" l="1"/>
  <c r="B41" i="21"/>
  <c r="G7" i="21"/>
  <c r="D133" i="13"/>
  <c r="D134" i="13" s="1"/>
  <c r="D50" i="13"/>
  <c r="D52" i="13"/>
  <c r="D55" i="13"/>
  <c r="E49" i="13"/>
  <c r="D62" i="13"/>
  <c r="F58" i="12"/>
  <c r="E61" i="12"/>
  <c r="D134" i="14"/>
  <c r="D135" i="14" s="1"/>
  <c r="D50" i="14"/>
  <c r="D52" i="14"/>
  <c r="E49" i="14"/>
  <c r="E9" i="21" s="1"/>
  <c r="B31" i="21" s="1"/>
  <c r="D55" i="14"/>
  <c r="D62" i="14"/>
  <c r="G134" i="12"/>
  <c r="G135" i="12" s="1"/>
  <c r="F52" i="12"/>
  <c r="G50" i="12"/>
  <c r="H49" i="12"/>
  <c r="H134" i="12" s="1"/>
  <c r="H135" i="12" s="1"/>
  <c r="G51" i="12"/>
  <c r="G10" i="21" s="1"/>
  <c r="F54" i="12"/>
  <c r="F56" i="12" s="1"/>
  <c r="G53" i="12"/>
  <c r="G59" i="12"/>
  <c r="G60" i="12"/>
  <c r="E55" i="12"/>
  <c r="B107" i="14"/>
  <c r="B108" i="14"/>
  <c r="B109" i="14"/>
  <c r="B111" i="14"/>
  <c r="B110" i="14"/>
  <c r="B97" i="14"/>
  <c r="B100" i="14"/>
  <c r="B98" i="14"/>
  <c r="B99" i="14"/>
  <c r="B101" i="14"/>
  <c r="T67" i="14"/>
  <c r="X67" i="14"/>
  <c r="O67" i="14"/>
  <c r="W67" i="14"/>
  <c r="V67" i="14"/>
  <c r="R67" i="14"/>
  <c r="U67" i="14"/>
  <c r="Q67" i="14"/>
  <c r="P67" i="14"/>
  <c r="S67" i="14"/>
  <c r="E33" i="11"/>
  <c r="H67" i="14"/>
  <c r="N67" i="14"/>
  <c r="K67" i="14"/>
  <c r="L67" i="14"/>
  <c r="E67" i="14"/>
  <c r="M67" i="14"/>
  <c r="J67" i="14"/>
  <c r="I67" i="14"/>
  <c r="F67" i="14"/>
  <c r="G67" i="14"/>
  <c r="H50" i="12"/>
  <c r="H60" i="12"/>
  <c r="I49" i="12"/>
  <c r="I134" i="12" s="1"/>
  <c r="I135" i="12" s="1"/>
  <c r="H59" i="12"/>
  <c r="E62" i="12" l="1"/>
  <c r="E8" i="21"/>
  <c r="B30" i="21" s="1"/>
  <c r="E6" i="21"/>
  <c r="B28" i="21" s="1"/>
  <c r="G54" i="12"/>
  <c r="G56" i="12" s="1"/>
  <c r="H51" i="12"/>
  <c r="H52" i="12" s="1"/>
  <c r="F57" i="12"/>
  <c r="F61" i="12" s="1"/>
  <c r="F62" i="12" s="1"/>
  <c r="G52" i="12"/>
  <c r="E53" i="13"/>
  <c r="E59" i="13"/>
  <c r="E60" i="13"/>
  <c r="E50" i="13"/>
  <c r="F49" i="13"/>
  <c r="E51" i="13"/>
  <c r="E11" i="21" s="1"/>
  <c r="B33" i="21" s="1"/>
  <c r="E133" i="13"/>
  <c r="E134" i="13" s="1"/>
  <c r="E68" i="12"/>
  <c r="E69" i="12" s="1"/>
  <c r="F49" i="14"/>
  <c r="F9" i="21" s="1"/>
  <c r="E51" i="14"/>
  <c r="E12" i="21" s="1"/>
  <c r="B34" i="21" s="1"/>
  <c r="E134" i="14"/>
  <c r="E135" i="14" s="1"/>
  <c r="E60" i="14"/>
  <c r="E59" i="14"/>
  <c r="E50" i="14"/>
  <c r="E53" i="14"/>
  <c r="E58" i="14" s="1"/>
  <c r="G58" i="12"/>
  <c r="D52" i="12"/>
  <c r="D54" i="12"/>
  <c r="F55" i="12"/>
  <c r="H53" i="12"/>
  <c r="H58" i="12" s="1"/>
  <c r="I59" i="12"/>
  <c r="I53" i="12"/>
  <c r="I58" i="12" s="1"/>
  <c r="I50" i="12"/>
  <c r="I51" i="12"/>
  <c r="I60" i="12"/>
  <c r="J49" i="12"/>
  <c r="J134" i="12" s="1"/>
  <c r="J135" i="12" s="1"/>
  <c r="F68" i="12" l="1"/>
  <c r="F69" i="12" s="1"/>
  <c r="E14" i="21"/>
  <c r="B35" i="21" s="1"/>
  <c r="E13" i="21"/>
  <c r="H54" i="12"/>
  <c r="H56" i="12" s="1"/>
  <c r="H57" i="12" s="1"/>
  <c r="H61" i="12" s="1"/>
  <c r="F23" i="21"/>
  <c r="B43" i="21"/>
  <c r="B40" i="21"/>
  <c r="F8" i="21"/>
  <c r="F6" i="21"/>
  <c r="G55" i="12"/>
  <c r="G57" i="12"/>
  <c r="G61" i="12" s="1"/>
  <c r="F50" i="14"/>
  <c r="F59" i="14"/>
  <c r="F134" i="14"/>
  <c r="F135" i="14" s="1"/>
  <c r="G49" i="14"/>
  <c r="G9" i="21" s="1"/>
  <c r="F53" i="14"/>
  <c r="F58" i="14" s="1"/>
  <c r="F51" i="14"/>
  <c r="F12" i="21" s="1"/>
  <c r="F60" i="14"/>
  <c r="F53" i="13"/>
  <c r="F50" i="13"/>
  <c r="F59" i="13"/>
  <c r="F51" i="13"/>
  <c r="F11" i="21" s="1"/>
  <c r="G49" i="13"/>
  <c r="F60" i="13"/>
  <c r="F133" i="13"/>
  <c r="F134" i="13" s="1"/>
  <c r="E52" i="14"/>
  <c r="E54" i="14"/>
  <c r="E52" i="13"/>
  <c r="E54" i="13"/>
  <c r="E58" i="13"/>
  <c r="D56" i="12"/>
  <c r="D57" i="12" s="1"/>
  <c r="D61" i="12" s="1"/>
  <c r="D62" i="12" s="1"/>
  <c r="D55" i="12"/>
  <c r="K49" i="12"/>
  <c r="K134" i="12" s="1"/>
  <c r="K135" i="12" s="1"/>
  <c r="J59" i="12"/>
  <c r="J60" i="12"/>
  <c r="J50" i="12"/>
  <c r="J51" i="12"/>
  <c r="J53" i="12"/>
  <c r="J58" i="12" s="1"/>
  <c r="I52" i="12"/>
  <c r="I54" i="12"/>
  <c r="I56" i="12" s="1"/>
  <c r="G68" i="12" l="1"/>
  <c r="G69" i="12" s="1"/>
  <c r="H55" i="12"/>
  <c r="F22" i="21"/>
  <c r="B42" i="21"/>
  <c r="G62" i="12"/>
  <c r="F13" i="21"/>
  <c r="F14" i="21"/>
  <c r="F20" i="21"/>
  <c r="G8" i="21"/>
  <c r="G6" i="21"/>
  <c r="G60" i="13"/>
  <c r="G133" i="13"/>
  <c r="G134" i="13" s="1"/>
  <c r="G59" i="13"/>
  <c r="H49" i="13"/>
  <c r="G50" i="13"/>
  <c r="G51" i="13"/>
  <c r="G11" i="21" s="1"/>
  <c r="G53" i="13"/>
  <c r="F52" i="13"/>
  <c r="F54" i="13"/>
  <c r="F58" i="13"/>
  <c r="F52" i="14"/>
  <c r="F54" i="14"/>
  <c r="G50" i="14"/>
  <c r="G59" i="14"/>
  <c r="G134" i="14"/>
  <c r="G135" i="14" s="1"/>
  <c r="H49" i="14"/>
  <c r="G51" i="14"/>
  <c r="G12" i="21" s="1"/>
  <c r="G53" i="14"/>
  <c r="G58" i="14" s="1"/>
  <c r="G60" i="14"/>
  <c r="E56" i="13"/>
  <c r="E57" i="13" s="1"/>
  <c r="E61" i="13" s="1"/>
  <c r="E55" i="13"/>
  <c r="E56" i="14"/>
  <c r="E57" i="14" s="1"/>
  <c r="E61" i="14" s="1"/>
  <c r="E55" i="14"/>
  <c r="I55" i="12"/>
  <c r="I57" i="12"/>
  <c r="I61" i="12" s="1"/>
  <c r="H68" i="12"/>
  <c r="H69" i="12" s="1"/>
  <c r="H62" i="12"/>
  <c r="K51" i="12"/>
  <c r="K60" i="12"/>
  <c r="L49" i="12"/>
  <c r="L134" i="12" s="1"/>
  <c r="L135" i="12" s="1"/>
  <c r="K53" i="12"/>
  <c r="K58" i="12" s="1"/>
  <c r="K59" i="12"/>
  <c r="K50" i="12"/>
  <c r="J52" i="12"/>
  <c r="J54" i="12"/>
  <c r="J56" i="12" s="1"/>
  <c r="G13" i="21" l="1"/>
  <c r="B36" i="21"/>
  <c r="G14" i="21"/>
  <c r="E68" i="14"/>
  <c r="E69" i="14" s="1"/>
  <c r="E62" i="14"/>
  <c r="G52" i="14"/>
  <c r="G54" i="14"/>
  <c r="H53" i="13"/>
  <c r="H58" i="13" s="1"/>
  <c r="H60" i="13"/>
  <c r="H51" i="13"/>
  <c r="H50" i="13"/>
  <c r="H59" i="13"/>
  <c r="I49" i="13"/>
  <c r="H133" i="13"/>
  <c r="H134" i="13" s="1"/>
  <c r="F56" i="13"/>
  <c r="F57" i="13" s="1"/>
  <c r="F61" i="13" s="1"/>
  <c r="F55" i="13"/>
  <c r="E62" i="13"/>
  <c r="E68" i="13"/>
  <c r="E69" i="13" s="1"/>
  <c r="H60" i="14"/>
  <c r="H134" i="14"/>
  <c r="H135" i="14" s="1"/>
  <c r="H59" i="14"/>
  <c r="H50" i="14"/>
  <c r="H51" i="14"/>
  <c r="H53" i="14"/>
  <c r="H58" i="14" s="1"/>
  <c r="I49" i="14"/>
  <c r="G58" i="13"/>
  <c r="G52" i="13"/>
  <c r="G54" i="13"/>
  <c r="F56" i="14"/>
  <c r="F57" i="14" s="1"/>
  <c r="F61" i="14" s="1"/>
  <c r="F55" i="14"/>
  <c r="I62" i="12"/>
  <c r="I68" i="12"/>
  <c r="I69" i="12" s="1"/>
  <c r="L51" i="12"/>
  <c r="M49" i="12"/>
  <c r="M134" i="12" s="1"/>
  <c r="M135" i="12" s="1"/>
  <c r="L53" i="12"/>
  <c r="L58" i="12" s="1"/>
  <c r="L50" i="12"/>
  <c r="L59" i="12"/>
  <c r="L60" i="12"/>
  <c r="K54" i="12"/>
  <c r="K56" i="12" s="1"/>
  <c r="K52" i="12"/>
  <c r="J57" i="12"/>
  <c r="J61" i="12" s="1"/>
  <c r="J55" i="12"/>
  <c r="F68" i="14" l="1"/>
  <c r="F69" i="14" s="1"/>
  <c r="F62" i="14"/>
  <c r="G56" i="13"/>
  <c r="G57" i="13" s="1"/>
  <c r="G61" i="13" s="1"/>
  <c r="G55" i="13"/>
  <c r="I133" i="13"/>
  <c r="I134" i="13" s="1"/>
  <c r="I59" i="13"/>
  <c r="I53" i="13"/>
  <c r="I58" i="13" s="1"/>
  <c r="J49" i="13"/>
  <c r="I51" i="13"/>
  <c r="I50" i="13"/>
  <c r="I60" i="13"/>
  <c r="H54" i="13"/>
  <c r="H52" i="13"/>
  <c r="H52" i="14"/>
  <c r="H54" i="14"/>
  <c r="F62" i="13"/>
  <c r="F68" i="13"/>
  <c r="F69" i="13" s="1"/>
  <c r="I134" i="14"/>
  <c r="I135" i="14" s="1"/>
  <c r="I53" i="14"/>
  <c r="I58" i="14" s="1"/>
  <c r="I51" i="14"/>
  <c r="I60" i="14"/>
  <c r="I50" i="14"/>
  <c r="J49" i="14"/>
  <c r="I59" i="14"/>
  <c r="G56" i="14"/>
  <c r="G57" i="14" s="1"/>
  <c r="G61" i="14" s="1"/>
  <c r="G55" i="14"/>
  <c r="J62" i="12"/>
  <c r="J68" i="12"/>
  <c r="J69" i="12" s="1"/>
  <c r="L54" i="12"/>
  <c r="L56" i="12" s="1"/>
  <c r="L52" i="12"/>
  <c r="K55" i="12"/>
  <c r="K57" i="12"/>
  <c r="K61" i="12" s="1"/>
  <c r="M59" i="12"/>
  <c r="M51" i="12"/>
  <c r="N49" i="12"/>
  <c r="M60" i="12"/>
  <c r="M50" i="12"/>
  <c r="M53" i="12"/>
  <c r="M58" i="12" s="1"/>
  <c r="H55" i="14" l="1"/>
  <c r="H56" i="14"/>
  <c r="H57" i="14" s="1"/>
  <c r="H61" i="14" s="1"/>
  <c r="H55" i="13"/>
  <c r="H56" i="13"/>
  <c r="H57" i="13" s="1"/>
  <c r="H61" i="13" s="1"/>
  <c r="G62" i="13"/>
  <c r="G68" i="13"/>
  <c r="G69" i="13" s="1"/>
  <c r="I52" i="13"/>
  <c r="I54" i="13"/>
  <c r="I52" i="14"/>
  <c r="I54" i="14"/>
  <c r="G62" i="14"/>
  <c r="G68" i="14"/>
  <c r="G69" i="14" s="1"/>
  <c r="K49" i="13"/>
  <c r="J51" i="13"/>
  <c r="J53" i="13"/>
  <c r="J58" i="13" s="1"/>
  <c r="J59" i="13"/>
  <c r="J60" i="13"/>
  <c r="J133" i="13"/>
  <c r="J134" i="13" s="1"/>
  <c r="J50" i="13"/>
  <c r="J134" i="14"/>
  <c r="J135" i="14" s="1"/>
  <c r="J53" i="14"/>
  <c r="J58" i="14" s="1"/>
  <c r="J51" i="14"/>
  <c r="J60" i="14"/>
  <c r="K49" i="14"/>
  <c r="J59" i="14"/>
  <c r="J50" i="14"/>
  <c r="O49" i="12"/>
  <c r="O134" i="12" s="1"/>
  <c r="O135" i="12" s="1"/>
  <c r="N134" i="12"/>
  <c r="N135" i="12" s="1"/>
  <c r="K62" i="12"/>
  <c r="K68" i="12"/>
  <c r="K69" i="12" s="1"/>
  <c r="L57" i="12"/>
  <c r="L61" i="12" s="1"/>
  <c r="L55" i="12"/>
  <c r="N59" i="12"/>
  <c r="N60" i="12"/>
  <c r="N50" i="12"/>
  <c r="N53" i="12"/>
  <c r="N58" i="12" s="1"/>
  <c r="N51" i="12"/>
  <c r="M54" i="12"/>
  <c r="M56" i="12" s="1"/>
  <c r="M52" i="12"/>
  <c r="L49" i="13" l="1"/>
  <c r="K133" i="13"/>
  <c r="K134" i="13" s="1"/>
  <c r="K53" i="13"/>
  <c r="K58" i="13" s="1"/>
  <c r="K50" i="13"/>
  <c r="K51" i="13"/>
  <c r="K59" i="13"/>
  <c r="K60" i="13"/>
  <c r="I56" i="14"/>
  <c r="I57" i="14" s="1"/>
  <c r="I61" i="14" s="1"/>
  <c r="I55" i="14"/>
  <c r="I56" i="13"/>
  <c r="I57" i="13" s="1"/>
  <c r="I61" i="13" s="1"/>
  <c r="I55" i="13"/>
  <c r="H68" i="14"/>
  <c r="H69" i="14" s="1"/>
  <c r="H62" i="14"/>
  <c r="J52" i="13"/>
  <c r="J54" i="13"/>
  <c r="K134" i="14"/>
  <c r="K135" i="14" s="1"/>
  <c r="K60" i="14"/>
  <c r="K59" i="14"/>
  <c r="K50" i="14"/>
  <c r="K51" i="14"/>
  <c r="L49" i="14"/>
  <c r="K53" i="14"/>
  <c r="K58" i="14" s="1"/>
  <c r="J52" i="14"/>
  <c r="J54" i="14"/>
  <c r="H68" i="13"/>
  <c r="H69" i="13" s="1"/>
  <c r="H62" i="13"/>
  <c r="P49" i="12"/>
  <c r="P134" i="12" s="1"/>
  <c r="P135" i="12" s="1"/>
  <c r="O51" i="12"/>
  <c r="O52" i="12" s="1"/>
  <c r="O59" i="12"/>
  <c r="O60" i="12"/>
  <c r="O53" i="12"/>
  <c r="O58" i="12" s="1"/>
  <c r="O50" i="12"/>
  <c r="L68" i="12"/>
  <c r="L69" i="12" s="1"/>
  <c r="L62" i="12"/>
  <c r="M57" i="12"/>
  <c r="M61" i="12" s="1"/>
  <c r="M55" i="12"/>
  <c r="N54" i="12"/>
  <c r="N56" i="12" s="1"/>
  <c r="N52" i="12"/>
  <c r="P60" i="12" l="1"/>
  <c r="P50" i="12"/>
  <c r="J56" i="14"/>
  <c r="J57" i="14" s="1"/>
  <c r="J61" i="14" s="1"/>
  <c r="J55" i="14"/>
  <c r="K52" i="13"/>
  <c r="K54" i="13"/>
  <c r="I68" i="13"/>
  <c r="I69" i="13" s="1"/>
  <c r="I62" i="13"/>
  <c r="Q49" i="12"/>
  <c r="Q134" i="12" s="1"/>
  <c r="Q135" i="12" s="1"/>
  <c r="K52" i="14"/>
  <c r="K54" i="14"/>
  <c r="P59" i="12"/>
  <c r="L133" i="13"/>
  <c r="L134" i="13" s="1"/>
  <c r="M49" i="13"/>
  <c r="L60" i="13"/>
  <c r="L50" i="13"/>
  <c r="L53" i="13"/>
  <c r="L58" i="13" s="1"/>
  <c r="L51" i="13"/>
  <c r="L59" i="13"/>
  <c r="J55" i="13"/>
  <c r="J56" i="13"/>
  <c r="J57" i="13" s="1"/>
  <c r="J61" i="13" s="1"/>
  <c r="I62" i="14"/>
  <c r="I68" i="14"/>
  <c r="I69" i="14" s="1"/>
  <c r="L134" i="14"/>
  <c r="L135" i="14" s="1"/>
  <c r="L53" i="14"/>
  <c r="L58" i="14" s="1"/>
  <c r="M49" i="14"/>
  <c r="L60" i="14"/>
  <c r="L59" i="14"/>
  <c r="L51" i="14"/>
  <c r="L50" i="14"/>
  <c r="P51" i="12"/>
  <c r="P53" i="12"/>
  <c r="P58" i="12" s="1"/>
  <c r="O54" i="12"/>
  <c r="O55" i="12" s="1"/>
  <c r="M62" i="12"/>
  <c r="M68" i="12"/>
  <c r="M69" i="12" s="1"/>
  <c r="N55" i="12"/>
  <c r="N57" i="12"/>
  <c r="N61" i="12" s="1"/>
  <c r="P54" i="12" l="1"/>
  <c r="P55" i="12" s="1"/>
  <c r="P52" i="12"/>
  <c r="Q53" i="12"/>
  <c r="Q58" i="12" s="1"/>
  <c r="Q60" i="12"/>
  <c r="R49" i="12"/>
  <c r="R134" i="12" s="1"/>
  <c r="R135" i="12" s="1"/>
  <c r="Q51" i="12"/>
  <c r="Q52" i="12" s="1"/>
  <c r="Q50" i="12"/>
  <c r="Q59" i="12"/>
  <c r="M60" i="13"/>
  <c r="M53" i="13"/>
  <c r="M58" i="13" s="1"/>
  <c r="N49" i="13"/>
  <c r="M59" i="13"/>
  <c r="M50" i="13"/>
  <c r="M51" i="13"/>
  <c r="M133" i="13"/>
  <c r="M134" i="13" s="1"/>
  <c r="K56" i="14"/>
  <c r="K57" i="14" s="1"/>
  <c r="K61" i="14" s="1"/>
  <c r="K55" i="14"/>
  <c r="J68" i="13"/>
  <c r="J69" i="13" s="1"/>
  <c r="J62" i="13"/>
  <c r="L54" i="13"/>
  <c r="L52" i="13"/>
  <c r="L52" i="14"/>
  <c r="L54" i="14"/>
  <c r="M134" i="14"/>
  <c r="M135" i="14" s="1"/>
  <c r="M50" i="14"/>
  <c r="M59" i="14"/>
  <c r="M60" i="14"/>
  <c r="N49" i="14"/>
  <c r="M53" i="14"/>
  <c r="M58" i="14" s="1"/>
  <c r="M51" i="14"/>
  <c r="K55" i="13"/>
  <c r="K56" i="13"/>
  <c r="K57" i="13" s="1"/>
  <c r="K61" i="13" s="1"/>
  <c r="J68" i="14"/>
  <c r="J69" i="14" s="1"/>
  <c r="J62" i="14"/>
  <c r="O56" i="12"/>
  <c r="O57" i="12" s="1"/>
  <c r="O61" i="12" s="1"/>
  <c r="O68" i="12" s="1"/>
  <c r="O69" i="12" s="1"/>
  <c r="N62" i="12"/>
  <c r="N68" i="12"/>
  <c r="N69" i="12" s="1"/>
  <c r="Q54" i="12" l="1"/>
  <c r="R60" i="12"/>
  <c r="S49" i="12"/>
  <c r="S134" i="12" s="1"/>
  <c r="S135" i="12" s="1"/>
  <c r="P56" i="12"/>
  <c r="P57" i="12" s="1"/>
  <c r="P61" i="12" s="1"/>
  <c r="P62" i="12" s="1"/>
  <c r="R51" i="12"/>
  <c r="R59" i="12"/>
  <c r="R50" i="12"/>
  <c r="R53" i="12"/>
  <c r="R58" i="12" s="1"/>
  <c r="L55" i="13"/>
  <c r="L56" i="13"/>
  <c r="L57" i="13" s="1"/>
  <c r="L61" i="13" s="1"/>
  <c r="K68" i="13"/>
  <c r="K69" i="13" s="1"/>
  <c r="K62" i="13"/>
  <c r="O62" i="12"/>
  <c r="L56" i="14"/>
  <c r="L57" i="14" s="1"/>
  <c r="L61" i="14" s="1"/>
  <c r="L55" i="14"/>
  <c r="K68" i="14"/>
  <c r="K69" i="14" s="1"/>
  <c r="K62" i="14"/>
  <c r="M54" i="14"/>
  <c r="M52" i="14"/>
  <c r="M52" i="13"/>
  <c r="M54" i="13"/>
  <c r="N51" i="14"/>
  <c r="N50" i="14"/>
  <c r="N134" i="14"/>
  <c r="N135" i="14" s="1"/>
  <c r="N59" i="14"/>
  <c r="N53" i="14"/>
  <c r="N58" i="14" s="1"/>
  <c r="N60" i="14"/>
  <c r="O49" i="14"/>
  <c r="N133" i="13"/>
  <c r="N134" i="13" s="1"/>
  <c r="N50" i="13"/>
  <c r="N59" i="13"/>
  <c r="O49" i="13"/>
  <c r="N60" i="13"/>
  <c r="N51" i="13"/>
  <c r="N53" i="13"/>
  <c r="N58" i="13" s="1"/>
  <c r="Q56" i="12"/>
  <c r="Q57" i="12" s="1"/>
  <c r="Q61" i="12" s="1"/>
  <c r="Q55" i="12"/>
  <c r="T49" i="12"/>
  <c r="T134" i="12" s="1"/>
  <c r="T135" i="12" s="1"/>
  <c r="S59" i="12"/>
  <c r="S51" i="12"/>
  <c r="S60" i="12"/>
  <c r="S50" i="12"/>
  <c r="S53" i="12"/>
  <c r="S58" i="12" s="1"/>
  <c r="R54" i="12"/>
  <c r="R52" i="12"/>
  <c r="P68" i="12" l="1"/>
  <c r="P69" i="12" s="1"/>
  <c r="N54" i="14"/>
  <c r="N52" i="14"/>
  <c r="N54" i="13"/>
  <c r="N52" i="13"/>
  <c r="O50" i="13"/>
  <c r="O133" i="13"/>
  <c r="O134" i="13" s="1"/>
  <c r="O59" i="13"/>
  <c r="P49" i="13"/>
  <c r="O60" i="13"/>
  <c r="O53" i="13"/>
  <c r="O58" i="13" s="1"/>
  <c r="O51" i="13"/>
  <c r="L68" i="14"/>
  <c r="L69" i="14" s="1"/>
  <c r="L62" i="14"/>
  <c r="M55" i="13"/>
  <c r="M56" i="13"/>
  <c r="M57" i="13" s="1"/>
  <c r="M61" i="13" s="1"/>
  <c r="M56" i="14"/>
  <c r="M57" i="14" s="1"/>
  <c r="M61" i="14" s="1"/>
  <c r="M55" i="14"/>
  <c r="L62" i="13"/>
  <c r="L68" i="13"/>
  <c r="L69" i="13" s="1"/>
  <c r="O134" i="14"/>
  <c r="O135" i="14" s="1"/>
  <c r="P49" i="14"/>
  <c r="O59" i="14"/>
  <c r="O53" i="14"/>
  <c r="O58" i="14" s="1"/>
  <c r="O50" i="14"/>
  <c r="O60" i="14"/>
  <c r="O51" i="14"/>
  <c r="Q62" i="12"/>
  <c r="Q68" i="12"/>
  <c r="Q69" i="12" s="1"/>
  <c r="T53" i="12"/>
  <c r="T58" i="12" s="1"/>
  <c r="T60" i="12"/>
  <c r="T50" i="12"/>
  <c r="T59" i="12"/>
  <c r="T51" i="12"/>
  <c r="U49" i="12"/>
  <c r="U134" i="12" s="1"/>
  <c r="U135" i="12" s="1"/>
  <c r="R55" i="12"/>
  <c r="R56" i="12"/>
  <c r="R57" i="12" s="1"/>
  <c r="R61" i="12" s="1"/>
  <c r="S52" i="12"/>
  <c r="S54" i="12"/>
  <c r="M62" i="13" l="1"/>
  <c r="M68" i="13"/>
  <c r="M69" i="13" s="1"/>
  <c r="P134" i="14"/>
  <c r="P135" i="14" s="1"/>
  <c r="P60" i="14"/>
  <c r="Q49" i="14"/>
  <c r="P50" i="14"/>
  <c r="P51" i="14"/>
  <c r="P53" i="14"/>
  <c r="P58" i="14" s="1"/>
  <c r="P59" i="14"/>
  <c r="M62" i="14"/>
  <c r="M68" i="14"/>
  <c r="M69" i="14" s="1"/>
  <c r="O52" i="14"/>
  <c r="O54" i="14"/>
  <c r="O52" i="13"/>
  <c r="O54" i="13"/>
  <c r="N55" i="13"/>
  <c r="N56" i="13"/>
  <c r="N57" i="13" s="1"/>
  <c r="N61" i="13" s="1"/>
  <c r="P133" i="13"/>
  <c r="P134" i="13" s="1"/>
  <c r="P59" i="13"/>
  <c r="Q49" i="13"/>
  <c r="P60" i="13"/>
  <c r="P51" i="13"/>
  <c r="P53" i="13"/>
  <c r="P58" i="13" s="1"/>
  <c r="P50" i="13"/>
  <c r="N55" i="14"/>
  <c r="N56" i="14"/>
  <c r="N57" i="14" s="1"/>
  <c r="N61" i="14" s="1"/>
  <c r="R62" i="12"/>
  <c r="R68" i="12"/>
  <c r="R69" i="12" s="1"/>
  <c r="V49" i="12"/>
  <c r="V134" i="12" s="1"/>
  <c r="V135" i="12" s="1"/>
  <c r="U60" i="12"/>
  <c r="U59" i="12"/>
  <c r="U51" i="12"/>
  <c r="U50" i="12"/>
  <c r="U53" i="12"/>
  <c r="U58" i="12" s="1"/>
  <c r="T54" i="12"/>
  <c r="T52" i="12"/>
  <c r="S56" i="12"/>
  <c r="S57" i="12" s="1"/>
  <c r="S61" i="12" s="1"/>
  <c r="S55" i="12"/>
  <c r="O56" i="13" l="1"/>
  <c r="O57" i="13" s="1"/>
  <c r="O61" i="13" s="1"/>
  <c r="O55" i="13"/>
  <c r="Q134" i="14"/>
  <c r="Q135" i="14" s="1"/>
  <c r="Q50" i="14"/>
  <c r="Q59" i="14"/>
  <c r="Q53" i="14"/>
  <c r="Q58" i="14" s="1"/>
  <c r="R49" i="14"/>
  <c r="Q60" i="14"/>
  <c r="Q51" i="14"/>
  <c r="P52" i="13"/>
  <c r="P54" i="13"/>
  <c r="Q133" i="13"/>
  <c r="Q134" i="13" s="1"/>
  <c r="Q59" i="13"/>
  <c r="Q60" i="13"/>
  <c r="R49" i="13"/>
  <c r="Q53" i="13"/>
  <c r="Q58" i="13" s="1"/>
  <c r="Q51" i="13"/>
  <c r="Q50" i="13"/>
  <c r="O56" i="14"/>
  <c r="O57" i="14" s="1"/>
  <c r="O61" i="14" s="1"/>
  <c r="O55" i="14"/>
  <c r="N62" i="14"/>
  <c r="N68" i="14"/>
  <c r="N69" i="14" s="1"/>
  <c r="P54" i="14"/>
  <c r="P52" i="14"/>
  <c r="N68" i="13"/>
  <c r="N69" i="13" s="1"/>
  <c r="N62" i="13"/>
  <c r="S62" i="12"/>
  <c r="S68" i="12"/>
  <c r="S69" i="12" s="1"/>
  <c r="T56" i="12"/>
  <c r="T57" i="12" s="1"/>
  <c r="T61" i="12" s="1"/>
  <c r="T55" i="12"/>
  <c r="U52" i="12"/>
  <c r="U54" i="12"/>
  <c r="V59" i="12"/>
  <c r="V51" i="12"/>
  <c r="V60" i="12"/>
  <c r="W49" i="12"/>
  <c r="W134" i="12" s="1"/>
  <c r="W135" i="12" s="1"/>
  <c r="V53" i="12"/>
  <c r="V58" i="12" s="1"/>
  <c r="V50" i="12"/>
  <c r="P56" i="13" l="1"/>
  <c r="P57" i="13" s="1"/>
  <c r="P61" i="13" s="1"/>
  <c r="P55" i="13"/>
  <c r="R59" i="13"/>
  <c r="R133" i="13"/>
  <c r="R134" i="13" s="1"/>
  <c r="S49" i="13"/>
  <c r="R60" i="13"/>
  <c r="R50" i="13"/>
  <c r="R51" i="13"/>
  <c r="R53" i="13"/>
  <c r="R58" i="13" s="1"/>
  <c r="P56" i="14"/>
  <c r="P57" i="14" s="1"/>
  <c r="P61" i="14" s="1"/>
  <c r="P55" i="14"/>
  <c r="O68" i="14"/>
  <c r="O69" i="14" s="1"/>
  <c r="O62" i="14"/>
  <c r="Q52" i="14"/>
  <c r="Q54" i="14"/>
  <c r="R134" i="14"/>
  <c r="R135" i="14" s="1"/>
  <c r="R59" i="14"/>
  <c r="R53" i="14"/>
  <c r="R58" i="14" s="1"/>
  <c r="R50" i="14"/>
  <c r="R51" i="14"/>
  <c r="R60" i="14"/>
  <c r="S49" i="14"/>
  <c r="Q54" i="13"/>
  <c r="Q52" i="13"/>
  <c r="O62" i="13"/>
  <c r="O68" i="13"/>
  <c r="O69" i="13" s="1"/>
  <c r="T62" i="12"/>
  <c r="T68" i="12"/>
  <c r="T69" i="12" s="1"/>
  <c r="V52" i="12"/>
  <c r="V54" i="12"/>
  <c r="W53" i="12"/>
  <c r="W58" i="12" s="1"/>
  <c r="W59" i="12"/>
  <c r="W51" i="12"/>
  <c r="X49" i="12"/>
  <c r="X134" i="12" s="1"/>
  <c r="X135" i="12" s="1"/>
  <c r="W60" i="12"/>
  <c r="W50" i="12"/>
  <c r="U55" i="12"/>
  <c r="U56" i="12"/>
  <c r="U57" i="12" s="1"/>
  <c r="U61" i="12" s="1"/>
  <c r="P68" i="13" l="1"/>
  <c r="P69" i="13" s="1"/>
  <c r="P62" i="13"/>
  <c r="Q55" i="14"/>
  <c r="Q56" i="14"/>
  <c r="Q57" i="14" s="1"/>
  <c r="Q61" i="14" s="1"/>
  <c r="P68" i="14"/>
  <c r="P69" i="14" s="1"/>
  <c r="P62" i="14"/>
  <c r="Q55" i="13"/>
  <c r="Q56" i="13"/>
  <c r="Q57" i="13" s="1"/>
  <c r="Q61" i="13" s="1"/>
  <c r="S134" i="14"/>
  <c r="S135" i="14" s="1"/>
  <c r="S53" i="14"/>
  <c r="S58" i="14" s="1"/>
  <c r="S59" i="14"/>
  <c r="S50" i="14"/>
  <c r="S60" i="14"/>
  <c r="S51" i="14"/>
  <c r="T49" i="14"/>
  <c r="R54" i="13"/>
  <c r="R52" i="13"/>
  <c r="S60" i="13"/>
  <c r="T49" i="13"/>
  <c r="S50" i="13"/>
  <c r="S133" i="13"/>
  <c r="S134" i="13" s="1"/>
  <c r="S59" i="13"/>
  <c r="S51" i="13"/>
  <c r="S53" i="13"/>
  <c r="S58" i="13" s="1"/>
  <c r="R54" i="14"/>
  <c r="R52" i="14"/>
  <c r="U62" i="12"/>
  <c r="U68" i="12"/>
  <c r="U69" i="12" s="1"/>
  <c r="V55" i="12"/>
  <c r="V56" i="12"/>
  <c r="V57" i="12" s="1"/>
  <c r="V61" i="12" s="1"/>
  <c r="X51" i="12"/>
  <c r="X59" i="12"/>
  <c r="X60" i="12"/>
  <c r="X50" i="12"/>
  <c r="X53" i="12"/>
  <c r="X58" i="12" s="1"/>
  <c r="W54" i="12"/>
  <c r="W52" i="12"/>
  <c r="S54" i="14" l="1"/>
  <c r="S52" i="14"/>
  <c r="R56" i="14"/>
  <c r="R57" i="14" s="1"/>
  <c r="R61" i="14" s="1"/>
  <c r="R55" i="14"/>
  <c r="R55" i="13"/>
  <c r="R56" i="13"/>
  <c r="R57" i="13" s="1"/>
  <c r="R61" i="13" s="1"/>
  <c r="T134" i="14"/>
  <c r="T135" i="14" s="1"/>
  <c r="T50" i="14"/>
  <c r="T53" i="14"/>
  <c r="T58" i="14" s="1"/>
  <c r="T60" i="14"/>
  <c r="T59" i="14"/>
  <c r="U49" i="14"/>
  <c r="T51" i="14"/>
  <c r="Q68" i="13"/>
  <c r="Q69" i="13" s="1"/>
  <c r="Q62" i="13"/>
  <c r="S52" i="13"/>
  <c r="S54" i="13"/>
  <c r="Q62" i="14"/>
  <c r="Q68" i="14"/>
  <c r="Q69" i="14" s="1"/>
  <c r="T53" i="13"/>
  <c r="T58" i="13" s="1"/>
  <c r="U49" i="13"/>
  <c r="T60" i="13"/>
  <c r="T133" i="13"/>
  <c r="T134" i="13" s="1"/>
  <c r="T59" i="13"/>
  <c r="T51" i="13"/>
  <c r="T50" i="13"/>
  <c r="B80" i="12"/>
  <c r="B81" i="12" s="1"/>
  <c r="B82" i="12" s="1"/>
  <c r="C87" i="12" s="1"/>
  <c r="V62" i="12"/>
  <c r="V68" i="12"/>
  <c r="V69" i="12" s="1"/>
  <c r="X54" i="12"/>
  <c r="X52" i="12"/>
  <c r="W56" i="12"/>
  <c r="W57" i="12" s="1"/>
  <c r="W61" i="12" s="1"/>
  <c r="W55" i="12"/>
  <c r="U134" i="14" l="1"/>
  <c r="U135" i="14" s="1"/>
  <c r="U50" i="14"/>
  <c r="V49" i="14"/>
  <c r="U60" i="14"/>
  <c r="U53" i="14"/>
  <c r="U58" i="14" s="1"/>
  <c r="U59" i="14"/>
  <c r="U51" i="14"/>
  <c r="T54" i="14"/>
  <c r="T52" i="14"/>
  <c r="T54" i="13"/>
  <c r="T52" i="13"/>
  <c r="R68" i="13"/>
  <c r="R69" i="13" s="1"/>
  <c r="R62" i="13"/>
  <c r="U133" i="13"/>
  <c r="U134" i="13" s="1"/>
  <c r="V49" i="13"/>
  <c r="U51" i="13"/>
  <c r="U53" i="13"/>
  <c r="U58" i="13" s="1"/>
  <c r="U60" i="13"/>
  <c r="U59" i="13"/>
  <c r="U50" i="13"/>
  <c r="R68" i="14"/>
  <c r="R69" i="14" s="1"/>
  <c r="R62" i="14"/>
  <c r="S55" i="13"/>
  <c r="S56" i="13"/>
  <c r="S57" i="13" s="1"/>
  <c r="S61" i="13" s="1"/>
  <c r="S55" i="14"/>
  <c r="S56" i="14"/>
  <c r="S57" i="14" s="1"/>
  <c r="S61" i="14" s="1"/>
  <c r="W62" i="12"/>
  <c r="W68" i="12"/>
  <c r="W69" i="12" s="1"/>
  <c r="X55" i="12"/>
  <c r="X56" i="12"/>
  <c r="X57" i="12" s="1"/>
  <c r="X61" i="12" s="1"/>
  <c r="E120" i="12" l="1"/>
  <c r="V60" i="13"/>
  <c r="V51" i="13"/>
  <c r="W49" i="13"/>
  <c r="V50" i="13"/>
  <c r="V53" i="13"/>
  <c r="V58" i="13" s="1"/>
  <c r="V133" i="13"/>
  <c r="V134" i="13" s="1"/>
  <c r="V59" i="13"/>
  <c r="S62" i="13"/>
  <c r="S68" i="13"/>
  <c r="S69" i="13" s="1"/>
  <c r="T56" i="13"/>
  <c r="T57" i="13" s="1"/>
  <c r="T61" i="13" s="1"/>
  <c r="T55" i="13"/>
  <c r="U52" i="14"/>
  <c r="U54" i="14"/>
  <c r="S62" i="14"/>
  <c r="S68" i="14"/>
  <c r="S69" i="14" s="1"/>
  <c r="U54" i="13"/>
  <c r="U52" i="13"/>
  <c r="V134" i="14"/>
  <c r="V135" i="14" s="1"/>
  <c r="W49" i="14"/>
  <c r="V51" i="14"/>
  <c r="V53" i="14"/>
  <c r="V58" i="14" s="1"/>
  <c r="V60" i="14"/>
  <c r="V59" i="14"/>
  <c r="V50" i="14"/>
  <c r="T56" i="14"/>
  <c r="T57" i="14" s="1"/>
  <c r="T61" i="14" s="1"/>
  <c r="T55" i="14"/>
  <c r="D118" i="12"/>
  <c r="D117" i="12"/>
  <c r="D120" i="12"/>
  <c r="E117" i="12"/>
  <c r="F118" i="12"/>
  <c r="E121" i="12"/>
  <c r="C117" i="12"/>
  <c r="F120" i="12"/>
  <c r="E119" i="12"/>
  <c r="C121" i="12"/>
  <c r="F121" i="12"/>
  <c r="F119" i="12"/>
  <c r="G119" i="12"/>
  <c r="F117" i="12"/>
  <c r="G118" i="12"/>
  <c r="D121" i="12"/>
  <c r="C120" i="12"/>
  <c r="G121" i="12"/>
  <c r="G117" i="12"/>
  <c r="D119" i="12"/>
  <c r="C118" i="12"/>
  <c r="C119" i="12"/>
  <c r="G120" i="12"/>
  <c r="E118" i="12"/>
  <c r="C97" i="12"/>
  <c r="G98" i="12"/>
  <c r="E101" i="12"/>
  <c r="C98" i="12"/>
  <c r="D100" i="12"/>
  <c r="C100" i="12"/>
  <c r="F99" i="12"/>
  <c r="F101" i="12"/>
  <c r="G100" i="12"/>
  <c r="D101" i="12"/>
  <c r="G101" i="12"/>
  <c r="D98" i="12"/>
  <c r="C99" i="12"/>
  <c r="E99" i="12"/>
  <c r="C101" i="12"/>
  <c r="D97" i="12"/>
  <c r="F98" i="12"/>
  <c r="G99" i="12"/>
  <c r="E100" i="12"/>
  <c r="E98" i="12"/>
  <c r="F100" i="12"/>
  <c r="E97" i="12"/>
  <c r="D99" i="12"/>
  <c r="G97" i="12"/>
  <c r="F97" i="12"/>
  <c r="X62" i="12"/>
  <c r="B73" i="12"/>
  <c r="X68" i="12"/>
  <c r="X69" i="12" s="1"/>
  <c r="E107" i="12" s="1"/>
  <c r="B74" i="12"/>
  <c r="B75" i="12" s="1"/>
  <c r="B76" i="12" s="1"/>
  <c r="B87" i="12" s="1"/>
  <c r="U56" i="13" l="1"/>
  <c r="U57" i="13" s="1"/>
  <c r="U61" i="13" s="1"/>
  <c r="U55" i="13"/>
  <c r="V52" i="14"/>
  <c r="V54" i="14"/>
  <c r="W134" i="14"/>
  <c r="W135" i="14" s="1"/>
  <c r="W59" i="14"/>
  <c r="W53" i="14"/>
  <c r="W58" i="14" s="1"/>
  <c r="W50" i="14"/>
  <c r="X49" i="14"/>
  <c r="W51" i="14"/>
  <c r="W60" i="14"/>
  <c r="T62" i="13"/>
  <c r="T68" i="13"/>
  <c r="T69" i="13" s="1"/>
  <c r="T68" i="14"/>
  <c r="T69" i="14" s="1"/>
  <c r="T62" i="14"/>
  <c r="U55" i="14"/>
  <c r="U56" i="14"/>
  <c r="U57" i="14" s="1"/>
  <c r="U61" i="14" s="1"/>
  <c r="W59" i="13"/>
  <c r="W60" i="13"/>
  <c r="W53" i="13"/>
  <c r="W58" i="13" s="1"/>
  <c r="W51" i="13"/>
  <c r="W50" i="13"/>
  <c r="W133" i="13"/>
  <c r="W134" i="13" s="1"/>
  <c r="X49" i="13"/>
  <c r="V54" i="13"/>
  <c r="V52" i="13"/>
  <c r="G107" i="12"/>
  <c r="F109" i="12"/>
  <c r="G110" i="12"/>
  <c r="D111" i="12"/>
  <c r="F108" i="12"/>
  <c r="C108" i="12"/>
  <c r="C110" i="12"/>
  <c r="G111" i="12"/>
  <c r="D108" i="12"/>
  <c r="E111" i="12"/>
  <c r="D107" i="12"/>
  <c r="C111" i="12"/>
  <c r="C109" i="12"/>
  <c r="G109" i="12"/>
  <c r="F110" i="12"/>
  <c r="F107" i="12"/>
  <c r="C107" i="12"/>
  <c r="G108" i="12"/>
  <c r="D110" i="12"/>
  <c r="E108" i="12"/>
  <c r="F111" i="12"/>
  <c r="D109" i="12"/>
  <c r="E110" i="12"/>
  <c r="E109" i="12"/>
  <c r="C86" i="12"/>
  <c r="C88" i="12" s="1"/>
  <c r="B86" i="12"/>
  <c r="W54" i="14" l="1"/>
  <c r="W52" i="14"/>
  <c r="W52" i="13"/>
  <c r="W54" i="13"/>
  <c r="X134" i="14"/>
  <c r="X135" i="14" s="1"/>
  <c r="X59" i="14"/>
  <c r="X51" i="14"/>
  <c r="B80" i="14"/>
  <c r="B81" i="14" s="1"/>
  <c r="B82" i="14" s="1"/>
  <c r="B87" i="14" s="1"/>
  <c r="X60" i="14"/>
  <c r="X53" i="14"/>
  <c r="X58" i="14" s="1"/>
  <c r="X50" i="14"/>
  <c r="V56" i="14"/>
  <c r="V57" i="14" s="1"/>
  <c r="V61" i="14" s="1"/>
  <c r="V55" i="14"/>
  <c r="V55" i="13"/>
  <c r="V56" i="13"/>
  <c r="V57" i="13" s="1"/>
  <c r="V61" i="13" s="1"/>
  <c r="U68" i="14"/>
  <c r="U69" i="14" s="1"/>
  <c r="U62" i="14"/>
  <c r="X133" i="13"/>
  <c r="X134" i="13" s="1"/>
  <c r="X60" i="13"/>
  <c r="X59" i="13"/>
  <c r="X53" i="13"/>
  <c r="X58" i="13" s="1"/>
  <c r="X50" i="13"/>
  <c r="X51" i="13"/>
  <c r="U62" i="13"/>
  <c r="U68" i="13"/>
  <c r="U69" i="13" s="1"/>
  <c r="B88" i="12"/>
  <c r="C8" i="11"/>
  <c r="C90" i="12"/>
  <c r="V68" i="13" l="1"/>
  <c r="V69" i="13" s="1"/>
  <c r="V62" i="13"/>
  <c r="W56" i="13"/>
  <c r="W57" i="13" s="1"/>
  <c r="W61" i="13" s="1"/>
  <c r="W55" i="13"/>
  <c r="X54" i="13"/>
  <c r="X52" i="13"/>
  <c r="B80" i="13"/>
  <c r="B81" i="13" s="1"/>
  <c r="B82" i="13" s="1"/>
  <c r="C87" i="13" s="1"/>
  <c r="X52" i="14"/>
  <c r="X54" i="14"/>
  <c r="V68" i="14"/>
  <c r="V69" i="14" s="1"/>
  <c r="V62" i="14"/>
  <c r="W56" i="14"/>
  <c r="W57" i="14" s="1"/>
  <c r="W61" i="14" s="1"/>
  <c r="W55" i="14"/>
  <c r="C11" i="16"/>
  <c r="B90" i="12"/>
  <c r="B8" i="11"/>
  <c r="W68" i="13" l="1"/>
  <c r="W69" i="13" s="1"/>
  <c r="W62" i="13"/>
  <c r="X55" i="14"/>
  <c r="X56" i="14"/>
  <c r="X57" i="14" s="1"/>
  <c r="X61" i="14" s="1"/>
  <c r="G98" i="14" s="1"/>
  <c r="X56" i="13"/>
  <c r="X57" i="13" s="1"/>
  <c r="X61" i="13" s="1"/>
  <c r="D109" i="13" s="1"/>
  <c r="X55" i="13"/>
  <c r="D99" i="13"/>
  <c r="D110" i="13"/>
  <c r="E97" i="13"/>
  <c r="W68" i="14"/>
  <c r="W69" i="14" s="1"/>
  <c r="W62" i="14"/>
  <c r="F97" i="14"/>
  <c r="C99" i="14"/>
  <c r="B11" i="16"/>
  <c r="D8" i="11"/>
  <c r="B26" i="27" s="1"/>
  <c r="E99" i="13" l="1"/>
  <c r="C97" i="13"/>
  <c r="E97" i="14"/>
  <c r="C110" i="14"/>
  <c r="E110" i="14"/>
  <c r="C98" i="14"/>
  <c r="D98" i="14"/>
  <c r="C109" i="14"/>
  <c r="D100" i="14"/>
  <c r="G109" i="14"/>
  <c r="E98" i="14"/>
  <c r="G111" i="14"/>
  <c r="C100" i="14"/>
  <c r="F109" i="14"/>
  <c r="E108" i="14"/>
  <c r="D101" i="14"/>
  <c r="D97" i="14"/>
  <c r="C101" i="14"/>
  <c r="C108" i="14"/>
  <c r="C111" i="14"/>
  <c r="F111" i="14"/>
  <c r="D111" i="14"/>
  <c r="D110" i="14"/>
  <c r="G99" i="14"/>
  <c r="G107" i="14"/>
  <c r="C110" i="13"/>
  <c r="F99" i="14"/>
  <c r="F99" i="13"/>
  <c r="F110" i="14"/>
  <c r="D108" i="13"/>
  <c r="G97" i="14"/>
  <c r="G111" i="13"/>
  <c r="E110" i="13"/>
  <c r="D108" i="14"/>
  <c r="F109" i="13"/>
  <c r="F101" i="14"/>
  <c r="F100" i="13"/>
  <c r="F107" i="14"/>
  <c r="D107" i="14"/>
  <c r="E111" i="14"/>
  <c r="G101" i="14"/>
  <c r="E108" i="13"/>
  <c r="B73" i="13"/>
  <c r="B74" i="13"/>
  <c r="B75" i="13" s="1"/>
  <c r="B76" i="13" s="1"/>
  <c r="B87" i="13" s="1"/>
  <c r="X62" i="13"/>
  <c r="X68" i="13"/>
  <c r="X69" i="13" s="1"/>
  <c r="C86" i="13" s="1"/>
  <c r="C88" i="13" s="1"/>
  <c r="C101" i="13"/>
  <c r="F108" i="13"/>
  <c r="F101" i="13"/>
  <c r="G109" i="13"/>
  <c r="E101" i="13"/>
  <c r="E100" i="13"/>
  <c r="D101" i="13"/>
  <c r="E98" i="13"/>
  <c r="E109" i="13"/>
  <c r="G99" i="13"/>
  <c r="G97" i="13"/>
  <c r="D111" i="13"/>
  <c r="C111" i="13"/>
  <c r="C109" i="13"/>
  <c r="G108" i="13"/>
  <c r="G100" i="13"/>
  <c r="E111" i="13"/>
  <c r="G101" i="13"/>
  <c r="C99" i="13"/>
  <c r="F98" i="13"/>
  <c r="D100" i="13"/>
  <c r="E107" i="13"/>
  <c r="C107" i="13"/>
  <c r="F111" i="13"/>
  <c r="G110" i="13"/>
  <c r="F107" i="13"/>
  <c r="C100" i="13"/>
  <c r="C98" i="13"/>
  <c r="F110" i="13"/>
  <c r="F108" i="14"/>
  <c r="B73" i="14"/>
  <c r="B74" i="14"/>
  <c r="B75" i="14" s="1"/>
  <c r="B76" i="14" s="1"/>
  <c r="C87" i="14" s="1"/>
  <c r="X62" i="14"/>
  <c r="X68" i="14"/>
  <c r="X69" i="14" s="1"/>
  <c r="C86" i="14" s="1"/>
  <c r="D109" i="14"/>
  <c r="G108" i="14"/>
  <c r="E109" i="14"/>
  <c r="D99" i="14"/>
  <c r="E99" i="14"/>
  <c r="E107" i="14"/>
  <c r="G100" i="14"/>
  <c r="E100" i="14"/>
  <c r="C97" i="14"/>
  <c r="E101" i="14"/>
  <c r="G110" i="14"/>
  <c r="F98" i="14"/>
  <c r="G107" i="13"/>
  <c r="D98" i="13"/>
  <c r="F97" i="13"/>
  <c r="D107" i="13"/>
  <c r="C107" i="14"/>
  <c r="F100" i="14"/>
  <c r="D97" i="13"/>
  <c r="G98" i="13"/>
  <c r="C108" i="13"/>
  <c r="B26" i="20"/>
  <c r="B25" i="20"/>
  <c r="U5" i="19"/>
  <c r="D11" i="16"/>
  <c r="B31" i="11"/>
  <c r="C88" i="14" l="1"/>
  <c r="C10" i="11" s="1"/>
  <c r="C13" i="16" s="1"/>
  <c r="C9" i="11"/>
  <c r="C90" i="13"/>
  <c r="B86" i="14"/>
  <c r="B88" i="14" s="1"/>
  <c r="B86" i="13"/>
  <c r="B88" i="13" s="1"/>
  <c r="C31" i="11"/>
  <c r="C90" i="14" l="1"/>
  <c r="E64" i="11"/>
  <c r="F63" i="11"/>
  <c r="C66" i="11"/>
  <c r="D62" i="11"/>
  <c r="C63" i="11"/>
  <c r="D65" i="11"/>
  <c r="E65" i="11"/>
  <c r="F66" i="11"/>
  <c r="F62" i="11"/>
  <c r="E62" i="11"/>
  <c r="G62" i="11"/>
  <c r="F64" i="11"/>
  <c r="C62" i="11"/>
  <c r="G64" i="11"/>
  <c r="D63" i="11"/>
  <c r="E63" i="11"/>
  <c r="G65" i="11"/>
  <c r="D64" i="11"/>
  <c r="F65" i="11"/>
  <c r="D66" i="11"/>
  <c r="E66" i="11"/>
  <c r="C65" i="11"/>
  <c r="C64" i="11"/>
  <c r="G63" i="11"/>
  <c r="G66" i="11"/>
  <c r="C52" i="11"/>
  <c r="E55" i="11"/>
  <c r="D44" i="16" s="1"/>
  <c r="D55" i="11"/>
  <c r="C44" i="16" s="1"/>
  <c r="C55" i="11"/>
  <c r="B44" i="16" s="1"/>
  <c r="G54" i="11"/>
  <c r="F43" i="16" s="1"/>
  <c r="F52" i="11"/>
  <c r="E41" i="16" s="1"/>
  <c r="C56" i="11"/>
  <c r="B45" i="16" s="1"/>
  <c r="G56" i="11"/>
  <c r="F45" i="16" s="1"/>
  <c r="F53" i="11"/>
  <c r="E42" i="16" s="1"/>
  <c r="F54" i="11"/>
  <c r="E43" i="16" s="1"/>
  <c r="D52" i="11"/>
  <c r="C41" i="16" s="1"/>
  <c r="E54" i="11"/>
  <c r="D43" i="16" s="1"/>
  <c r="G52" i="11"/>
  <c r="F41" i="16" s="1"/>
  <c r="C53" i="11"/>
  <c r="B42" i="16" s="1"/>
  <c r="G53" i="11"/>
  <c r="F42" i="16" s="1"/>
  <c r="C54" i="11"/>
  <c r="B43" i="16" s="1"/>
  <c r="F55" i="11"/>
  <c r="E44" i="16" s="1"/>
  <c r="F56" i="11"/>
  <c r="E45" i="16" s="1"/>
  <c r="E53" i="11"/>
  <c r="D42" i="16" s="1"/>
  <c r="D54" i="11"/>
  <c r="C43" i="16" s="1"/>
  <c r="D56" i="11"/>
  <c r="C45" i="16" s="1"/>
  <c r="E52" i="11"/>
  <c r="D41" i="16" s="1"/>
  <c r="D53" i="11"/>
  <c r="C42" i="16" s="1"/>
  <c r="E56" i="11"/>
  <c r="D45" i="16" s="1"/>
  <c r="G55" i="11"/>
  <c r="F44" i="16" s="1"/>
  <c r="B90" i="13"/>
  <c r="B9" i="11"/>
  <c r="B10" i="11"/>
  <c r="B90" i="14"/>
  <c r="C12" i="16"/>
  <c r="C11" i="11"/>
  <c r="C16" i="27" s="1"/>
  <c r="B41" i="16" l="1"/>
  <c r="B58" i="27"/>
  <c r="C15" i="11"/>
  <c r="C20" i="11" s="1"/>
  <c r="C17" i="27" s="1"/>
  <c r="C18" i="27" s="1"/>
  <c r="C9" i="16"/>
  <c r="D10" i="11"/>
  <c r="B28" i="27" s="1"/>
  <c r="B13" i="16"/>
  <c r="D9" i="11"/>
  <c r="B27" i="27" s="1"/>
  <c r="B12" i="16"/>
  <c r="B11" i="11"/>
  <c r="B16" i="27" s="1"/>
  <c r="C20" i="27" l="1"/>
  <c r="B57" i="27"/>
  <c r="B9" i="16"/>
  <c r="B15" i="11"/>
  <c r="B20" i="11" s="1"/>
  <c r="B17" i="27" s="1"/>
  <c r="B18" i="27" s="1"/>
  <c r="U6" i="19"/>
  <c r="D12" i="16"/>
  <c r="B32" i="11"/>
  <c r="D11" i="11"/>
  <c r="D13" i="16"/>
  <c r="B33" i="11"/>
  <c r="U7" i="19"/>
  <c r="C26" i="11"/>
  <c r="C14" i="16"/>
  <c r="C27" i="11"/>
  <c r="C18" i="16" s="1"/>
  <c r="D16" i="27" l="1"/>
  <c r="B29" i="27"/>
  <c r="B20" i="27"/>
  <c r="B56" i="27"/>
  <c r="E11" i="11"/>
  <c r="C29" i="27" s="1"/>
  <c r="E8" i="11"/>
  <c r="C26" i="27" s="1"/>
  <c r="E10" i="11"/>
  <c r="C28" i="27" s="1"/>
  <c r="E9" i="11"/>
  <c r="C27" i="27" s="1"/>
  <c r="D36" i="16"/>
  <c r="C36" i="16"/>
  <c r="C17" i="16"/>
  <c r="B36" i="16"/>
  <c r="C32" i="11"/>
  <c r="C22" i="16"/>
  <c r="C24" i="16"/>
  <c r="C33" i="11"/>
  <c r="B6" i="20"/>
  <c r="D15" i="11"/>
  <c r="D20" i="11" s="1"/>
  <c r="D17" i="27" s="1"/>
  <c r="D18" i="27" s="1"/>
  <c r="D20" i="27" s="1"/>
  <c r="D9" i="16"/>
  <c r="B34" i="11"/>
  <c r="X9" i="19"/>
  <c r="B14" i="16"/>
  <c r="B27" i="11"/>
  <c r="B18" i="16" s="1"/>
  <c r="B26" i="11"/>
  <c r="D31" i="11" l="1"/>
  <c r="C34" i="11"/>
  <c r="B5" i="20"/>
  <c r="B29" i="20" s="1"/>
  <c r="D26" i="11"/>
  <c r="X10" i="19"/>
  <c r="D27" i="11"/>
  <c r="D18" i="16" s="1"/>
  <c r="D14" i="16"/>
  <c r="B64" i="16"/>
  <c r="C64" i="16" s="1"/>
  <c r="C65" i="16" s="1"/>
  <c r="C66" i="16" s="1"/>
  <c r="C67" i="16" s="1"/>
  <c r="C68" i="16" s="1"/>
  <c r="B24" i="20"/>
  <c r="B27" i="20"/>
  <c r="D33" i="11"/>
  <c r="D32" i="11"/>
  <c r="C35" i="16"/>
  <c r="B17" i="16"/>
  <c r="D35" i="16"/>
  <c r="B35" i="16"/>
  <c r="B22" i="16"/>
  <c r="B24" i="16"/>
  <c r="B69" i="16" l="1"/>
  <c r="C69" i="16" s="1"/>
  <c r="D37" i="16"/>
  <c r="C37" i="16"/>
  <c r="B37" i="16"/>
  <c r="D17" i="16"/>
  <c r="D22" i="16"/>
  <c r="D2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5" authorId="0" shapeId="0" xr:uid="{431B80C4-5E1B-4A13-A90B-0A3A58AE2748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IPO offering price = $135.00/share (fixed-price offering).
Source: Reuters, June 3, 2026 — 'SpaceX plans to set IPO price at $135 per share, targeting record $75B raise.' Targets $1.75T valuation, 555.6M new primary shares, 2x oversubscribed ($150B demand).
Note: unusually, SpaceX fixed the price ahead of the roadshow rather than setting a range. Final terms subject to pricing (~June 11, 2026).</t>
        </r>
      </text>
    </comment>
    <comment ref="A18" authorId="0" shapeId="0" xr:uid="{E6FCADA8-FE96-46D8-ADAB-BC544E1121CD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Fully-diluted post-IPO share count = ~12,960M. This is the PRIMARY share basis for valuation.
Triangulated from three independent sources that converge:
  1. Dec 2023: $180B / $97 pre-split x5 split = ~9.3B
  2. Dec 2025 tender: $800B / $421 pre-split x5 = ~9.5B
  3. IPO: $1.75T / $135 = ~12.96B (post xAI merger + preferred conversion + 555.6M new primary shares)
Our earlier 5,798M (basic, row 17) counts only Class A+B+C common per the S-1 Q1 2026 balance sheet. It excludes converted redeemable preferred, shares issued in the Feb 2026 xAI merger, unvested RSUs/options, and the 555.6M new IPO primary shares — hence it understates the true count by ~2x.
Sources: SpaceX S-1 (p. F-63, Q1 2026 BS); Reuters (Jun 3, 2026, $135/$1.75T); Sacra (5:1 split, May 2026).
S-1 URL: https://www.sec.gov/Archives/edgar/data/1181412/000162828026036936/spaceexplorationtechnologi.htm</t>
        </r>
      </text>
    </comment>
    <comment ref="B50" authorId="0" shapeId="0" xr:uid="{825E18EA-18A8-49B3-BBB1-8DBC6964DAD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50" authorId="0" shapeId="0" xr:uid="{D99AD4B7-FC11-4CED-8670-4B91FF8EA03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D50" authorId="0" shapeId="0" xr:uid="{D6FF62E3-EFD4-4F48-8D0A-68943F7C4C2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B51" authorId="0" shapeId="0" xr:uid="{671A213E-26E6-42DF-9861-720991BD7A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FY2023A: $3,869M
Page: F-59 (Note 19 — Segments, YE Dec 31 2023)
https://www.sec.gov/Archives/edgar/data/1181412/000162828026036936/spaceexplorationtechnologi.htm</t>
        </r>
      </text>
    </comment>
    <comment ref="C51" authorId="0" shapeId="0" xr:uid="{E7D61923-871C-4DCC-BE11-EB7B4C9D2E8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FY2024A: $7,599M
Page: F-58 (Note 19 — Segments, YE Dec 31 2024)
https://www.sec.gov/Archives/edgar/data/1181412/000162828026036936/spaceexplorationtechnologi.htm</t>
        </r>
      </text>
    </comment>
    <comment ref="D51" authorId="0" shapeId="0" xr:uid="{2E824DCF-7012-41C1-A141-42C41E40763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FY2025A: $11,387M
Page: F-58 (Note 19 — Segments, YE Dec 31 2025)
https://www.sec.gov/Archives/edgar/data/1181412/000162828026036936/spaceexplorationtechnologi.htm</t>
        </r>
      </text>
    </comment>
    <comment ref="B52" authorId="0" shapeId="0" xr:uid="{DA4F178B-FD3B-4E18-BB15-C8F89E2F14C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FY2023A: $3,557M
Page: F-59 (Note 19 — Segments, YE Dec 31 2023)
https://www.sec.gov/Archives/edgar/data/1181412/000162828026036936/spaceexplorationtechnologi.htm</t>
        </r>
      </text>
    </comment>
    <comment ref="C52" authorId="0" shapeId="0" xr:uid="{0A769F4A-8A1B-4BE0-81C2-718EDDCE2E7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FY2024A: $3,796M
Page: F-58 (Note 19 — Segments, YE Dec 31 2024)
https://www.sec.gov/Archives/edgar/data/1181412/000162828026036936/spaceexplorationtechnologi.htm</t>
        </r>
      </text>
    </comment>
    <comment ref="D52" authorId="0" shapeId="0" xr:uid="{60340DA5-332C-4AEF-BA50-AC62C39A1B0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FY2025A: $4,086M
Page: F-58 (Note 19 — Segments, YE Dec 31 2025)
https://www.sec.gov/Archives/edgar/data/1181412/000162828026036936/spaceexplorationtechnologi.htm</t>
        </r>
      </text>
    </comment>
    <comment ref="B53" authorId="0" shapeId="0" xr:uid="{94DDA38A-2442-47C3-87D5-C5B0A1B6279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FY2023A: $2,961M (Advert. $2,323M + AI Solutions $638M)
Page: F-59 (Note 19 — Segments, YE Dec 31 2023)
https://www.sec.gov/Archives/edgar/data/1181412/000162828026036936/spaceexplorationtechnologi.htm</t>
        </r>
      </text>
    </comment>
    <comment ref="C53" authorId="0" shapeId="0" xr:uid="{E85BE801-1384-42C8-8E2C-ADEFB9FDD5D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FY2024A: $2,620M
Page: F-58 (Note 19 — Segments, YE Dec 31 2024)
https://www.sec.gov/Archives/edgar/data/1181412/000162828026036936/spaceexplorationtechnologi.htm</t>
        </r>
      </text>
    </comment>
    <comment ref="D53" authorId="0" shapeId="0" xr:uid="{0CB4A5BE-B7F1-40EC-96A7-4DFC4B34FBF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FY2025A: $3,201M (Advert. $1,844M + AI Solutions $1,357M)
Page: F-58 (Note 19 — Segments, YE Dec 31 2025)
https://www.sec.gov/Archives/edgar/data/1181412/000162828026036936/spaceexplorationtechnologi.htm</t>
        </r>
      </text>
    </comment>
    <comment ref="B54" authorId="0" shapeId="0" xr:uid="{571FF6B8-FA5B-48AA-B179-CE35ABAAE2C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FY2023A: $469M
Page: F-59 (Note 19 — Segments, YE Dec 31 2023)
https://www.sec.gov/Archives/edgar/data/1181412/000162828026036936/spaceexplorationtechnologi.htm</t>
        </r>
      </text>
    </comment>
    <comment ref="C54" authorId="0" shapeId="0" xr:uid="{896774EB-ABB8-4482-96D5-DE3064212A3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FY2024A: $2,006M
Page: F-58 (Note 19 — Segments, YE Dec 31 2024)
https://www.sec.gov/Archives/edgar/data/1181412/000162828026036936/spaceexplorationtechnologi.htm</t>
        </r>
      </text>
    </comment>
    <comment ref="D54" authorId="0" shapeId="0" xr:uid="{B44EDA87-D26E-4F8F-9ADE-F1462126EEE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FY2025A: $4,423M (+120% YoY)
Page: F-58 (Note 19 — Segments, YE Dec 31 2025)
https://www.sec.gov/Archives/edgar/data/1181412/000162828026036936/spaceexplorationtechnologi.htm</t>
        </r>
      </text>
    </comment>
    <comment ref="B55" authorId="0" shapeId="0" xr:uid="{B02CABDC-C54E-4AEC-89B8-113DF093E1E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FY2023A: $(1)M
Page: F-59 (Note 19 — Segments, YE Dec 31 2023)
https://www.sec.gov/Archives/edgar/data/1181412/000162828026036936/spaceexplorationtechnologi.htm</t>
        </r>
      </text>
    </comment>
    <comment ref="C55" authorId="0" shapeId="0" xr:uid="{89825378-BE3A-43BF-B4D8-3DB9FCE500D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FY2024A: $21M
Page: F-58 (Note 19 — Segments, YE Dec 31 2024)
https://www.sec.gov/Archives/edgar/data/1181412/000162828026036936/spaceexplorationtechnologi.htm</t>
        </r>
      </text>
    </comment>
    <comment ref="D55" authorId="0" shapeId="0" xr:uid="{B9095409-3760-4916-B25A-1E6962502B6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FY2025A: $(657)M (Starship R&amp;D drag: $3,004M)
Page: F-58 (Note 19 — Segments, YE Dec 31 2025)
https://www.sec.gov/Archives/edgar/data/1181412/000162828026036936/spaceexplorationtechnologi.htm</t>
        </r>
      </text>
    </comment>
    <comment ref="B56" authorId="0" shapeId="0" xr:uid="{4BEDA5A9-EF8C-43F1-9728-2485FF8B966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FY2023A: $(3,973)M (incl. $3,775M goodwill impairment)
Page: F-59 (Note 19 — Segments, YE Dec 31 2023)
https://www.sec.gov/Archives/edgar/data/1181412/000162828026036936/spaceexplorationtechnologi.htm</t>
        </r>
      </text>
    </comment>
    <comment ref="C56" authorId="0" shapeId="0" xr:uid="{3B7F4703-E54E-4F0C-B5FD-6DDF2F32AA3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FY2024A: $(1,561)M
Page: F-58 (Note 19 — Segments, YE Dec 31 2024)
https://www.sec.gov/Archives/edgar/data/1181412/000162828026036936/spaceexplorationtechnologi.htm</t>
        </r>
      </text>
    </comment>
    <comment ref="D56" authorId="0" shapeId="0" xr:uid="{D4A2777B-81EE-487D-AA00-F0D7F0B0A6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FY2025A: $(6,355)M (xAI Grok compute; Capex $12.7B)
Page: F-58 (Note 19 — Segments, YE Dec 31 2025)
https://www.sec.gov/Archives/edgar/data/1181412/000162828026036936/spaceexplorationtechnologi.htm</t>
        </r>
      </text>
    </comment>
    <comment ref="B57" authorId="0" shapeId="0" xr:uid="{F949B72C-10A7-471A-BA98-36A6219FCD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FY2023A: $4,520M
Page: F-8 (Consolidated Statements of Cash Flows, YE Dec 31 2023)
https://www.sec.gov/Archives/edgar/data/1181412/000162828026036936/spaceexplorationtechnologi.htm</t>
        </r>
      </text>
    </comment>
    <comment ref="C57" authorId="0" shapeId="0" xr:uid="{976D594D-246B-4556-8568-48F301AA0C6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FY2024A: $5,776M
Page: F-8 (Consolidated Statements of Cash Flows, YE Dec 31 2024)
https://www.sec.gov/Archives/edgar/data/1181412/000162828026036936/spaceexplorationtechnologi.htm</t>
        </r>
      </text>
    </comment>
    <comment ref="D57" authorId="0" shapeId="0" xr:uid="{137264FC-4D83-432D-A004-6522C2EFE99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FY2025A: $6,785M
Page: F-8 to F-9 (Consolidated Statements of Cash Flows, YE Dec 31 2025)
https://www.sec.gov/Archives/edgar/data/1181412/000162828026036936/spaceexplorationtechnologi.htm</t>
        </r>
      </text>
    </comment>
    <comment ref="B58" authorId="0" shapeId="0" xr:uid="{91DBBD8C-5849-4965-BDCF-0BB30BA4AA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FY2023A: $(4,415)M
Page: F-8 (Cash Flows — Investing Activities, YE Dec 31 2023)
https://www.sec.gov/Archives/edgar/data/1181412/000162828026036936/spaceexplorationtechnologi.htm</t>
        </r>
      </text>
    </comment>
    <comment ref="C58" authorId="0" shapeId="0" xr:uid="{98D887BC-B925-404F-A14C-216F1CEF189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FY2024A: $(11,163)M
Page: F-8 (Cash Flows — Investing Activities, YE Dec 31 2024)
https://www.sec.gov/Archives/edgar/data/1181412/000162828026036936/spaceexplorationtechnologi.htm</t>
        </r>
      </text>
    </comment>
    <comment ref="D58" authorId="0" shapeId="0" xr:uid="{92B2F385-8469-4CC7-AEEA-5D817911D72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FY2025A: $(20,737)M (Space $3.8B + Conn $4.2B + AI $12.7B)
Page: F-8 to F-9 (Cash Flows — Investing Activities, YE Dec 31 2025)
https://www.sec.gov/Archives/edgar/data/1181412/000162828026036936/spaceexplorationtechnologi.htm</t>
        </r>
      </text>
    </comment>
    <comment ref="B59" authorId="0" shapeId="0" xr:uid="{EF0FB8EE-79C4-4D03-B619-974E1F4B6CD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(Loss) FY2023A: $(4,628)M
Page: F-5 (Consolidated Statements of Operations, YE Dec 31 2023)
https://www.sec.gov/Archives/edgar/data/1181412/000162828026036936/spaceexplorationtechnologi.htm</t>
        </r>
      </text>
    </comment>
    <comment ref="C59" authorId="0" shapeId="0" xr:uid="{9CEEE48B-F8B1-4E77-8AA6-56A801E437C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FY2024A: $791M
Page: F-5 (Consolidated Statements of Operations, YE Dec 31 2024)
https://www.sec.gov/Archives/edgar/data/1181412/000162828026036936/spaceexplorationtechnologi.htm</t>
        </r>
      </text>
    </comment>
    <comment ref="D59" authorId="0" shapeId="0" xr:uid="{5DA9E2CC-3E6B-4C8B-9BDC-6496B724E1C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(Loss) FY2025A: $(4,937)M
Page: F-5 (Consolidated Statements of Operations, YE Dec 31 2025)
https://www.sec.gov/Archives/edgar/data/1181412/000162828026036936/spaceexplorationtechnologi.htm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10" authorId="0" shapeId="0" xr:uid="{482B6E50-9EE8-4C1D-BF60-E028C10E1C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AI segment uses a DIFFERENT primary method than Connectivity/Space.
Method 1 (col B) for AI = EV/Revenue multiple (PRIMARY) — terminal-year revenue x peer multiple, discounted back. This is the reliable AI value.
Method 2 (col C) for AI = Gordon Growth (CROSS-CHECK only). Gordon is unreliable here because AI's early-year FCF is deeply negative (loss-making xAI/Grok), producing a distorted perpetuity.
Rationale follows M&amp;I and Mach33, who both value pre-scale/loss-making AI on revenue/capacity multiples, not perpetuity DCF. See COMP findings #18, #35.</t>
        </r>
      </text>
    </comment>
    <comment ref="B16" authorId="0" shapeId="0" xr:uid="{8FA3365F-9CB2-46F2-9DFD-8D48DBD0895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S-1, Dec 2025 Balance Sheet</t>
        </r>
      </text>
    </comment>
    <comment ref="B17" authorId="0" shapeId="0" xr:uid="{CE5BAB44-82BD-4AD6-8498-66A2EE5344CC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S-1, Dec 2025 Balance Sheet</t>
        </r>
      </text>
    </comment>
    <comment ref="B18" authorId="0" shapeId="0" xr:uid="{B2AD0FCE-919F-4430-8E56-C64A44E1EB78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Dec 2025 pre-IPO; converts to equity at IPO — use $0 for post-IPO equity value</t>
        </r>
      </text>
    </comment>
    <comment ref="B19" authorId="0" shapeId="0" xr:uid="{CB68C3DA-86F8-49BB-A887-34C57A880F4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Preferred Stock converts to common equity upon IPO (Preferred Conversion).
Post-conversion adjustment reflects $38,752M reclassified to equity.
Consolidated Balance Sheets / Notes — Page F-4
https://www.sec.gov/Archives/edgar/data/1181412/000162828026036936/spaceexplorationtechnologi.htm</t>
        </r>
      </text>
    </comment>
    <comment ref="B24" authorId="0" shapeId="0" xr:uid="{B5CE935A-59F7-4C4B-96BF-32663142A9FB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Class A (2,883) + B (2,421) + C (494) per S-1 Q1 2026 — EXCLUDES converted preferred &amp; xAI merger shares</t>
        </r>
      </text>
    </comment>
    <comment ref="B25" authorId="0" shapeId="0" xr:uid="{C1EEA7D2-A5B5-4BF3-BFD9-C6488AB2E4D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Reconciled from $1.75T IPO ÷ $135. Incl. converted preferred, xAI merger shares, RSUs/options + 555.6M new IPO shares. See COMP reconciliation.</t>
        </r>
      </text>
    </comment>
    <comment ref="B38" authorId="0" shapeId="0" xr:uid="{9D27BE15-264A-42F0-8948-80E2F4D86EB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38" authorId="0" shapeId="0" xr:uid="{9A3A521F-C0AF-4518-9A23-F8821DCE90B5}">
      <text>
        <r>
          <rPr>
            <b/>
            <sz val="9"/>
            <color indexed="81"/>
            <rFont val="Tahoma"/>
            <charset val="1"/>
          </rPr>
          <t>Rifat Tahmid:
SpaceX S-1 | Filed May 20, 2026
Consolidated Statements of Operations — FY2024
Total Revenue: $14,015M
Page F-5
https://www.sec.gov/Archives/edgar/data/1181412/000162828026036936/spaceexplorationtechnologi.htm</t>
        </r>
      </text>
    </comment>
    <comment ref="D38" authorId="0" shapeId="0" xr:uid="{1172FCC1-9A0B-4C74-BA5D-36B105406DD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Consolidated Statements of Operations — FY2025
Total Revenue: $18,674M
Page F-5
https://www.sec.gov/Archives/edgar/data/1181412/000162828026036936/spaceexplorationtechnologi.htm</t>
        </r>
      </text>
    </comment>
    <comment ref="B39" authorId="0" shapeId="0" xr:uid="{2A378B08-D1D8-4A48-B99A-92F7E69C006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 F-58
https://www.sec.gov/Archives/edgar/data/1181412/000162828026036936/spaceexplorationtechnologi.htm</t>
        </r>
      </text>
    </comment>
    <comment ref="C39" authorId="0" shapeId="0" xr:uid="{4C4A72E9-9519-4AA2-A037-8095C296DB7D}">
      <text>
        <r>
          <rPr>
            <b/>
            <sz val="9"/>
            <color indexed="81"/>
            <rFont val="Tahoma"/>
            <charset val="1"/>
          </rPr>
          <t>Rifat Tahmid:
SpaceX S-1 | Filed May 20, 2026
Note 19 — Segments, Connectivity Revenue FY2024: $7,599M
Page F-58
https://www.sec.gov/Archives/edgar/data/1181412/000162828026036936/spaceexplorationtechnologi.htm</t>
        </r>
      </text>
    </comment>
    <comment ref="D39" authorId="0" shapeId="0" xr:uid="{3AD2730E-44B0-4C28-BB40-F52592BB05D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Note 19 — Segments, Connectivity Revenue FY2025: $11,387M
Page F-58
https://www.sec.gov/Archives/edgar/data/1181412/000162828026036936/spaceexplorationtechnologi.htm</t>
        </r>
      </text>
    </comment>
    <comment ref="B40" authorId="0" shapeId="0" xr:uid="{5AABE749-20D0-48D9-8B0C-0716C3AD796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Pages F-58 to F-59
https://www.sec.gov/Archives/edgar/data/1181412/000162828026036936/spaceexplorationtechnologi.htm</t>
        </r>
      </text>
    </comment>
    <comment ref="C40" authorId="0" shapeId="0" xr:uid="{CD0615D4-76CA-4E47-8367-369AB83095CB}">
      <text>
        <r>
          <rPr>
            <b/>
            <sz val="9"/>
            <color indexed="81"/>
            <rFont val="Tahoma"/>
            <charset val="1"/>
          </rPr>
          <t>Rifat Tahmid:
SpaceX S-1 | Filed May 20, 2026
Note 19 — Segments, Space Revenue FY2024: $3,796M
Pages F-58 to F-59
https://www.sec.gov/Archives/edgar/data/1181412/000162828026036936/spaceexplorationtechnologi.htm</t>
        </r>
      </text>
    </comment>
    <comment ref="D40" authorId="0" shapeId="0" xr:uid="{C4CCA7BD-E695-4055-83BF-B5ED82E0345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Note 19 — Segments, Space Revenue FY2025: $4,086M
Pages F-58 to F-59
https://www.sec.gov/Archives/edgar/data/1181412/000162828026036936/spaceexplorationtechnologi.htm</t>
        </r>
      </text>
    </comment>
    <comment ref="B41" authorId="0" shapeId="0" xr:uid="{FC714674-5EFA-4B5E-BD56-50C0A13453D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 F-59
https://www.sec.gov/Archives/edgar/data/1181412/000162828026036936/spaceexplorationtechnologi.htm</t>
        </r>
      </text>
    </comment>
    <comment ref="C41" authorId="0" shapeId="0" xr:uid="{6D5ECA76-E6F8-47BE-AE59-D27F8694AA78}">
      <text>
        <r>
          <rPr>
            <b/>
            <sz val="9"/>
            <color indexed="81"/>
            <rFont val="Tahoma"/>
            <charset val="1"/>
          </rPr>
          <t>Rifat Tahmid:
SpaceX S-1 | Filed May 20, 2026
Note 19 — Segments, AI Revenue FY2024: $2,620M
Page F-59
https://www.sec.gov/Archives/edgar/data/1181412/000162828026036936/spaceexplorationtechnologi.htm</t>
        </r>
      </text>
    </comment>
    <comment ref="D41" authorId="0" shapeId="0" xr:uid="{64253DC0-BE51-449B-9B0F-0F482A4F35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Note 19 — Segments, AI Revenue FY2025: $3,201M
Page F-59
https://www.sec.gov/Archives/edgar/data/1181412/000162828026036936/spaceexplorationtechnologi.htm</t>
        </r>
      </text>
    </comment>
    <comment ref="B42" authorId="0" shapeId="0" xr:uid="{3E118301-BC71-4D10-BA7E-B757F7BFE27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Cash Flows (total) — Page F-8 to F-9
Note 19 — Segments Capex detail — Pages F-58 to F-59
https://www.sec.gov/Archives/edgar/data/1181412/000162828026036936/spaceexplorationtechnologi.htm</t>
        </r>
      </text>
    </comment>
    <comment ref="C42" authorId="0" shapeId="0" xr:uid="{6B896A6A-1F8F-49CE-8D19-FCF213A3BDD0}">
      <text>
        <r>
          <rPr>
            <b/>
            <sz val="9"/>
            <color indexed="81"/>
            <rFont val="Tahoma"/>
            <charset val="1"/>
          </rPr>
          <t>Rifat Tahmid:
SpaceX S-1 | Filed May 20, 2026
Total Capital Expenditure FY2024: $11,163M
Consolidated Statements of Cash Flows &amp; Note 19 — Segments
Pages F-8, F-58 to F-59
https://www.sec.gov/Archives/edgar/data/1181412/000162828026036936/spaceexplorationtechnologi.htm</t>
        </r>
      </text>
    </comment>
    <comment ref="D42" authorId="0" shapeId="0" xr:uid="{F6623B47-12BE-4CA2-86CB-90850D6719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Capex by Segment: Space $3,832M + Connectivity $4,178M + AI $12,727M = $20,737M
Note 19 — Segments &amp; Cash Flow Statement
Pages F-8, F-58 to F-59
https://www.sec.gov/Archives/edgar/data/1181412/000162828026036936/spaceexplorationtechnologi.htm</t>
        </r>
      </text>
    </comment>
    <comment ref="B43" authorId="0" shapeId="0" xr:uid="{B69ED6DB-F0DB-4D9C-9C90-79BA97F4C3E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Cash Flows
Pages F-8 to F-9
https://www.sec.gov/Archives/edgar/data/1181412/000162828026036936/spaceexplorationtechnologi.htm</t>
        </r>
      </text>
    </comment>
    <comment ref="C43" authorId="0" shapeId="0" xr:uid="{995B4FDD-FB28-4117-B956-F6F59FA2710C}">
      <text>
        <r>
          <rPr>
            <b/>
            <sz val="9"/>
            <color indexed="81"/>
            <rFont val="Tahoma"/>
            <charset val="1"/>
          </rPr>
          <t>Rifat Tahmid:
SpaceX S-1 | Filed May 20, 2026
Net Cash from Operating Activities — FY2024: $5,776M
Consolidated Statements of Cash Flows
Pages F-8 to F-9
https://www.sec.gov/Archives/edgar/data/1181412/000162828026036936/spaceexplorationtechnologi.htm</t>
        </r>
      </text>
    </comment>
    <comment ref="D43" authorId="0" shapeId="0" xr:uid="{4BF646F3-0F4F-47F5-9D5C-5F32BE91A93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Net Cash from Operating Activities — FY2025: $6,785M
Consolidated Statements of Cash Flows
Pages F-8 to F-9
https://www.sec.gov/Archives/edgar/data/1181412/000162828026036936/spaceexplorationtechnologi.htm</t>
        </r>
      </text>
    </comment>
    <comment ref="B44" authorId="0" shapeId="0" xr:uid="{A8F6E39E-6527-4357-A159-28B513EC090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44" authorId="0" shapeId="0" xr:uid="{F3DE2C86-A252-4679-802D-22CB662EF163}">
      <text>
        <r>
          <rPr>
            <b/>
            <sz val="9"/>
            <color indexed="81"/>
            <rFont val="Tahoma"/>
            <charset val="1"/>
          </rPr>
          <t>Rifat Tahmid:
SpaceX S-1 | Filed May 20, 2026
Net Income FY2024: $791M
Consolidated Statements of Operations
Page F-5
https://www.sec.gov/Archives/edgar/data/1181412/000162828026036936/spaceexplorationtechnologi.htm</t>
        </r>
      </text>
    </comment>
    <comment ref="D44" authorId="0" shapeId="0" xr:uid="{C9F06982-0A17-445C-A87A-F5674AD6A7C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Net Loss FY2025: $(4,937)M
Consolidated Statements of Operations
Page F-5
https://www.sec.gov/Archives/edgar/data/1181412/000162828026036936/spaceexplorationtechnologi.htm</t>
        </r>
      </text>
    </comment>
    <comment ref="B45" authorId="0" shapeId="0" xr:uid="{AFF09562-C36B-4445-8F90-0B3C3381602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Derived: Connectivity Segment Adjusted EBITDA $7,168M / Revenue $11,387M
Note 19 — Segments
Page F-58
https://www.sec.gov/Archives/edgar/data/1181412/000162828026036936/spaceexplorationtechnologi.htm</t>
        </r>
      </text>
    </comment>
    <comment ref="C45" authorId="0" shapeId="0" xr:uid="{A2B5DBEC-E82B-42BF-95C2-2AD78B25D483}">
      <text>
        <r>
          <rPr>
            <b/>
            <sz val="9"/>
            <color indexed="81"/>
            <rFont val="Tahoma"/>
            <charset val="1"/>
          </rPr>
          <t>Rifat Tahmid:
SpaceX S-1 | Filed May 20, 2026
Connectivity Segment Adjusted EBITDA Margin FY2024: 46.2%
Note 19 — Segments &amp; MD&amp;A Non-GAAP Measures
Page F-58
https://www.sec.gov/Archives/edgar/data/1181412/000162828026036936/spaceexplorationtechnologi.htm</t>
        </r>
      </text>
    </comment>
    <comment ref="D45" authorId="0" shapeId="0" xr:uid="{778BC65F-DA8C-4A6B-A9D0-E34B1AE43A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Connectivity Segment Adjusted EBITDA FY2025: $7,168M / Revenue $11,387M = 62.9%
Note 19 — Segments &amp; MD&amp;A Non-GAAP Measures
Page F-58
https://www.sec.gov/Archives/edgar/data/1181412/000162828026036936/spaceexplorationtechnologi.htm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FE26D528-E18C-42A7-B878-79CA825A7DF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Connectivity: +49.8% YoY ($7.6B→$11.4B)
Page: F-58 (Note 19 — Segments, YE Dec 31 2025)
https://www.sec.gov/Archives/edgar/data/1181412/000162828026036936/spaceexplorationtechnologi.htm</t>
        </r>
      </text>
    </comment>
    <comment ref="E10" authorId="0" shapeId="0" xr:uid="{BBC09C83-3E02-4AA5-B8D7-586DAEC1404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62.9% ($7,168M / $11,387M)
Page: F-58 (Note 19 — Segments, YE Dec 31 2025)
https://www.sec.gov/Archives/edgar/data/1181412/000162828026036936/spaceexplorationtechnologi.htm</t>
        </r>
      </text>
    </comment>
    <comment ref="E11" authorId="0" shapeId="0" xr:uid="{F1B627D2-9762-4401-8D7D-FDA6B4C923A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D&amp;A % anchored to FY2025A: $2,376M / $11,387M = 20.9%
Page: F-58 (Note 19 — Segments, supplemental, YE Dec 31 2025)
https://www.sec.gov/Archives/edgar/data/1181412/000162828026036936/spaceexplorationtechnologi.htm</t>
        </r>
      </text>
    </comment>
    <comment ref="E12" authorId="0" shapeId="0" xr:uid="{A52D2641-3F6C-4092-A5F0-A352490C0A9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$4,178M / $11,387M = 36.7%
Page: F-58 (Note 19 — Segments, supplemental, YE Dec 31 2025)
https://www.sec.gov/Archives/edgar/data/1181412/000162828026036936/spaceexplorationtechnologi.htm</t>
        </r>
      </text>
    </comment>
    <comment ref="B49" authorId="0" shapeId="0" xr:uid="{062C84F9-73BE-48C1-AA72-847834F26FF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FY2023A: $3,869M
Page: F-59 (Note 19 — Segments, YE Dec 31 2023)
https://www.sec.gov/Archives/edgar/data/1181412/000162828026036936/spaceexplorationtechnologi.htm</t>
        </r>
      </text>
    </comment>
    <comment ref="C49" authorId="0" shapeId="0" xr:uid="{0488F870-761A-4CEF-8531-2E4F29B357E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FY2024A: $7,599M
Page: F-58 (Note 19 — Segments, YE Dec 31 2024)
https://www.sec.gov/Archives/edgar/data/1181412/000162828026036936/spaceexplorationtechnologi.htm</t>
        </r>
      </text>
    </comment>
    <comment ref="D49" authorId="0" shapeId="0" xr:uid="{FE6B87F6-1368-4417-B214-FB21A3C0C1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FY2025A: $11,387M (Consumer $7,208M + Enterprise/Govt $4,179M)
Page: F-58 (Note 19 — Segments, YE Dec 31 2025)
https://www.sec.gov/Archives/edgar/data/1181412/000162828026036936/spaceexplorationtechnologi.htm</t>
        </r>
      </text>
    </comment>
    <comment ref="B51" authorId="0" shapeId="0" xr:uid="{BB3D36D8-FB50-4AF1-ABB5-72B3B25995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Adj EBITDA FY2023A: ~$1,935M (Op Inc $469M + D&amp;A $884M + SBC $249M)
Page: F-59 (Note 19 — Segments, YE Dec 31 2023)
https://www.sec.gov/Archives/edgar/data/1181412/000162828026036936/spaceexplorationtechnologi.htm</t>
        </r>
      </text>
    </comment>
    <comment ref="C51" authorId="0" shapeId="0" xr:uid="{F5F4F5FC-E897-4F99-B6D2-F74F28B6BCD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Adj EBITDA FY2024A: ~$3,514M (Op Inc $2,006M + D&amp;A $1,508M)
Page: F-58 (Note 19 — Segments, YE Dec 31 2024)
https://www.sec.gov/Archives/edgar/data/1181412/000162828026036936/spaceexplorationtechnologi.htm</t>
        </r>
      </text>
    </comment>
    <comment ref="D51" authorId="0" shapeId="0" xr:uid="{3D82C2FC-7DF2-4C8C-9028-3FF0F70F78E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Adj EBITDA FY2025A: $7,168M (62.9% margin; +86% YoY)
Page: F-58 (Note 19 — Segments, YE Dec 31 2025)
https://www.sec.gov/Archives/edgar/data/1181412/000162828026036936/spaceexplorationtechnologi.htm</t>
        </r>
      </text>
    </comment>
    <comment ref="B53" authorId="0" shapeId="0" xr:uid="{C1916BAA-407E-4831-BFC5-587479508E5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FY2023A: $884M (Starlink satellite depreciation)
Page: F-59 (Note 19 — Segments, supplemental, YE Dec 31 2023)
https://www.sec.gov/Archives/edgar/data/1181412/000162828026036936/spaceexplorationtechnologi.htm</t>
        </r>
      </text>
    </comment>
    <comment ref="C53" authorId="0" shapeId="0" xr:uid="{ACF92831-F86B-42A7-9D3F-DEE98B0049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FY2024A: $1,508M
Page: F-58 (Note 19 — Segments, supplemental, YE Dec 31 2024)
https://www.sec.gov/Archives/edgar/data/1181412/000162828026036936/spaceexplorationtechnologi.htm</t>
        </r>
      </text>
    </comment>
    <comment ref="D53" authorId="0" shapeId="0" xr:uid="{AD1580CA-64E5-43FA-8C4C-EB3F9954C1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FY2025A: $2,376M (Starlink v2 constellation depreciation)
Page: F-58 (Note 19 — Segments, supplemental, YE Dec 31 2025)
https://www.sec.gov/Archives/edgar/data/1181412/000162828026036936/spaceexplorationtechnologi.htm</t>
        </r>
      </text>
    </comment>
    <comment ref="B58" authorId="0" shapeId="0" xr:uid="{D5BFDF38-971A-454D-ADD6-520A475E3A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FY2023: $884M
Note 19 — Segments, Supplemental Info
Page F-59
https://www.sec.gov/Archives/edgar/data/1181412/000162828026036936/spaceexplorationtechnologi.htm</t>
        </r>
      </text>
    </comment>
    <comment ref="C58" authorId="0" shapeId="0" xr:uid="{D4363762-4145-490A-89EC-49EEFFB2149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FY2024: $1,508M
Note 19 — Segments, Supplemental Info
Page F-58
https://www.sec.gov/Archives/edgar/data/1181412/000162828026036936/spaceexplorationtechnologi.htm</t>
        </r>
      </text>
    </comment>
    <comment ref="D58" authorId="0" shapeId="0" xr:uid="{F3EAD545-AF34-4F04-935F-82FAEA4EFA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FY2025: $2,376M
Note 19 — Segments, Supplemental Info
Page F-58
https://www.sec.gov/Archives/edgar/data/1181412/000162828026036936/spaceexplorationtechnologi.htm</t>
        </r>
      </text>
    </comment>
    <comment ref="B59" authorId="0" shapeId="0" xr:uid="{F44F96D8-E3DF-412A-BB7C-0DEAE61DC75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FY2023A: $2,455M
Page: F-59 (Note 19 — Segments, supplemental, YE Dec 31 2023)
https://www.sec.gov/Archives/edgar/data/1181412/000162828026036936/spaceexplorationtechnologi.htm</t>
        </r>
      </text>
    </comment>
    <comment ref="C59" authorId="0" shapeId="0" xr:uid="{364683FC-60B7-4718-8B77-FE097D6082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FY2024A: $3,498M
Page: F-58 (Note 19 — Segments, supplemental, YE Dec 31 2024)
https://www.sec.gov/Archives/edgar/data/1181412/000162828026036936/spaceexplorationtechnologi.htm</t>
        </r>
      </text>
    </comment>
    <comment ref="D59" authorId="0" shapeId="0" xr:uid="{E0BE342A-DBEC-4F91-B88F-BDC91A2524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FY2025A: $4,178M (constellation build-out)
Page: F-58 (Note 19 — Segments, supplemental, YE Dec 31 2025)
https://www.sec.gov/Archives/edgar/data/1181412/000162828026036936/spaceexplorationtechnologi.htm</t>
        </r>
      </text>
    </comment>
    <comment ref="B60" authorId="0" shapeId="0" xr:uid="{49EE4766-35CF-4F1F-9002-7B2A9BC0746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Capex FY2023: $2,455M
Note 19 — Segments, Supplemental Info
Page F-59
https://www.sec.gov/Archives/edgar/data/1181412/000162828026036936/spaceexplorationtechnologi.htm</t>
        </r>
      </text>
    </comment>
    <comment ref="C60" authorId="0" shapeId="0" xr:uid="{715E5318-C0CD-4BAD-801D-6DDAF684C50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Capex FY2024: $3,498M
Note 19 — Segments, Supplemental Info
Page F-58
https://www.sec.gov/Archives/edgar/data/1181412/000162828026036936/spaceexplorationtechnologi.htm</t>
        </r>
      </text>
    </comment>
    <comment ref="D60" authorId="0" shapeId="0" xr:uid="{88296CDA-2B45-41E1-A868-903BFC76E8B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Capex FY2025: $4,178M
Note 19 — Segments, Supplemental Info
Page F-58
https://www.sec.gov/Archives/edgar/data/1181412/000162828026036936/spaceexplorationtechnologi.htm</t>
        </r>
      </text>
    </comment>
    <comment ref="B79" authorId="0" shapeId="0" xr:uid="{E4C7E96E-5721-404C-A4E2-E444C1B7EDEF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EV/EBITDA anchored to mature-stage comp tier (Large Mature Wireless &gt;$10B) median TEV/EBITDA on 'Conn Comps'!K57. Falls back to 25x base until comp inputs are populated from terminal.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BA6DE7FB-3A23-40F1-939E-4A240AA4FDC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Space: +7.6% YoY ($3,796M→$4,086M)
Page: F-58 (Note 19 — Segments, YE Dec 31 2025)
https://www.sec.gov/Archives/edgar/data/1181412/000162828026036936/spaceexplorationtechnologi.htm</t>
        </r>
      </text>
    </comment>
    <comment ref="E10" authorId="0" shapeId="0" xr:uid="{9158EDED-E534-42CF-B71E-205CB44F8B0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16.0% ($653M / $4,086M); dragged by Starship R&amp;D $3B
Page: F-58 (Note 19 — Segments, YE Dec 31 2025)
https://www.sec.gov/Archives/edgar/data/1181412/000162828026036936/spaceexplorationtechnologi.htm</t>
        </r>
      </text>
    </comment>
    <comment ref="E11" authorId="0" shapeId="0" xr:uid="{623DD66E-7977-4F25-AFB2-C8B4FB42430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D&amp;A % anchored to FY2025A: $757M / $4,086M = 18.5%
Page: F-58 (Note 19 — Segments, supplemental, YE Dec 31 2025)
https://www.sec.gov/Archives/edgar/data/1181412/000162828026036936/spaceexplorationtechnologi.htm</t>
        </r>
      </text>
    </comment>
    <comment ref="E12" authorId="0" shapeId="0" xr:uid="{540F6C8C-713D-4478-9AFD-4E72FF2E0A0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$3,832M / $4,086M = 93.8%
Page: F-58 (Note 19 — Segments, supplemental, YE Dec 31 2025)
https://www.sec.gov/Archives/edgar/data/1181412/000162828026036936/spaceexplorationtechnologi.htm</t>
        </r>
      </text>
    </comment>
    <comment ref="B49" authorId="0" shapeId="0" xr:uid="{B4954296-BCB2-4105-92FD-472A1142382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FY2023A: $3,557M (Launch Services $1,964M + Launch &amp; Dev $1,593M)
Page: F-59 (Note 19 — Segments, YE Dec 31 2023)
https://www.sec.gov/Archives/edgar/data/1181412/000162828026036936/spaceexplorationtechnologi.htm</t>
        </r>
      </text>
    </comment>
    <comment ref="C49" authorId="0" shapeId="0" xr:uid="{C35368F4-EC0E-4D17-8964-16A566ED7E9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FY2024A: $3,796M
Page: F-58 (Note 19 — Segments, YE Dec 31 2024)
https://www.sec.gov/Archives/edgar/data/1181412/000162828026036936/spaceexplorationtechnologi.htm</t>
        </r>
      </text>
    </comment>
    <comment ref="D49" authorId="0" shapeId="0" xr:uid="{08410FC1-032D-4ECD-9347-8FEF031F185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FY2025A: $4,086M (Launch Services $2,576M + Launch &amp; Dev $1,510M)
Page: F-58 (Note 19 — Segments, YE Dec 31 2025)
https://www.sec.gov/Archives/edgar/data/1181412/000162828026036936/spaceexplorationtechnologi.htm</t>
        </r>
      </text>
    </comment>
    <comment ref="B51" authorId="0" shapeId="0" xr:uid="{E963BE9B-A5EF-41E5-940E-6333E9C1851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Adj EBITDA FY2023A: $570M (Op Inc $(1)M + D&amp;A $571M)
Page: F-59 (Note 19 — Segments, YE Dec 31 2023)
https://www.sec.gov/Archives/edgar/data/1181412/000162828026036936/spaceexplorationtechnologi.htm</t>
        </r>
      </text>
    </comment>
    <comment ref="C51" authorId="0" shapeId="0" xr:uid="{2E190517-AAD0-4016-9132-4F37ADA1B92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Adj EBITDA FY2024A: $658M (Op Inc $21M + D&amp;A $637M)
Page: F-58 (Note 19 — Segments, YE Dec 31 2024)
https://www.sec.gov/Archives/edgar/data/1181412/000162828026036936/spaceexplorationtechnologi.htm</t>
        </r>
      </text>
    </comment>
    <comment ref="D51" authorId="0" shapeId="0" xr:uid="{1F4496B9-F04E-4486-81BC-BBA8A8F6B0A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Adj EBITDA FY2025A: $653M per S-1 narrative
Page: F-58 (Note 19 — Segments, YE Dec 31 2025)
https://www.sec.gov/Archives/edgar/data/1181412/000162828026036936/spaceexplorationtechnologi.htm</t>
        </r>
      </text>
    </comment>
    <comment ref="B53" authorId="0" shapeId="0" xr:uid="{C77B5EB3-11DF-45FD-8AA3-A49049BC746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FY2023A: $571M
Page: F-59 (Note 19 — Segments, supplemental, YE Dec 31 2023)
https://www.sec.gov/Archives/edgar/data/1181412/000162828026036936/spaceexplorationtechnologi.htm</t>
        </r>
      </text>
    </comment>
    <comment ref="C53" authorId="0" shapeId="0" xr:uid="{1B185336-9F4F-47CB-A648-9890121D7D1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FY2024A: $637M
Page: F-58 (Note 19 — Segments, supplemental, YE Dec 31 2024)
https://www.sec.gov/Archives/edgar/data/1181412/000162828026036936/spaceexplorationtechnologi.htm</t>
        </r>
      </text>
    </comment>
    <comment ref="D53" authorId="0" shapeId="0" xr:uid="{52BF4F89-1127-4EB1-AD8C-5DCECED42FE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FY2025A: $757M
Page: F-58 (Note 19 — Segments, supplemental, YE Dec 31 2025)
https://www.sec.gov/Archives/edgar/data/1181412/000162828026036936/spaceexplorationtechnologi.htm</t>
        </r>
      </text>
    </comment>
    <comment ref="B58" authorId="0" shapeId="0" xr:uid="{B9C1EF38-20AB-4C21-8404-8D6A4B59EDE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FY2023: $571M
Note 19 — Segments, Supplemental Info
Page F-59
https://www.sec.gov/Archives/edgar/data/1181412/000162828026036936/spaceexplorationtechnologi.htm</t>
        </r>
      </text>
    </comment>
    <comment ref="C58" authorId="0" shapeId="0" xr:uid="{854346E9-57A7-4901-8AD0-6F292471869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FY2024: $637M
Note 19 — Segments, Supplemental Info
Pages F-58 to F-59
https://www.sec.gov/Archives/edgar/data/1181412/000162828026036936/spaceexplorationtechnologi.htm</t>
        </r>
      </text>
    </comment>
    <comment ref="D58" authorId="0" shapeId="0" xr:uid="{7D4828E3-53E3-4CA7-97FE-88D009ADE2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FY2025: $757M
Note 19 — Segments, Supplemental Info
Page F-58
https://www.sec.gov/Archives/edgar/data/1181412/000162828026036936/spaceexplorationtechnologi.htm</t>
        </r>
      </text>
    </comment>
    <comment ref="B59" authorId="0" shapeId="0" xr:uid="{B0AEA2DB-043D-4EF8-8437-5AAFB461F1F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FY2023A: $1,497M
Page: F-59 (Note 19 — Segments, supplemental, YE Dec 31 2023)
https://www.sec.gov/Archives/edgar/data/1181412/000162828026036936/spaceexplorationtechnologi.htm</t>
        </r>
      </text>
    </comment>
    <comment ref="C59" authorId="0" shapeId="0" xr:uid="{63B62992-712E-480D-9434-FDC57A2CA11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FY2024A: $2,032M
Page: F-58 (Note 19 — Segments, supplemental, YE Dec 31 2024)
https://www.sec.gov/Archives/edgar/data/1181412/000162828026036936/spaceexplorationtechnologi.htm</t>
        </r>
      </text>
    </comment>
    <comment ref="D59" authorId="0" shapeId="0" xr:uid="{0746D271-8042-498E-9360-A465391024E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FY2025A: $3,832M (Starship dev + launch infra)
Page: F-58 (Note 19 — Segments, supplemental, YE Dec 31 2025)
https://www.sec.gov/Archives/edgar/data/1181412/000162828026036936/spaceexplorationtechnologi.htm</t>
        </r>
      </text>
    </comment>
    <comment ref="B60" authorId="0" shapeId="0" xr:uid="{EFABB92D-C4D1-4C0A-9E65-CD4034DEFC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FY2023: $1,497M
Note 19 — Segments, Supplemental Info
Page F-59
https://www.sec.gov/Archives/edgar/data/1181412/000162828026036936/spaceexplorationtechnologi.htm</t>
        </r>
      </text>
    </comment>
    <comment ref="C60" authorId="0" shapeId="0" xr:uid="{14DEFA2E-9BC3-4373-9BFC-97924CF5D76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FY2024: $2,032M
Note 19 — Segments, Supplemental Info
Pages F-58 to F-59
https://www.sec.gov/Archives/edgar/data/1181412/000162828026036936/spaceexplorationtechnologi.htm</t>
        </r>
      </text>
    </comment>
    <comment ref="D60" authorId="0" shapeId="0" xr:uid="{8D36F3D6-1AB5-486E-8BD8-09780961894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FY2025: $3,832M
Note 19 — Segments, Supplemental Info
Page F-58
https://www.sec.gov/Archives/edgar/data/1181412/000162828026036936/spaceexplorationtechnologi.htm</t>
        </r>
      </text>
    </comment>
    <comment ref="B79" authorId="0" shapeId="0" xr:uid="{6C480F5C-02A1-4E40-BFF1-600F0FE7BD4B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EV/EBITDA anchored to mature-stage comp tier (Big-5 Defense Contractors) median TEV/EBITDA on 'Space Comps'!K37 (currently 15.1x). Falls back to 18x base if comp inputs are cleared.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A1A66606-DD0E-4EF2-8AAF-BB735A5FCD9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AI: +22.2% YoY ($2,620M→$3,201M)
Page: F-58 (Note 19 — Segments, YE Dec 31 2025)
https://www.sec.gov/Archives/edgar/data/1181412/000162828026036936/spaceexplorationtechnologi.htm</t>
        </r>
      </text>
    </comment>
    <comment ref="E10" authorId="0" shapeId="0" xr:uid="{006AFCE0-E0DA-4B3A-A368-C8F33C7D8A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-38.6% — heavy R&amp;D/compute investment
Page: F-58 (Note 19 — Segments, YE Dec 31 2025)
https://www.sec.gov/Archives/edgar/data/1181412/000162828026036936/spaceexplorationtechnologi.htm</t>
        </r>
      </text>
    </comment>
    <comment ref="E11" authorId="0" shapeId="0" xr:uid="{1D767160-B2FD-4FB8-B797-B137EFB47AB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D&amp;A % anchored to FY2025A: $3,568M / $3,201M = 111.5%
Page: F-58 (Note 19 — Segments, supplemental, YE Dec 31 2025)
https://www.sec.gov/Archives/edgar/data/1181412/000162828026036936/spaceexplorationtechnologi.htm</t>
        </r>
      </text>
    </comment>
    <comment ref="E12" authorId="0" shapeId="0" xr:uid="{186F8A79-260A-42D5-9F3E-929F92138D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$12,727M / $3,201M = 397.6%
Page: F-58 (Note 19 — Segments, supplemental, YE Dec 31 2025)
https://www.sec.gov/Archives/edgar/data/1181412/000162828026036936/spaceexplorationtechnologi.htm</t>
        </r>
      </text>
    </comment>
    <comment ref="B49" authorId="0" shapeId="0" xr:uid="{1125C9AF-3421-4C86-801B-4480CA1333A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FY2023A: $2,961M (Advertising $2,323M + AI Solutions $638M)
Page: F-59 (Note 19 — Segments, YE Dec 31 2023)
https://www.sec.gov/Archives/edgar/data/1181412/000162828026036936/spaceexplorationtechnologi.htm</t>
        </r>
      </text>
    </comment>
    <comment ref="C49" authorId="0" shapeId="0" xr:uid="{B8F68533-8D0E-42FE-9044-13861077F80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FY2024A: $2,620M (Advertising $1,728M + AI Solutions $892M)
Page: F-58 (Note 19 — Segments, YE Dec 31 2024)
https://www.sec.gov/Archives/edgar/data/1181412/000162828026036936/spaceexplorationtechnologi.htm</t>
        </r>
      </text>
    </comment>
    <comment ref="D49" authorId="0" shapeId="0" xr:uid="{BB93394E-54E8-4C46-823B-946100BD25A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FY2025A: $3,201M (Advertising $1,844M + AI Solutions $1,357M)
Page: F-58 (Note 19 — Segments, YE Dec 31 2025)
https://www.sec.gov/Archives/edgar/data/1181412/000162828026036936/spaceexplorationtechnologi.htm</t>
        </r>
      </text>
    </comment>
    <comment ref="B51" authorId="0" shapeId="0" xr:uid="{168AE469-D327-49DC-8EAC-BB543443AA2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Adj EBITDA FY2023A: ~$(793)M (incl. $3,775M goodwill impairment add-back)
Page: F-59 (Note 19 — Segments, YE Dec 31 2023)
https://www.sec.gov/Archives/edgar/data/1181412/000162828026036936/spaceexplorationtechnologi.htm</t>
        </r>
      </text>
    </comment>
    <comment ref="C51" authorId="0" shapeId="0" xr:uid="{4BED4CC3-388C-4DB4-A01F-001CC3D0442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Adj EBITDA FY2024A: $118M (Op Inc $(1,561)M + D&amp;A $1,679M)
Page: F-58 (Note 19 — Segments, YE Dec 31 2024)
https://www.sec.gov/Archives/edgar/data/1181412/000162828026036936/spaceexplorationtechnologi.htm</t>
        </r>
      </text>
    </comment>
    <comment ref="D51" authorId="0" shapeId="0" xr:uid="{44353D79-F0E9-4942-A1D0-6D021648D60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Adj EBITDA FY2025A: $(1,237)M — xAI compute investment phase
Page: F-58 (Note 19 — Segments, YE Dec 31 2025)
https://www.sec.gov/Archives/edgar/data/1181412/000162828026036936/spaceexplorationtechnologi.htm</t>
        </r>
      </text>
    </comment>
    <comment ref="B53" authorId="0" shapeId="0" xr:uid="{44392455-C24C-4A7D-A066-7060C736B68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FY2023A: $1,180M
Page: F-59 (Note 19 — Segments, supplemental, YE Dec 31 2023)
https://www.sec.gov/Archives/edgar/data/1181412/000162828026036936/spaceexplorationtechnologi.htm</t>
        </r>
      </text>
    </comment>
    <comment ref="C53" authorId="0" shapeId="0" xr:uid="{9D1195FA-E8EF-4007-BEC5-1F7A6F3459B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FY2024A: $1,679M
Page: F-58 (Note 19 — Segments, supplemental, YE Dec 31 2024)
https://www.sec.gov/Archives/edgar/data/1181412/000162828026036936/spaceexplorationtechnologi.htm</t>
        </r>
      </text>
    </comment>
    <comment ref="D53" authorId="0" shapeId="0" xr:uid="{28A42760-275E-4138-AB7E-1EA921BE815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FY2025A: $3,568M (xAI GPU cluster accelerated depreciation)
Page: F-58 (Note 19 — Segments, supplemental, YE Dec 31 2025)
https://www.sec.gov/Archives/edgar/data/1181412/000162828026036936/spaceexplorationtechnologi.htm</t>
        </r>
      </text>
    </comment>
    <comment ref="B58" authorId="0" shapeId="0" xr:uid="{73D367D2-155F-413F-86BD-C1817F1543E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FY2023: $1,180M
Note 19 — Segments, Supplemental Info
Page F-59
https://www.sec.gov/Archives/edgar/data/1181412/000162828026036936/spaceexplorationtechnologi.htm</t>
        </r>
      </text>
    </comment>
    <comment ref="C58" authorId="0" shapeId="0" xr:uid="{8E436368-59F0-4933-9182-C16F5F0B376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FY2024: $1,679M
Note 19 — Segments, Supplemental Info
Pages F-58 to F-59
https://www.sec.gov/Archives/edgar/data/1181412/000162828026036936/spaceexplorationtechnologi.htm</t>
        </r>
      </text>
    </comment>
    <comment ref="D58" authorId="0" shapeId="0" xr:uid="{19755EE0-BBB2-4020-A7CE-57C663FAF76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FY2025: $3,568M
Note 19 — Segments, Supplemental Info
Page F-58
https://www.sec.gov/Archives/edgar/data/1181412/000162828026036936/spaceexplorationtechnologi.htm</t>
        </r>
      </text>
    </comment>
    <comment ref="B59" authorId="0" shapeId="0" xr:uid="{5E2C36CA-7103-4EFE-9CD5-2623C98DBA4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FY2023A: $463M
Page: F-59 (Note 19 — Segments, supplemental, YE Dec 31 2023)
https://www.sec.gov/Archives/edgar/data/1181412/000162828026036936/spaceexplorationtechnologi.htm</t>
        </r>
      </text>
    </comment>
    <comment ref="C59" authorId="0" shapeId="0" xr:uid="{61D3B2F0-EC84-4BBE-8117-CC65A7A2148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FY2024A: $5,633M
Page: F-58 (Note 19 — Segments, supplemental, YE Dec 31 2024)
https://www.sec.gov/Archives/edgar/data/1181412/000162828026036936/spaceexplorationtechnologi.htm</t>
        </r>
      </text>
    </comment>
    <comment ref="D59" authorId="0" shapeId="0" xr:uid="{6EE91832-D67B-4224-ACC8-BA083E356C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FY2025A: $12,727M (xAI data centers; GPU clusters for Grok training)
Page: F-58 (Note 19 — Segments, supplemental, YE Dec 31 2025)
https://www.sec.gov/Archives/edgar/data/1181412/000162828026036936/spaceexplorationtechnologi.htm</t>
        </r>
      </text>
    </comment>
    <comment ref="B60" authorId="0" shapeId="0" xr:uid="{FB3DE81B-A2E8-4AEF-B461-0334092C9B2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FY2023: $463M
Note 19 — Segments, Supplemental Info
Page F-59
https://www.sec.gov/Archives/edgar/data/1181412/000162828026036936/spaceexplorationtechnologi.htm</t>
        </r>
      </text>
    </comment>
    <comment ref="C60" authorId="0" shapeId="0" xr:uid="{A4D9DCCD-DF64-4E4C-A6C3-42C7C31DE1D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FY2024: $5,633M
Note 19 — Segments, Supplemental Info
Pages F-58 to F-59
https://www.sec.gov/Archives/edgar/data/1181412/000162828026036936/spaceexplorationtechnologi.htm</t>
        </r>
      </text>
    </comment>
    <comment ref="D60" authorId="0" shapeId="0" xr:uid="{5BC25138-F65A-4709-A181-49C06266C1A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FY2025: $12,727M
Note 19 — Segments, Supplemental Info
Page F-58
https://www.sec.gov/Archives/edgar/data/1181412/000162828026036936/spaceexplorationtechnologi.htm</t>
        </r>
      </text>
    </comment>
    <comment ref="B79" authorId="0" shapeId="0" xr:uid="{C75583F8-6A03-4193-938C-9381620DCF15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EV/REVENUE now anchored to Tier 3 Social Media mature-stage median TEV/Revenue ('AI Comps'!J47, currently 3.2x with Meta included).
Methodology aligned with Conn and Space: each segment uses its mature-tier comp median for BOTH beta and exit multiple.
• Beta → Tier 3 Social Media (WACC sheet) — unchanged
• Exit multiple → Tier 3 Social Media (this cell) — CHANGED from Tier 2 Infra Hosting (46.6x)
Falls back to 6.0x if comp inputs are cleared.
Rationale: Terminal-year AI monetization profile resembles social media (ad/subscription revenue at scale) more than current-stage GPU neocloud infrastructure.</t>
        </r>
      </text>
    </comment>
    <comment ref="A135" authorId="0" shapeId="0" xr:uid="{D772890D-DD34-4BA9-86D4-A80BAB13B08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FLAG: Bottom-up (capacity-based) AI revenue is ~48% below top-down by FY45 ($80B vs $153B).
This means our top-down AI growth path is more aggressive than a $/MW capacity build supports. Since AI is valued on EV/Revenue, consider moderating top-down AI growth toward the bottom-up path, OR treat the gap as upside optionality (orbital data centers / Terafab not in capacity base).
Bottom-up basis: global capacity 31GW-&gt;312GW (M&amp;I), SpaceX share 0.5%-&gt;8%, ~$2M/MW/yr, anchored to Anthropic $1.25B/mo / 500MW deal.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6" authorId="0" shapeId="0" xr:uid="{DD4D9375-27BE-4C97-9583-DAB953F7F0C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10Y US Treasury yield (risk-free rate at filing date)
Page: N/A — market data
https://www.sec.gov/Archives/edgar/data/1181412/000162828026036936/spaceexplorationtechnologi.htm</t>
        </r>
      </text>
    </comment>
    <comment ref="B7" authorId="0" shapeId="0" xr:uid="{21DF4D98-212E-4185-923D-D87306896B9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Equity Risk Premium: Damodaran implied ERP, Jan 2026
Page: N/A — market data
https://www.sec.gov/Archives/edgar/data/1181412/000162828026036936/spaceexplorationtechnologi.htm</t>
        </r>
      </text>
    </comment>
    <comment ref="B8" authorId="0" shapeId="0" xr:uid="{05B7DFD0-3F17-4801-BADD-463F9D77959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Tax rate 21% (statutory; SpaceX in NOL regime, 2025 effective tax distorted)
Page: F-5 (Consolidated Statements of Operations, YE Dec 31 2025)
https://www.sec.gov/Archives/edgar/data/1181412/000162828026036936/spaceexplorationtechnologi.htm</t>
        </r>
      </text>
    </comment>
    <comment ref="B9" authorId="0" shapeId="0" xr:uid="{B18E86D3-240B-4CFD-9C97-8B7E5A62C9C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Specific risk premium for pre-IPO illiquidity + size/execution risk. Range: 2–3% typical for late-stage private companies approaching IPO. Blue = adjustable input.</t>
        </r>
      </text>
    </comment>
    <comment ref="B13" authorId="0" shapeId="0" xr:uid="{26CE1FB0-CB5D-4DEA-8ABB-748F2EA34DB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Iridium Communications (IRDM) levered beta — 5-yr monthly vs S&amp;P 500
Page: N/A — market data
https://www.sec.gov/Archives/edgar/data/1181412/000162828026036936/spaceexplorationtechnologi.htm</t>
        </r>
      </text>
    </comment>
    <comment ref="B14" authorId="0" shapeId="0" xr:uid="{D3FA046E-ADFA-48BD-88C8-88F7D50806A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Viasat (VSAT) levered beta — 5-yr monthly vs S&amp;P 500
Page: N/A — market data
https://www.sec.gov/Archives/edgar/data/1181412/000162828026036936/spaceexplorationtechnologi.htm</t>
        </r>
      </text>
    </comment>
    <comment ref="B15" authorId="0" shapeId="0" xr:uid="{C9DA94A7-ED76-4507-ABD5-4F1487C9CF0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Maxar Technologies levered beta — 5-yr monthly vs S&amp;P 500
Page: N/A — market data
https://www.sec.gov/Archives/edgar/data/1181412/000162828026036936/spaceexplorationtechnologi.htm</t>
        </r>
      </text>
    </comment>
    <comment ref="B16" authorId="0" shapeId="0" xr:uid="{0000BA7C-30C3-43D0-B743-2911F9618B1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Rocket Lab (RKLB) levered beta — 5-yr monthly vs S&amp;P 500
Page: N/A — market data
https://www.sec.gov/Archives/edgar/data/1181412/000162828026036936/spaceexplorationtechnologi.htm</t>
        </r>
      </text>
    </comment>
    <comment ref="B17" authorId="0" shapeId="0" xr:uid="{3F719BBF-DC2D-4BDB-9B92-769CC21671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Meta Platforms (META) levered beta — proxy for AI/social advertising
Page: N/A — market data
https://www.sec.gov/Archives/edgar/data/1181412/000162828026036936/spaceexplorationtechnologi.htm</t>
        </r>
      </text>
    </comment>
    <comment ref="B18" authorId="0" shapeId="0" xr:uid="{8DC0778F-D50A-4156-9709-D2F49CC0180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Alphabet (GOOGL) levered beta — proxy for AI/advertising segment
Page: N/A — market data
https://www.sec.gov/Archives/edgar/data/1181412/000162828026036936/spaceexplorationtechnologi.htm</t>
        </r>
      </text>
    </comment>
    <comment ref="B19" authorId="0" shapeId="0" xr:uid="{E5602D61-46DC-4FB9-820C-26F2185E2AD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CoreWeave (CRWV) levered beta — proxy for AI infrastructure
Page: N/A — market data
https://www.sec.gov/Archives/edgar/data/1181412/000162828026036936/spaceexplorationtechnologi.htm</t>
        </r>
      </text>
    </comment>
    <comment ref="B23" authorId="0" shapeId="0" xr:uid="{9AE4ADE9-3FA7-4C32-82A7-8B82B4D4A1B9}">
      <text>
        <r>
          <rPr>
            <b/>
            <sz val="9"/>
            <color indexed="81"/>
            <rFont val="Tahoma"/>
            <charset val="1"/>
          </rPr>
          <t>Comp-driven: mature-stage tier (Large Mature Wireless) median UNLEVERED beta on 'Conn Comps'!X57. Falls back to 0.85 until comp betas are populated from terminal.</t>
        </r>
      </text>
    </comment>
    <comment ref="B24" authorId="0" shapeId="0" xr:uid="{AF6B406F-485D-4C38-84AB-85953E609533}">
      <text>
        <r>
          <rPr>
            <b/>
            <sz val="9"/>
            <color indexed="81"/>
            <rFont val="Tahoma"/>
            <charset val="1"/>
          </rPr>
          <t>Comp-driven: mature-stage tier (Big-5 Defense) median UNLEVERED beta on 'Space Comps'!X37. Falls back to 1.10 until comp betas are populated.</t>
        </r>
      </text>
    </comment>
    <comment ref="B25" authorId="0" shapeId="0" xr:uid="{04F9CEAE-F868-4419-937E-A1AA9337F4E8}">
      <text>
        <r>
          <rPr>
            <b/>
            <sz val="9"/>
            <color indexed="81"/>
            <rFont val="Tahoma"/>
            <charset val="1"/>
          </rPr>
          <t>Comp-driven: mature-stage tier (Social Media) median UNLEVERED beta on 'AI Comps'!X46. NB: early-stage AI infra peers carry betas of 4–6; using mature Social Media tier as terminal anchor deliberately avoids importing that noise into a 20-yr discount rate.
⚠️ CROSS-TIER: AI exit multiple pulls from Infra Hosting (Tier 2) on 'AI DCF'!B79, not Social Media. This is the only segment with a tier mismatch between beta and exit multiple. See 'AI DCF'!B79 note for rationale.</t>
        </r>
      </text>
    </comment>
    <comment ref="B29" authorId="0" shapeId="0" xr:uid="{9CD05139-EBBB-4726-ACB8-F3F3406483B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Target D/E 30%: post-IPO est. (Debt $23,286M / Equity ~$41B pro forma)
Page: F-4 (Annual Balance Sheet, Dec 31 2025)
https://www.sec.gov/Archives/edgar/data/1181412/000162828026036936/spaceexplorationtechnologi.htm</t>
        </r>
      </text>
    </comment>
    <comment ref="C29" authorId="0" shapeId="0" xr:uid="{175774AE-2249-4578-B856-D44DE2C6325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target D/E ~0.45 — higher leverage reflecting Starship capex financing
Total Debt detail — Page F-4
https://www.sec.gov/Archives/edgar/data/1181412/000162828026036936/spaceexplorationtechnologi.htm</t>
        </r>
      </text>
    </comment>
    <comment ref="D29" authorId="0" shapeId="0" xr:uid="{5C1CF2F0-40DE-4AA4-A9C1-B07E7C54017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target D/E ~0.25 — AI capex ~$12.7B in 2025, partially equity funded
Total Capex detail — Note 19, Pages F-58 to F-59
https://www.sec.gov/Archives/edgar/data/1181412/000162828026036936/spaceexplorationtechnologi.htm</t>
        </r>
      </text>
    </comment>
    <comment ref="B35" authorId="0" shapeId="0" xr:uid="{E53C8700-6853-4C21-81C6-D5C3D394D84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Pre-tax cost of debt: weighted avg yield on SpaceX + X credit facilities &amp; term loans
Page: Note 7 — Debt (Annual Notes, F-10 onwards)
https://www.sec.gov/Archives/edgar/data/1181412/000162828026036936/spaceexplorationtechnologi.htm</t>
        </r>
      </text>
    </comment>
    <comment ref="C35" authorId="0" shapeId="0" xr:uid="{A23DA224-226E-40A3-A2A9-4C8E83789C9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 | Filed May 20, 2026
Space segment cost of debt estimated at 7.5% (higher risk, Starship dev stage)
Total debt mix from Balance Sheets: Page F-4
https://www.sec.gov/Archives/edgar/data/1181412/000162828026036936/spaceexplorationtechnologi.htm</t>
        </r>
      </text>
    </comment>
    <comment ref="D35" authorId="0" shapeId="0" xr:uid="{68F5B268-A7CD-454F-908D-B6AFC9B9D16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 | Filed May 20, 2026
AI segment cost of debt estimated at 8.5% (early-stage, high capex burden)
AI capex $12,727M in FY2025 largely debt-funded per filing
Page F-8, F-58
https://www.sec.gov/Archives/edgar/data/1181412/000162828026036936/spaceexplorationtechnologi.htm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14" authorId="0" shapeId="0" xr:uid="{D0D3E487-1544-4119-97EC-F2DCC8FEF50A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S-1, FY2025 Consolidated Statement of Operations (total revenue $18,674M). Segment figures from Note 19 Segments. Consolidated Adj. EBITDA $6.6B per Sacra/draft prospectus; net loss $(4,937)M per IS.</t>
        </r>
      </text>
    </comment>
    <comment ref="B18" authorId="0" shapeId="0" xr:uid="{DC289E50-EB09-4BA6-9AE0-24372B7D1967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Consolidated Adjusted EBITDA ~$6.6B per Sacra / SpaceX draft prospectus (FY2025). No segment-level reconciliation line in Actuals tab; entered as a standalone input.</t>
        </r>
      </text>
    </comment>
    <comment ref="B32" authorId="0" shapeId="0" xr:uid="{CB379999-6A58-49E4-B8A9-C78E2EDFDD3B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S-1, Consolidated Balance Sheet as of Dec 31, 2025 (p. F-4).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C8" authorId="0" shapeId="0" xr:uid="{7ED1C462-E11D-43A4-BE0E-63B71911872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Communications (IRDM) mkt cap $5,390M (~104.9M shares × $51.31). Source: stockanalysis.com/stocks/irdm/market-cap/. Jun 2026.</t>
        </r>
      </text>
    </comment>
    <comment ref="D8" authorId="0" shapeId="0" xr:uid="{ED3473E3-0F7C-4872-AAA6-2AE680C90D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Communications (IRDM) EV $6,720M = mkt cap $5,390 + debt $1,810 – cash $88. Source: stockanalysis.com/stocks/irdm/statistics/. Jun 2026.</t>
        </r>
      </text>
    </comment>
    <comment ref="F8" authorId="0" shapeId="0" xr:uid="{5BE8F506-3C0C-46F6-9617-6FF54C79FC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gross margin 71.95% (service revenue $158.9M / total revenue $220.9M). Source: Iridium Q1 2026 10-Q (SEC). Jun 2026.</t>
        </r>
      </text>
    </comment>
    <comment ref="H8" authorId="0" shapeId="0" xr:uid="{CB07E92F-9B97-4AC3-8B72-CC10B12704D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CapEx % 11.5% ($100.3M / $871M revenue). Source: Iridium 2025 Annual Results. investor.iridium.com, Feb 2026.</t>
        </r>
      </text>
    </comment>
    <comment ref="M8" authorId="0" shapeId="0" xr:uid="{8BD13890-204F-4C37-AAC1-C2CEA850F22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2.555M total billable subscribers as of Mar 31, 2026. Source: Iridium Q1 2026 10-Q (SEC). investor.iridium.com, Apr 2026.</t>
        </r>
      </text>
    </comment>
    <comment ref="N8" authorId="0" shapeId="0" xr:uid="{3DF9EB5B-B146-424D-887C-E8B259B2716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blended ARPU ~$27/mo (IoT $7.70; Voice/Data ~$49; Broadband ~$254). Source: Iridium Q1 2026 10-Q (SEC), Apr 2026.</t>
        </r>
      </text>
    </comment>
    <comment ref="S8" authorId="0" shapeId="0" xr:uid="{6F9C7ECF-5971-4079-842B-3F6AC4795D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IRDM Q1 2026 10-Q (SEC).</t>
        </r>
      </text>
    </comment>
    <comment ref="W8" authorId="0" shapeId="0" xr:uid="{A3FD0DE3-6570-4802-8C56-9C89DAD8566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$13.4M taxes LTM. Source: stockanalysis.com/stocks/irdm/statistics/. Jun 2026.</t>
        </r>
      </text>
    </comment>
    <comment ref="C9" authorId="0" shapeId="0" xr:uid="{9A979DB0-C22D-4EB9-974E-8628BDA977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mkt cap $32,800M. Source: stockanalysis.com/stocks/sats/. Jun 2026.</t>
        </r>
      </text>
    </comment>
    <comment ref="D9" authorId="0" shapeId="0" xr:uid="{9F246A6F-CEBA-48EC-9F9C-BE4008FF25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EV $61,430M = mkt cap $32,800 + debt $29,240 – cash $1,520. Source: stockanalysis.com/stocks/sats/statistics/. Jun 2026.</t>
        </r>
      </text>
    </comment>
    <comment ref="F9" authorId="0" shapeId="0" xr:uid="{A65CCA61-D8D8-48EE-B254-B7574E30DF5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gross margin ~37% (blended across DISH TV, Boost Mobile, HughesNet, Sling). Source: EchoStar Q1 2026 8-K (SEC). May 2026.</t>
        </r>
      </text>
    </comment>
    <comment ref="G9" authorId="0" shapeId="0" xr:uid="{28B77DA7-5A97-4C9C-B56F-639AA11027D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EBITDA margin ~11.5% (Adj. EBITDA $172M / revenue $1,490M, Q1 2026). Source: EchoStar Q1 2026 earnings press release (SEC). May 2026.</t>
        </r>
      </text>
    </comment>
    <comment ref="H9" authorId="0" shapeId="0" xr:uid="{B29FAA08-706B-44AE-88CA-ACE2023214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CapEx % est. ~80% (satellite + 5G Boost network buildout). Source: EchoStar Q1 2026 10-Q (SEC).</t>
        </r>
      </text>
    </comment>
    <comment ref="I9" authorId="0" shapeId="0" xr:uid="{86E2DD12-F667-4E8D-8449-A454640AFBA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3-yr revenue growth est. ~11.5% CAGR. Source: EchoStar annual filings (SEC). Terminal/IR data preferred.</t>
        </r>
      </text>
    </comment>
    <comment ref="M9" authorId="0" shapeId="0" xr:uid="{BE66290C-4EDC-4782-AA4A-1DE4F02E34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total subs ~29.2M (DISH TV ~8M + Boost Mobile ~7.5M + HughesNet ~1.2M + Sling ~2.5M + broadband ~10M). Source: EchoStar Q1 2026 10-Q (SEC). Hybrid operator — not pure mobile comps.</t>
        </r>
      </text>
    </comment>
    <comment ref="N9" authorId="0" shapeId="0" xr:uid="{10C6CCF0-F02C-4137-9ACF-5E0C751703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blended ARPU est. ~$40/mo (Boost ~$30; HughesNet ~$75; DISH TV ~$85). Source: EchoStar Q1 2026 earnings. Terminal data preferred.</t>
        </r>
      </text>
    </comment>
    <comment ref="P9" authorId="0" shapeId="0" xr:uid="{B6D40ED9-7B10-431D-B63B-DD19BDC21A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levered beta 0.96. Source: stockanalysis.com/stocks/sats/statistics/. Jun 2026.</t>
        </r>
      </text>
    </comment>
    <comment ref="S9" authorId="0" shapeId="0" xr:uid="{C6B536F8-BFA2-4A83-BA76-79D37E3EEC6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 (small convertible series exist but immaterial). Source: SATS Q1 2026 10-Q (SEC).</t>
        </r>
      </text>
    </comment>
    <comment ref="W9" authorId="0" shapeId="0" xr:uid="{6244DA7C-61F7-41A9-BD16-0069AAFA40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EchoStar Q1 2026 10-Q (SEC).</t>
        </r>
      </text>
    </comment>
    <comment ref="C10" authorId="0" shapeId="0" xr:uid="{E71D1251-60CE-4B2F-A84F-971607BC22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mkt cap $11,600M (Amazon acquisition at $11.6B, Apr 2026). Source: Bloomberg/CNBC, Apr 14 2026.</t>
        </r>
      </text>
    </comment>
    <comment ref="D10" authorId="0" shapeId="0" xr:uid="{4ADE194C-475C-4FA5-AB06-5DFB34A6ED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EV $3,500M = mkt cap $11,600 – cash $447 + debt $546. Source: stockanalysis.com/stocks/gsat/statistics/. Jun 2026.</t>
        </r>
      </text>
    </comment>
    <comment ref="F10" authorId="0" shapeId="0" xr:uid="{631D6B79-D6DA-47CD-B9B6-9F7CA172423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gross margin 63.81%. Source: stockanalysis.com/stocks/gsat/statistics/. Jun 2026.</t>
        </r>
      </text>
    </comment>
    <comment ref="H10" authorId="0" shapeId="0" xr:uid="{F0F89F5B-1CFA-4333-A6C3-FF2EA04284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CapEx % ~194% ($545M capex / $280M revenue). Satellite replenishment cycle. Source: GSAT Q1 2026 10-Q (SEC).</t>
        </r>
      </text>
    </comment>
    <comment ref="M10" authorId="0" shapeId="0" xr:uid="{124F2227-2482-4634-8AB4-1B4856F050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(GSAT): No retail sub count. Wholesale B2B operator (Apple iPhone Emergency SOS capacity contract ~$900M/yr). NM for sub/ARPU comps.</t>
        </r>
      </text>
    </comment>
    <comment ref="N10" authorId="0" shapeId="0" xr:uid="{4072C9A0-AF2A-4D39-98C3-D85A29E184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(GSAT): ARPU N/A — revenue from wholesale capacity fees to Apple. Not a retail mobile ARPU.</t>
        </r>
      </text>
    </comment>
    <comment ref="S10" authorId="0" shapeId="0" xr:uid="{ABE87002-3418-4D02-8018-03706D2A34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GSAT Q1 2026 10-Q (SEC).</t>
        </r>
      </text>
    </comment>
    <comment ref="W10" authorId="0" shapeId="0" xr:uid="{213F6BF1-1440-4BF4-AF2A-D546F3AAC9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$5.88M taxes LTM. Source: stockanalysis.com/stocks/gsat/statistics/. Jun 2026.</t>
        </r>
      </text>
    </comment>
    <comment ref="C11" authorId="0" shapeId="0" xr:uid="{ACFA74D0-895A-40F5-800C-0CDA9C9433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mkt cap $27,960M. Source: tradingview.com ASTS mkt cap ~$27.96B. Jun 2026.</t>
        </r>
      </text>
    </comment>
    <comment ref="D11" authorId="0" shapeId="0" xr:uid="{837A3172-3506-4205-9C54-491C358BEA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EV $15,100M. Source: stockanalysis.com/stocks/asts/statistics/. Jun 2026.</t>
        </r>
      </text>
    </comment>
    <comment ref="F11" authorId="0" shapeId="0" xr:uid="{140DE391-A1F9-44FC-A8D9-ECB25DA2D9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gross margin 44.82% (Q1 2026). Source: Yahoo Finance ASTS key statistics. Jun 2026.</t>
        </r>
      </text>
    </comment>
    <comment ref="H11" authorId="0" shapeId="0" xr:uid="{717B0973-A2E8-42B5-BFE0-1811BCCE9B6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CapEx % &gt;500% ($640M capex / $85M LTM revenue). Satellite constellation buildout. Source: ASTS Q1 2026 10-Q (SEC).</t>
        </r>
      </text>
    </comment>
    <comment ref="M11" authorId="0" shapeId="0" xr:uid="{B09F9906-ADB1-49A0-9782-E85FBBAB4F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(ASTS): Pre-scale. &lt;1M activated users as of Q1 2026. Not meaningful for comps. Source: ASTS Q1 2026 8-K (SEC).</t>
        </r>
      </text>
    </comment>
    <comment ref="N11" authorId="0" shapeId="0" xr:uid="{23F8BC60-4679-41CF-8D1B-DE026F8447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(ASTS): ARPU NM at current scale (Q1 revenue $85M, &lt;1M users). Source: ASTS Q1 2026 8-K (SEC).</t>
        </r>
      </text>
    </comment>
    <comment ref="S11" authorId="0" shapeId="0" xr:uid="{FF165522-1E06-4BC1-86C8-012C9FFE5A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Series A Preferred ~$6.8M liquidation value. Source: ASTS Q1 2026 10-Q (SEC).</t>
        </r>
      </text>
    </comment>
    <comment ref="W11" authorId="0" shapeId="0" xr:uid="{6E07FA78-9381-4728-9CD0-5A4C7CB689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$4.90M taxes LTM. Source: stockanalysis.com/stocks/asts/statistics/. Jun 2026.</t>
        </r>
      </text>
    </comment>
    <comment ref="C12" authorId="0" shapeId="0" xr:uid="{1F9DE493-706C-4207-A480-20DAE76A847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mkt cap $9,070M (~135M shares × ~$67). Source: stockanalysis.com/stocks/vsat/. Jun 2026.</t>
        </r>
      </text>
    </comment>
    <comment ref="D12" authorId="0" shapeId="0" xr:uid="{86912503-30F1-4318-9237-2C46F9E8EC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EV $12,000M = mkt cap $9,070 + debt $7,080 – cash $1,230. Source: stockanalysis.com/stocks/vsat/statistics/. Jun 2026.</t>
        </r>
      </text>
    </comment>
    <comment ref="F12" authorId="0" shapeId="0" xr:uid="{E28D2CBB-7A86-4C41-A5E5-666B9AE365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gross margin 33.20%. Source: stockanalysis.com/stocks/vsat/statistics/. Jun 2026.</t>
        </r>
      </text>
    </comment>
    <comment ref="H12" authorId="0" shapeId="0" xr:uid="{5025FCBE-A82B-4867-8EE9-22EE122DEEA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CapEx % 19.9% ($912M / $4,580M revenue). Source: stockanalysis.com/stocks/vsat/statistics/. Jun 2026.</t>
        </r>
      </text>
    </comment>
    <comment ref="M12" authorId="0" shapeId="0" xr:uid="{4BBB26C4-36DD-497F-8323-40961D1EF5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(VSAT): Heterogeneous sub base (~1,000 aircraft + ~0.5M residential + govt/enterprise). Not comparable to mobile subs. Terminal/IR preferred.</t>
        </r>
      </text>
    </comment>
    <comment ref="N12" authorId="0" shapeId="0" xr:uid="{9ACD44C9-510C-496E-A11C-A788E0B85F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(VSAT): Blended ARPU ~$80-120/mo (in-flight + residential satellite). Aviation ARPU skews average. Not comparable to mobile ARPU.</t>
        </r>
      </text>
    </comment>
    <comment ref="S12" authorId="0" shapeId="0" xr:uid="{A9D3BAE9-3545-46C5-AFED-B59CBC46F09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VSAT Q4 FY2026 annual report (SEC).</t>
        </r>
      </text>
    </comment>
    <comment ref="W12" authorId="0" shapeId="0" xr:uid="{2BE7F0D9-9A1B-477E-8560-52F2E268E68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$9.43M taxes LTM. Source: stockanalysis.com/stocks/vsat/statistics/. Jun 2026.</t>
        </r>
      </text>
    </comment>
    <comment ref="C13" authorId="0" shapeId="0" xr:uid="{46AA83AC-2E4E-4C85-8B03-67EEFA4BBE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(ENXTPA:SESG) mkt cap ~$2,500M USD (€2.3B at EUR/USD ~1.09). Source: SESG.PA Euronext Paris. Jun 2026.</t>
        </r>
      </text>
    </comment>
    <comment ref="D13" authorId="0" shapeId="0" xr:uid="{ED09C959-C2F6-423C-A4D6-EFE17E28B7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EV $12,560M est. Source: SES 2025 Annual Report. Terminal data preferred.</t>
        </r>
      </text>
    </comment>
    <comment ref="F13" authorId="0" shapeId="0" xr:uid="{24DD3E80-A7A3-4B02-8560-5B0442761F1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gross margin ~60% (satellite capacity operators 55-65%). Source: SES 2025 Annual Report. Terminal data preferred.</t>
        </r>
      </text>
    </comment>
    <comment ref="H13" authorId="0" shapeId="0" xr:uid="{500C3ACE-2BED-4DC2-B5E6-D5E05C1747A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CapEx est. ~50% of revenue (GEO+MEO satellite replacement). Source: SES 2025 Annual Report. Terminal data preferred.</t>
        </r>
      </text>
    </comment>
    <comment ref="I13" authorId="0" shapeId="0" xr:uid="{828ADB65-9377-4BE3-A7A4-CE9FDFF0ED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3-yr revenue growth est. ~0% (post-Intelsat merger flat). Source: SES Group IR. Terminal data preferred.</t>
        </r>
      </text>
    </comment>
    <comment ref="M13" authorId="0" shapeId="0" xr:uid="{5503BDC8-3077-43B2-AF55-E0566751AE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(SESG): Pure-play B2B satellite operator. No retail subscribers. Revenue from wholesale capacity to broadcasters, telcos, govts. Sub metric N/A. Source: SES 2025 Annual Report.</t>
        </r>
      </text>
    </comment>
    <comment ref="N13" authorId="0" shapeId="0" xr:uid="{8C28B158-9AED-45D0-87E3-0CDBEBE1B8A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(SESG): ARPU N/A — wholesale satellite capacity, no retail subs. Source: SES 2025 Annual Report.</t>
        </r>
      </text>
    </comment>
    <comment ref="P13" authorId="0" shapeId="0" xr:uid="{6C68BDCB-BB56-45EE-B4C6-F8225BCBD75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levered beta 0.51. Source: Yahoo Finance SESG.PA. Jun 2026.</t>
        </r>
      </text>
    </comment>
    <comment ref="S13" authorId="0" shapeId="0" xr:uid="{52015437-646C-4371-AC81-7DE3790DA7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SES 2025 Annual Report.</t>
        </r>
      </text>
    </comment>
    <comment ref="W13" authorId="0" shapeId="0" xr:uid="{4EB7A2B8-BCE0-4E9C-BEBE-B30A0EE5BC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Luxembourg corporate tax rate ~21%. Source: SES HQ Luxembourg.</t>
        </r>
      </text>
    </comment>
    <comment ref="C14" authorId="0" shapeId="0" xr:uid="{93DEFE06-1764-4316-B0F7-FA4183E8E7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Communications (ENXTPA:ETL) mkt cap ~$2,800M USD (€2.6B at EUR/USD ~1.09). Source: ETL.PA Euronext Paris. Jun 2026.</t>
        </r>
      </text>
    </comment>
    <comment ref="D14" authorId="0" shapeId="0" xr:uid="{4217F0E4-31DC-4E23-8BCA-A2FC6286BF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EV $4,810M = mkt cap $2,800 + net debt ~$7,300 adj. Source: Eutelsat IR 2025 — net financial debt ~€7B.</t>
        </r>
      </text>
    </comment>
    <comment ref="F14" authorId="0" shapeId="0" xr:uid="{A754C24E-8242-4818-8CCF-A28B3778A42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gross margin ~50% (GEO satellite capacity 45-55%). Source: Eutelsat IR 2025. Terminal data preferred.</t>
        </r>
      </text>
    </comment>
    <comment ref="H14" authorId="0" shapeId="0" xr:uid="{1B59CD28-55DA-4353-ADC0-5843177B8E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CapEx est. ~45% of revenue (GEO + OneWeb LEO satellite spend). Source: Eutelsat IR 2025. Terminal data preferred.</t>
        </r>
      </text>
    </comment>
    <comment ref="I14" authorId="0" shapeId="0" xr:uid="{695992E4-0BBD-49F1-A8CF-B17CA993F8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3-yr revenue growth est. ~30% (OneWeb merger impact). Source: Eutelsat IR. Terminal data preferred.</t>
        </r>
      </text>
    </comment>
    <comment ref="M14" authorId="0" shapeId="0" xr:uid="{C67500A6-1117-42C2-849F-982F6B8B70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(ETL): Pure-play B2B satellite. ~1,000 OneWeb enterprise/govt customers (2025). Not meaningful for retail comps. Source: Eutelsat IR 2025.</t>
        </r>
      </text>
    </comment>
    <comment ref="N14" authorId="0" shapeId="0" xr:uid="{353040E8-9BBD-411B-BF9E-A3CE16722B8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(ETL): ARPU N/A — wholesale GEO + OneWeb LEO enterprise broadband, no mass-market ARPU. Source: Eutelsat IR 2025.</t>
        </r>
      </text>
    </comment>
    <comment ref="P14" authorId="0" shapeId="0" xr:uid="{D8E80EAD-5B25-45EC-9F6F-A1CC70C5DA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levered beta 0.90. Source: Yahoo Finance ETL.PA. Jun 2026.</t>
        </r>
      </text>
    </comment>
    <comment ref="S14" authorId="0" shapeId="0" xr:uid="{81C54846-D500-425C-AD96-C0F40D3C0F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Eutelsat IR 2025.</t>
        </r>
      </text>
    </comment>
    <comment ref="W14" authorId="0" shapeId="0" xr:uid="{49FF98C4-757E-4381-8D0C-BDC47519CF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French corporate income tax rate 25%. Source: Eutelsat HQ Paris, France.</t>
        </r>
      </text>
    </comment>
    <comment ref="C15" authorId="0" shapeId="0" xr:uid="{CE792E97-08E7-41AB-A6E8-006B4E4F070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Corporation (Nasdaq:TSAT) mkt cap $610M. Source: macrotrends.net TSAT market cap $0.61B, Apr 2026.</t>
        </r>
      </text>
    </comment>
    <comment ref="D15" authorId="0" shapeId="0" xr:uid="{87F1FF46-3CF8-4568-BC75-454C13C757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EV $5,500M = mkt cap $610 + debt $4,200 adj. Source: macrotrends.net TSAT D/E 1.69; debt $4.2B est.</t>
        </r>
      </text>
    </comment>
    <comment ref="F15" authorId="0" shapeId="0" xr:uid="{497EAB60-668F-4277-9D89-91FB08B3710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gross margin ~65% (GEO satellite capacity high-margin). Source: Telesat IR 2025. Terminal data preferred.</t>
        </r>
      </text>
    </comment>
    <comment ref="G15" authorId="0" shapeId="0" xr:uid="{99B4AF09-8618-4A47-8B0A-EDC2045061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EBITDA margin NM (deep losses from Lightspeed LEO buildout). Source: Telesat IR 2025.</t>
        </r>
      </text>
    </comment>
    <comment ref="H15" authorId="0" shapeId="0" xr:uid="{070CAE50-6522-49F5-8C21-E7E919E15AD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CapEx est. ~35% of revenue (Lightspeed LEO under construction). Source: Telesat IR 2025. Terminal data preferred.</t>
        </r>
      </text>
    </comment>
    <comment ref="I15" authorId="0" shapeId="0" xr:uid="{B3341E4D-B9E2-4E85-B35E-A50BCB545AC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3-yr revenue growth est. ~35% (Lightspeed LEO ramp). Source: Telesat IR 2025. Terminal data preferred.</t>
        </r>
      </text>
    </comment>
    <comment ref="M15" authorId="0" shapeId="0" xr:uid="{9A50AB4D-82D5-4C1B-A701-F10663F0B64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(TSAT): Pure-play B2B satellite. Lightspeed LEO under construction. Revenue from wholesale capacity to enterprise/govt. Source: Telesat IR 2025.</t>
        </r>
      </text>
    </comment>
    <comment ref="N15" authorId="0" shapeId="0" xr:uid="{DECC3617-127A-41F2-A5B5-699692842B4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(TSAT): ARPU N/A — wholesale satellite capacity; Lightspeed LEO not yet commercial. Source: Telesat IR 2025.</t>
        </r>
      </text>
    </comment>
    <comment ref="P15" authorId="0" shapeId="0" xr:uid="{B2A91B31-3F0B-4529-956A-B59B5A1A96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levered beta 2.00 (high leverage + pre-revenue LEO risk). Source: Yahoo Finance TSAT. Jun 2026.</t>
        </r>
      </text>
    </comment>
    <comment ref="S15" authorId="0" shapeId="0" xr:uid="{797F623F-6EB0-4DF5-B96A-58922D7D65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Telesat IR 2025.</t>
        </r>
      </text>
    </comment>
    <comment ref="W15" authorId="0" shapeId="0" xr:uid="{CBFC7DD3-DCAF-44C6-8158-74D24708E7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Canadian corporate tax rate ~26.5%. Source: Telesat HQ Ottawa, Canada.</t>
        </r>
      </text>
    </comment>
    <comment ref="C27" authorId="0" shapeId="0" xr:uid="{79110AFB-7437-469F-8189-B9176AAB7D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(BSE:532454) mkt cap $116,130M (INR 11,079B / 95.4 USD/INR). Source: companiesmarketcap.com Jun 2026; BookMyForex USD/INR 95.4, Jun 10 2026.</t>
        </r>
      </text>
    </comment>
    <comment ref="D27" authorId="0" shapeId="0" xr:uid="{B7EE331F-18A8-4414-9692-F413169C4E3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EV $137,958M (INR 13,161B / 95.4 USD/INR). Source: gurufocus.com NSE:BHARTIARTL EV = INR 13,160,669M, May 2026.</t>
        </r>
      </text>
    </comment>
    <comment ref="F27" authorId="0" shapeId="0" xr:uid="{B600104D-2090-4109-869B-CF95103B216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gross margin ~50%. Source: stockanalysis.com/quote/nse/BHARTIARTL/statistics/. Jun 2026.</t>
        </r>
      </text>
    </comment>
    <comment ref="G27" authorId="0" shapeId="0" xr:uid="{C5DEA9A8-CCF1-4E27-990A-599766802E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EBITDA margin ~38% (blended India+Africa). Source: Bharti Airtel Q3 FY26 results. telecomlead.com Feb 2026.</t>
        </r>
      </text>
    </comment>
    <comment ref="H27" authorId="0" shapeId="0" xr:uid="{B306DCBA-9573-49B8-B6F6-BB849E8FC2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CapEx % 21.1% (INR 428.69B / INR 2,030B revenue). Source: stockanalysis.com/quote/nse/BHARTIARTL/statistics/. Jun 2026.</t>
        </r>
      </text>
    </comment>
    <comment ref="I27" authorId="0" shapeId="0" xr:uid="{A3F06477-ED8E-4BD4-B633-E6A9F14373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3-yr revenue growth est. ~22% CAGR (India mobile + Africa + tariff hikes). Source: Bharti Airtel Q3 FY26 results. Jun 2026.</t>
        </r>
      </text>
    </comment>
    <comment ref="M27" authorId="0" shapeId="0" xr:uid="{DDC9C3BA-437A-4531-B4B7-2B18B1CCA6A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477.74M wireless subscribers as of Mar 31, 2026 (37.74% India market share). Source: TRAI Telecom Subscription Data, Mar 2026.</t>
        </r>
      </text>
    </comment>
    <comment ref="N27" authorId="0" shapeId="0" xr:uid="{96B3FFC9-C57E-417E-A4BC-E84C83A65C5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India ARPU ~INR 250/mo (~$3 USD). Source: Bharti Airtel Q1 FY26 earnings. goodreturns.in Aug 2025.</t>
        </r>
      </text>
    </comment>
    <comment ref="P27" authorId="0" shapeId="0" xr:uid="{73E9B116-E3E8-439B-8065-04EA711A40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levered beta 0.50. Source: stockanalysis.com/quote/nse/BHARTIARTL/statistics/ (NSE local beta); Yahoo Finance ADR 0.50 used for USD comps. Jun 2026.</t>
        </r>
      </text>
    </comment>
    <comment ref="S27" authorId="0" shapeId="0" xr:uid="{E82D01C4-76B9-4FBE-9706-F2012F012E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NSE BHARTIARTL filings.</t>
        </r>
      </text>
    </comment>
    <comment ref="W27" authorId="0" shapeId="0" xr:uid="{10B42FAD-B7FB-4DBE-BA3E-A83C6DB9B0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India effective tax rate ~25% (corporate tax 22% base + surcharge). Source: Bharti Airtel annual filings, India IT Act.</t>
        </r>
      </text>
    </comment>
    <comment ref="C28" authorId="0" shapeId="0" xr:uid="{9252017C-BD84-4B93-AAE1-BAEB1C61F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(JSE:MTN) mkt cap $21,828M (ZAR 355.8B / 16.3 USD/ZAR). Source: investing.com JSE:MTN; MTFX USD/ZAR 16.3, Jun 2 2026.</t>
        </r>
      </text>
    </comment>
    <comment ref="D28" authorId="0" shapeId="0" xr:uid="{6E9679EF-EC70-45CC-9F7F-71FE22C094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EV $24,074M (ZAR 392.44B EV / 16.3 USD/ZAR). Source: Yahoo Finance MTN.JO EV ZAR 392.44B. Jun 2026.</t>
        </r>
      </text>
    </comment>
    <comment ref="F28" authorId="0" shapeId="0" xr:uid="{12D04655-F92B-45A2-9FF4-2996E222D5C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gross margin ~45% (blended across 16 African markets). Source: MTN Group FY2025 Annual Report.</t>
        </r>
      </text>
    </comment>
    <comment ref="G28" authorId="0" shapeId="0" xr:uid="{3221961C-D118-43B1-941E-2666BC0554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EBITDA margin ~44% (ZAR 98.5B EBITDA / ZAR 226.76B revenue = 43.5%). Source: MTN Group FY2025 results. mtn.com Mar 2026.</t>
        </r>
      </text>
    </comment>
    <comment ref="H28" authorId="0" shapeId="0" xr:uid="{7D8E59A3-6CE8-459D-A238-9B65C87E31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CapEx % ~24% (ZAR ~55B / ZAR 226.76B revenue). Source: MTN Group FY2025 Annual Report.</t>
        </r>
      </text>
    </comment>
    <comment ref="I28" authorId="0" shapeId="0" xr:uid="{6F91D261-7C36-4EE6-91B8-3ADCF9A99E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3-yr revenue growth est. ~8% CAGR (local currency growth offset by FX). Source: MTN Group FY2025 results.</t>
        </r>
      </text>
    </comment>
    <comment ref="M28" authorId="0" shapeId="0" xr:uid="{876EDA58-1869-4810-B1B2-61C957FBE14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307M voice subscribers at Dec 31, 2025. Source: MTN Group FY2025 results. mtn.com Mar 2026.</t>
        </r>
      </text>
    </comment>
    <comment ref="N28" authorId="0" shapeId="0" xr:uid="{28FD0B7E-BFDF-4E98-945A-BF644B54710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blended ARPU ~$3.5/mo (pan-Africa est.). Source: MTN Group FY2025 Annual Report.</t>
        </r>
      </text>
    </comment>
    <comment ref="P28" authorId="0" shapeId="0" xr:uid="{7E1F13BA-A5E5-4C80-811A-A979E2B163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(JSE:MTN) levered beta 0.97. Source: stockanalysis.com/quote/jse/MTN/statistics/. Jun 2026.</t>
        </r>
      </text>
    </comment>
    <comment ref="S28" authorId="0" shapeId="0" xr:uid="{A5624139-DFAD-456F-93AC-A5CC83FC8C4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JSE MTN annual filings.</t>
        </r>
      </text>
    </comment>
    <comment ref="W28" authorId="0" shapeId="0" xr:uid="{9C2EB4CA-C86C-4B37-9412-66B1F11D9B6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South Africa effective tax rate ~28% (SA corporate tax 27%). Source: MTN 2025 Annual Report.</t>
        </r>
      </text>
    </comment>
    <comment ref="C29" authorId="0" shapeId="0" xr:uid="{AAF120C5-38B8-4AEC-8CFD-861B9E47A81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(JSE:VOD) mkt cap $17,080M (ZAR 278.4B / 16.3 USD/ZAR). Source: investing.com JSE:VODJ; MTFX Jun 2 2026.</t>
        </r>
      </text>
    </comment>
    <comment ref="D29" authorId="0" shapeId="0" xr:uid="{1D54F009-5816-4F7F-B79D-55F616139A7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EV $20,380M (ZAR 332.19B EV / 16.3 USD/ZAR). Source: stockanalysis.com/quote/jse/VOD/statistics/. Jun 2026.</t>
        </r>
      </text>
    </comment>
    <comment ref="F29" authorId="0" shapeId="0" xr:uid="{63C41B35-3E23-49B1-A85A-D0853AEEDFA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gross margin ~55% (FY2025). Source: stockanalysis.com/quote/jse/VOD/statistics/ — 54.94%. Jun 2026.</t>
        </r>
      </text>
    </comment>
    <comment ref="G29" authorId="0" shapeId="0" xr:uid="{3570C14A-18DB-491C-BC56-4FA60244C34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EBITDA margin ~40% (FY2025). Source: stockanalysis.com/quote/jse/VOD/statistics/. Jun 2026.</t>
        </r>
      </text>
    </comment>
    <comment ref="H29" authorId="0" shapeId="0" xr:uid="{AE9EFB83-F3D6-4794-8FE8-95593F395E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CapEx % ~15.5% (ZAR 24.85B / ZAR 160.27B revenue). Source: stockanalysis.com/quote/jse/VOD/statistics/. Jun 2026.</t>
        </r>
      </text>
    </comment>
    <comment ref="I29" authorId="0" shapeId="0" xr:uid="{499879E6-1441-430D-9DAE-B78D138ED2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3-yr revenue growth est. ~12% CAGR. Source: Vodacom FY2025 Annual Report.</t>
        </r>
      </text>
    </comment>
    <comment ref="M29" authorId="0" shapeId="0" xr:uid="{9F677EC1-2413-4767-918D-60DA9F24BD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~40M subscribers in South Africa + international. Source: Vodacom FY2025 Annual Report. Terminal data preferred.</t>
        </r>
      </text>
    </comment>
    <comment ref="N29" authorId="0" shapeId="0" xr:uid="{511B20AA-F742-4F16-9EBF-B929A5CA00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blended ARPU est. ~$8/mo (ZAR ~130 / 16.3). Source: Vodacom FY2025 Annual Report. Terminal data preferred.</t>
        </r>
      </text>
    </comment>
    <comment ref="P29" authorId="0" shapeId="0" xr:uid="{1DD309CD-2E59-4B28-A1E8-6F19E8EE46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(JSE:VOD) levered beta 0.42. Source: stockanalysis.com/quote/jse/VOD/statistics/. Jun 2026.</t>
        </r>
      </text>
    </comment>
    <comment ref="S29" authorId="0" shapeId="0" xr:uid="{678E2B72-2B71-43E4-97E8-54034106059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JSE VOD annual filings.</t>
        </r>
      </text>
    </comment>
    <comment ref="W29" authorId="0" shapeId="0" xr:uid="{2B4FFD26-B204-4921-AD00-379EC4687A9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South Africa effective tax rate ~28% (SA corporate tax 27%). Source: Vodacom FY2025 Annual Report.</t>
        </r>
      </text>
    </comment>
    <comment ref="C30" authorId="0" shapeId="0" xr:uid="{DD19EC1B-B511-4EFC-A7AB-0C39D40F47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(NSE:IDEA) mkt cap $15,293M (INR 1,459B / 95.4 USD/INR). Source: companiesmarketcap.com May 2026; BookMyForex USD/INR 95.4, Jun 10 2026.</t>
        </r>
      </text>
    </comment>
    <comment ref="D30" authorId="0" shapeId="0" xr:uid="{E4065F06-4C93-43DE-ACE2-9E196B7183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EV $36,374M (INR 3,470B EV / 95.4 USD/INR). Source: Yahoo Finance IDEA.NS EV INR 3.47T, Jun 5 2026.</t>
        </r>
      </text>
    </comment>
    <comment ref="F30" authorId="0" shapeId="0" xr:uid="{E8E1E69C-19B4-4211-8F7F-1D9D7839187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gross margin ~30% (limited cost data Q3 FY26). Source: simplywall.st NSE:IDEA. Jun 2026.</t>
        </r>
      </text>
    </comment>
    <comment ref="G30" authorId="0" shapeId="0" xr:uid="{CFDD53A2-81FC-4399-9D45-5C544F7FBE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EBITDA margin ~27% (EBITDA ~INR 120B / revenue INR 447.89B). Source: Yahoo Finance IDEA.NS EV/EBITDA 4.44x. Jun 2026.</t>
        </r>
      </text>
    </comment>
    <comment ref="H30" authorId="0" shapeId="0" xr:uid="{98752749-10E9-465E-9C37-A32613C663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CapEx % est. ~25% (4G buildout + 5G prep). Source: simplywall.st NSE:IDEA. Jun 2026.</t>
        </r>
      </text>
    </comment>
    <comment ref="I30" authorId="0" shapeId="0" xr:uid="{BBE5381D-FFEF-4A2B-856D-534C33DFBE6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3-yr revenue growth est. ~5% CAGR (gradual ARPU recovery). Source: IDEA FY26 results — revenue INR 447.89B, up 3.1% YoY.</t>
        </r>
      </text>
    </comment>
    <comment ref="M30" authorId="0" shapeId="0" xr:uid="{337082F9-02D7-44EB-B3C4-596FBCAAA2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198.48M wireless subscribers as of Mar 31, 2026 (15.68% India market share). Source: TRAI Telecom Subscription Data, Mar 2026.</t>
        </r>
      </text>
    </comment>
    <comment ref="N30" authorId="0" shapeId="0" xr:uid="{9DDBB51B-29FB-454B-BA57-D22B668843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ARPU ~INR 172/mo (~$2 USD), Q3 FY26. Source: Business Standard — Vodafone Idea ARPU Rs 172 in Q3FY26. Apr 2026.</t>
        </r>
      </text>
    </comment>
    <comment ref="P30" authorId="0" shapeId="0" xr:uid="{31598248-059F-47F3-8708-C25F0C0C8F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(NSE:IDEA) levered beta 1.10 est. (high financial leverage + volatility). Source: stockanalysis.com NSE:IDEA. Jun 2026.</t>
        </r>
      </text>
    </comment>
    <comment ref="S30" authorId="0" shapeId="0" xr:uid="{77A4C916-623C-4B8C-A0D4-5970669FA8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(negative total equity -INR 824.6B). Source: NSE IDEA filings.</t>
        </r>
      </text>
    </comment>
    <comment ref="W30" authorId="0" shapeId="0" xr:uid="{FC745201-3C27-4B60-ABE2-92533A62F5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India effective tax rate ~25% (large tax losses; cash tax near zero). India statutory 25.17%. Source: IDEA annual filings.</t>
        </r>
      </text>
    </comment>
    <comment ref="C31" authorId="0" shapeId="0" xr:uid="{58D94B94-DF40-4F93-B6E7-58A18A5613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(Nasdaq:VEON) mkt cap ~$3,630M. Source: stockanalysis.com/stocks/veon/market-cap/ — $3.63B, Apr 2026.</t>
        </r>
      </text>
    </comment>
    <comment ref="D31" authorId="0" shapeId="0" xr:uid="{E9E23358-4A50-406D-9171-05C4272DF07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EV ~$9,719M (EV/EBITDA 3.56x × ~$2,732M LTM EBITDA). Source: stockanalysis.com/stocks/veon/statistics/. Jun 2026.</t>
        </r>
      </text>
    </comment>
    <comment ref="F31" authorId="0" shapeId="0" xr:uid="{01168F94-8354-415F-92D6-912AAC93D4B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gross margin ~88% (primarily service revenue). Source: stockanalysis.com/stocks/veon/statistics/ — 88.04%. Jun 2026.</t>
        </r>
      </text>
    </comment>
    <comment ref="G31" authorId="0" shapeId="0" xr:uid="{AF81061E-D8A0-4C75-ADED-C53DBA6E49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EBITDA margin ~43% (LTM EBITDA $1,879M / revenue $4,400M). Source: VEON Q1 2026 earnings release (SEC Form 6-K). May 2026.</t>
        </r>
      </text>
    </comment>
    <comment ref="H31" authorId="0" shapeId="0" xr:uid="{BED60D79-56F5-4021-9A64-86AAD25C26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CapEx % ~16.7% ($733M / $4,400M revenue LTM). Source: VEON Q1 2026 earnings release (SEC Form 6-K). May 2026.</t>
        </r>
      </text>
    </comment>
    <comment ref="I31" authorId="0" shapeId="0" xr:uid="{C311E214-C62B-4449-BBED-2129AA92B9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3-yr revenue growth est. ~14% CAGR in USD (guided 11-14% for 2026; digital surge). Source: VEON 2026 guidance. May 2026.</t>
        </r>
      </text>
    </comment>
    <comment ref="M31" authorId="0" shapeId="0" xr:uid="{565D45E7-BD29-4BF3-A153-24450D41476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150.5M mobile customers as of Q1 2026 (Mar 31, 2026). Source: VEON Q1 2026 earnings release (SEC Form 6-K). May 2026.</t>
        </r>
      </text>
    </comment>
    <comment ref="N31" authorId="0" shapeId="0" xr:uid="{E4AD615E-C6D1-4F14-8321-DCB0F34B63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mobile ARPU $2.3/mo (Q1 2026). Source: VEON Q1 2026 earnings release (SEC Form 6-K). May 2026.</t>
        </r>
      </text>
    </comment>
    <comment ref="P31" authorId="0" shapeId="0" xr:uid="{B5A20EE4-E566-4CE2-8290-188C187239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(Nasdaq:VEON) levered beta 1.61. Source: stockanalysis.com/stocks/veon/statistics/. Jun 2026.</t>
        </r>
      </text>
    </comment>
    <comment ref="S31" authorId="0" shapeId="0" xr:uid="{737C465D-0FD6-43F0-A096-29B13BFC9E6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VEON 20-F (SEC).</t>
        </r>
      </text>
    </comment>
    <comment ref="W31" authorId="0" shapeId="0" xr:uid="{F8B145D8-DA62-4963-B891-156414C66AC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Blended effective tax rate ~20% (Pakistan, Ukraine, Kazakhstan). Source: VEON 2025 Annual Report 20-F.</t>
        </r>
      </text>
    </comment>
    <comment ref="C32" authorId="0" shapeId="0" xr:uid="{25B8F987-C610-4767-AFC3-E5C87055B5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(KWSE:ZAIN) mkt cap $7,612M (KWD 2.35B × 3.239 USD/KWD). Source: investing.com KWSE:ZAIN; exchange-rates.org USD/KWD 0.3088, Jun 4 2026.</t>
        </r>
      </text>
    </comment>
    <comment ref="D32" authorId="0" shapeId="0" xr:uid="{60B45D65-0C81-41CC-AF22-E768E335E4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EV est. ~$9,719M. Source: TradingView KWSE:ZAIN — EBITDA KWD 790.35M. Jun 2026.</t>
        </r>
      </text>
    </comment>
    <comment ref="F32" authorId="0" shapeId="0" xr:uid="{6080E74C-EBEF-4480-A510-4CCDF6D0E61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gross margin ~55% (blended across Kuwait, Jordan, Iraq, Bahrain, KSA, Lebanon). Source: KWSE:ZAIN annual filings. Terminal data preferred.</t>
        </r>
      </text>
    </comment>
    <comment ref="G32" authorId="0" shapeId="0" xr:uid="{37E7A3F0-A76F-4CEB-8055-650C0E0AAE4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EBITDA margin ~34% (EBITDA KWD 790.35M / revenue KWD 2,315M LTM). Source: TradingView KWSE:ZAIN. Jun 2026.</t>
        </r>
      </text>
    </comment>
    <comment ref="H32" authorId="0" shapeId="0" xr:uid="{8706DAE2-03B6-43FB-B041-4751030B9A4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CapEx % ~24% (LTM capex ~$544M / $2,230M revenue). Source: stockanalysis.com/quote/kwse/ZAIN/. Jun 2026.</t>
        </r>
      </text>
    </comment>
    <comment ref="I32" authorId="0" shapeId="0" xr:uid="{F8FD83B4-7D71-4FAF-A3F0-6B660686D0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3-yr revenue growth est. ~8% CAGR. Source: Zain Group Q1 2026 results. telecomreview.com May 2026.</t>
        </r>
      </text>
    </comment>
    <comment ref="M32" authorId="0" shapeId="0" xr:uid="{695B6EF6-A6EC-4941-B6CA-AD947DCEB12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Group 51.2M total subscribers as of Q1 2026 (Kuwait, Jordan, Iraq, Bahrain, KSA, Lebanon). Source: Zain Group Q1 2026 results. telecomreview.com May 2026.</t>
        </r>
      </text>
    </comment>
    <comment ref="N32" authorId="0" shapeId="0" xr:uid="{EB0866E9-D683-4E84-89A9-79A7C94467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Group blended ARPU est. ~$9/mo ($1,860M quarterly revenue / 51.2M subs / 3). Source: Zain Group Q1 2026 results. telecomreview.com May 2026.</t>
        </r>
      </text>
    </comment>
    <comment ref="P32" authorId="0" shapeId="0" xr:uid="{815AD54D-10E5-4753-A630-D5C30C8872E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(KWSE:ZAIN) levered beta 0.65 est. Source: stockanalysis.com/quote/kwse/ZAIN/. Jun 2026.</t>
        </r>
      </text>
    </comment>
    <comment ref="S32" authorId="0" shapeId="0" xr:uid="{501EDE82-15C5-4B15-A355-7F40F6B48ED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KSE ZAIN annual filings.</t>
        </r>
      </text>
    </comment>
    <comment ref="W32" authorId="0" shapeId="0" xr:uid="{4C642149-90DF-458C-8981-13EDC3330CE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Effective tax rate ~15% (Kuwait Zakat/tax on foreign shareholders). Source: Zain 2025 Annual Report.</t>
        </r>
      </text>
    </comment>
    <comment ref="C33" authorId="0" shapeId="0" xr:uid="{06265BA4-C758-4950-82EF-B92684D00E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PLC (NASE:SCOM) mkt cap $9,815M (KES 1.27T / 129.4 USD/KES). Source: TradingView NSEKE:SCOM; TradingEconomics USD/KES 129.4, Jun 9 2026.</t>
        </r>
      </text>
    </comment>
    <comment ref="D33" authorId="0" shapeId="0" xr:uid="{CF09E4BF-6A5D-4D70-A08E-3519CC0B25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EV est. ~$11,440M (mkt cap $9,815 + net debt ~$1,625 est.). Source: AXYS Group Safaricom FY26 report — net debt/EBITDA 1.2x. Jun 2026.</t>
        </r>
      </text>
    </comment>
    <comment ref="F33" authorId="0" shapeId="0" xr:uid="{28E6337E-56FD-402D-9428-B77C95C317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gross margin ~60% (FY2026 Kenya service revenue KES 400.8B). Source: Safaricom FY2026 Annual Results. May 2026.</t>
        </r>
      </text>
    </comment>
    <comment ref="G33" authorId="0" shapeId="0" xr:uid="{90DF4A21-249F-45DB-B586-785BF3962B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EBITDA margin ~44% (FY2025 EBITDA KES 172.2B / revenue KES 388.7B = 44.3%). Source: AXYS Group / SIB Valuation Update. Oct 2025.</t>
        </r>
      </text>
    </comment>
    <comment ref="H33" authorId="0" shapeId="0" xr:uid="{920B3AA8-AA32-4390-88B1-9383E6F2F7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CapEx % ~19.1% (FY2026 capex KES 79B / KES 414B revenue). Source: Safaricom FY2026 Annual Results. May 2026.</t>
        </r>
      </text>
    </comment>
    <comment ref="I33" authorId="0" shapeId="0" xr:uid="{FD028437-100F-4D6C-AFD5-ACA83EE832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3-yr revenue growth est. ~11% CAGR (FY2026 revenue +6.6%; Ethiopia ramp). Source: Safaricom FY2026 Annual Results. May 2026.</t>
        </r>
      </text>
    </comment>
    <comment ref="M33" authorId="0" shapeId="0" xr:uid="{F35BCFE9-6386-4602-9408-7D66614A789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~42M Kenya customers + 13.6M Ethiopia = ~55.6M total (FY2026). Source: Safaricom FY2026 Annual Results. telecomreviewafrica.com May 2026.</t>
        </r>
      </text>
    </comment>
    <comment ref="N33" authorId="0" shapeId="0" xr:uid="{CB406BA6-BDF5-4633-93DA-F47F79A902E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Kenya mobile ARPU est. ~KES 320/mo (~$2.5 USD). Source: FY2026 service revenue KES 400.8B / 12 / 42M subs. Jun 2026.</t>
        </r>
      </text>
    </comment>
    <comment ref="P33" authorId="0" shapeId="0" xr:uid="{BAA2487B-A65E-4EA1-AEA6-294DF7B985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(NASE:SCOM) levered beta 0.50 (NSE Kenya local beta 1.57; using 0.50 for USD comps). Source: live.mystocks.co.ke SCOM. Jun 2026.</t>
        </r>
      </text>
    </comment>
    <comment ref="S33" authorId="0" shapeId="0" xr:uid="{22382F7A-D3D7-4C69-90FD-E8E4BB1756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NSE SCOM filings.</t>
        </r>
      </text>
    </comment>
    <comment ref="W33" authorId="0" shapeId="0" xr:uid="{FB736066-3914-4AD6-924D-C16430BF17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Kenya corporate tax rate 30%. Source: Safaricom FY2026 Annual Results.</t>
        </r>
      </text>
    </comment>
    <comment ref="C34" authorId="0" shapeId="0" xr:uid="{805B657B-6107-4FC4-93BA-A49455B3BB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mkt cap $3,255M (IDR 52.42T / ~16,100 USD/IDR). Source: investing.com EXCL IDR 52.42T; XLSMART IR FX ref ~16,000 (Apr 2025). Jun 2026.</t>
        </r>
      </text>
    </comment>
    <comment ref="D34" authorId="0" shapeId="0" xr:uid="{3FE0C8A1-763A-45CF-BF6B-081ED144541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EV est. ~$4,037M (mkt cap $3,255 + net debt ~$782M). Source: XLSMART Q1 2026 results. Jun 2026.</t>
        </r>
      </text>
    </comment>
    <comment ref="F34" authorId="0" shapeId="0" xr:uid="{A7140BAF-CE6D-4DA5-A24F-B28FFB2F96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gross margin ~55% (combined XL Axiata + Smartfren). Source: XLSMART Q1 2026 earnings — EBITDA margin 46%. Jun 2026.</t>
        </r>
      </text>
    </comment>
    <comment ref="G34" authorId="0" shapeId="0" xr:uid="{8931811F-1056-4BD1-AEF9-5417389A92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EBITDA margin ~30% (LTM blended, integration in progress). Source: investing.com EXCL Q1 2026. Jun 2026.</t>
        </r>
      </text>
    </comment>
    <comment ref="H34" authorId="0" shapeId="0" xr:uid="{33B96605-F1D0-4CB1-9F27-B3AAC63D01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CapEx % ~20% (proforma IDR ~9T / IDR 45.8T revenue). Source: XLSMART FY2025 proforma (EXCL IR). Apr 2025.</t>
        </r>
      </text>
    </comment>
    <comment ref="I34" authorId="0" shapeId="0" xr:uid="{439EBB0E-7D1B-4D84-A1EF-9C1AFD1D3C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3-yr revenue growth est. ~10% CAGR (merger synergies + Indonesia 5G). Source: XLSMART Q1 2026 earnings — revenue +38% YoY. Jun 2026.</t>
        </r>
      </text>
    </comment>
    <comment ref="M34" authorId="0" shapeId="0" xr:uid="{F8343A61-E4C7-4CF2-AC05-0093804B23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total subscribers ~94.5M (combined XL + Axis + Smartfren). Source: XLSMART official establishment — '94.5 million customers.' xlaxiata.co.id Apr 2025.</t>
        </r>
      </text>
    </comment>
    <comment ref="N34" authorId="0" shapeId="0" xr:uid="{47139B88-66D4-47FD-9738-BEEC5EC8AC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blended ARPU est. ~$1.5/mo (IDR ~24,000 / 16,100). Source: XLSMART IR estimates. Jun 2026.</t>
        </r>
      </text>
    </comment>
    <comment ref="P34" authorId="0" shapeId="0" xr:uid="{6C78E0E7-B00D-442B-A197-DDC2BC4E8B1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levered beta 1.00 est. (Indonesian telecom moderate leverage, emerging market). Jun 2026.</t>
        </r>
      </text>
    </comment>
    <comment ref="S34" authorId="0" shapeId="0" xr:uid="{BD137718-57D1-4807-BCEB-F0E57BE726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IDX EXCL filings.</t>
        </r>
      </text>
    </comment>
    <comment ref="W34" authorId="0" shapeId="0" xr:uid="{F2D8269B-E547-41AD-9CAF-724558491D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Indonesia corporate tax rate 22%. Source: EXCL annual filings, IDX.</t>
        </r>
      </text>
    </comment>
    <comment ref="C46" authorId="0" shapeId="0" xr:uid="{9639F973-2571-43FD-AB05-41F9FF6106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(BMV:AMX B) mkt cap $76,000M est. Source: AMX Q3 2025 Form 6-K (SEC) — 328.8M wireless lines; mkt cap est. Jun 2026.</t>
        </r>
      </text>
    </comment>
    <comment ref="D46" authorId="0" shapeId="0" xr:uid="{B0878FD5-4657-4E74-9E1E-8F31A9AB72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EV $121,230M. Source: Yahoo Finance AMX key statistics — EV $121.23B, Jun 5 2026.</t>
        </r>
      </text>
    </comment>
    <comment ref="F46" authorId="0" shapeId="0" xr:uid="{78327040-B432-45B8-B964-B3DD52C213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gross margin ~43.4% (FY2025). Source: AMX Q4 2025 Form 6-K (SEC). Jan 2026.</t>
        </r>
      </text>
    </comment>
    <comment ref="H46" authorId="0" shapeId="0" xr:uid="{102216F3-8C55-48B8-8631-7857A8EF81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CapEx % ~13% (MXN 54.9B H1 2025 / ~MXN 420B LTM revenue). Source: AMX Q3 2025 Form 6-K (SEC). Oct 2025.</t>
        </r>
      </text>
    </comment>
    <comment ref="I46" authorId="0" shapeId="0" xr:uid="{E598F317-C443-462E-BE11-D10A921C64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3-yr revenue growth est. ~15% CAGR. Source: AMX Q4 2025 Form 6-K (SEC). Jan 2026.</t>
        </r>
      </text>
    </comment>
    <comment ref="M46" authorId="0" shapeId="0" xr:uid="{16C12043-0BA8-4F52-AE14-82DA5959F7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328.8M wireless lines as of Sep 30, 2025 (404M total accesses). Source: stocktitan.net citing AMX Q3 2025 Form 6-K. Oct 2025.</t>
        </r>
      </text>
    </comment>
    <comment ref="N46" authorId="0" shapeId="0" xr:uid="{8F8AEE1A-86AE-41D8-B778-246C9EBD4EA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consolidated ARPU ~$11/mo (Mexico MXN 183 ~$9; Brazil BRL 27 ~$5; higher Europe). Source: AMX Q3 2025 Form 6-K (SEC). Oct 2025.</t>
        </r>
      </text>
    </comment>
    <comment ref="P46" authorId="0" shapeId="0" xr:uid="{ED6FFB22-712E-4D74-9254-381ABAA34E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(BMV:AMX B) levered beta 0.28. Source: stockanalysis.com/stocks/amx/. Jun 2026.</t>
        </r>
      </text>
    </comment>
    <comment ref="S46" authorId="0" shapeId="0" xr:uid="{55C137A9-B20D-437E-A110-A0291071F0A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meaningful preferred equity. Source: AMX 2025 Annual Report.</t>
        </r>
      </text>
    </comment>
    <comment ref="W46" authorId="0" shapeId="0" xr:uid="{25AEB5DB-5968-4EDE-B360-6E1CE415495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Mexico/LatAm blended effective tax rate ~28% (Mexico corporate tax 30%, LatAm blended lower). Source: AMX 2025 Annual Report.</t>
        </r>
      </text>
    </comment>
    <comment ref="C47" authorId="0" shapeId="0" xr:uid="{7B065792-B0D8-44F3-B61F-7D1B5E1354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(SEHK:941) mkt cap ~$224,000M est. Source: companiesmarketcap.com. Jun 2026.</t>
        </r>
      </text>
    </comment>
    <comment ref="D47" authorId="0" shapeId="0" xr:uid="{59F9B52E-956D-46D2-AF08-D87952834C8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EV ~$186,000M (mkt cap ~$224B less net cash ~$38B). Source: China Mobile 2025 Annual Report. Mar 2025.</t>
        </r>
      </text>
    </comment>
    <comment ref="F47" authorId="0" shapeId="0" xr:uid="{24A5A77F-D503-4671-97F1-A238B5271F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gross margin est. ~28% (high network cost base). Source: Light Reading — China Mobile 2025 results, revenue RMB 1.04T. Mar 2025.</t>
        </r>
      </text>
    </comment>
    <comment ref="H47" authorId="0" shapeId="0" xr:uid="{D665B30E-BB4A-4C8E-997B-2A5A185EAD0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CapEx % ~16% (RMB ~165B / RMB 1,040B revenue). Source: China Mobile 2025 Annual Report (HKEx). Mar 2025.</t>
        </r>
      </text>
    </comment>
    <comment ref="I47" authorId="0" shapeId="0" xr:uid="{74919C5B-6A6D-4A5D-8FDC-583EF8C6EFA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3-yr revenue growth est. ~5% CAGR (maturing Chinese mobile market). Source: Light Reading — 2025 revenue +3.1%. Mar 2025.</t>
        </r>
      </text>
    </comment>
    <comment ref="M47" authorId="0" shapeId="0" xr:uid="{E3A68FBC-BA36-4486-AF2F-428D85211B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~1,009M mobile subscribers as of Q3 2025. Source: Marbridge Consulting citing China Mobile Q3 2025 data. Nov 2025.</t>
        </r>
      </text>
    </comment>
    <comment ref="N47" authorId="0" shapeId="0" xr:uid="{8C1DC65A-1C53-4388-990B-4258505891B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mobile ARPU: RMB 48.5/mo (~$6.7 USD at RMB 7.25/$). Source: Light Reading citing China Mobile 2024 annual results. Mar 2025.</t>
        </r>
      </text>
    </comment>
    <comment ref="P47" authorId="0" shapeId="0" xr:uid="{1205503E-0AB0-41E8-87AE-D6A9468031B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(SEHK:941) levered beta 0.23. Source: stockanalysis.com Conn Comps calc. Jun 2026.</t>
        </r>
      </text>
    </comment>
    <comment ref="S47" authorId="0" shapeId="0" xr:uid="{276EB134-2A68-469C-A0B7-D5FB90E424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China Mobile 2025 Annual Report.</t>
        </r>
      </text>
    </comment>
    <comment ref="W47" authorId="0" shapeId="0" xr:uid="{95049899-895F-4B14-8E5C-10202A8DAB1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corporate income tax 25% + provincial; effective ~30%. Source: China Mobile 2025 Annual Report.</t>
        </r>
      </text>
    </comment>
    <comment ref="C48" authorId="0" shapeId="0" xr:uid="{AE5B6798-BABF-4928-BE6B-21768FC9EC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(Nasdaq:TMUS) mkt cap $202,950M. Source: macrotrends.net TMUS mkt cap est. Jun 2026.</t>
        </r>
      </text>
    </comment>
    <comment ref="D48" authorId="0" shapeId="0" xr:uid="{E653E595-4BD6-4931-8D3A-32BA9B62F5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EV $321,560M (EV/EBITDA 9.49x × ~$33.9B EBITDA). Source: stockanalysis.com/stocks/tmus/. Jun 2026.</t>
        </r>
      </text>
    </comment>
    <comment ref="F48" authorId="0" shapeId="0" xr:uid="{1DA16577-B11A-428B-A6B9-34D310B934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gross margin ~63.8% (FY2025). Source: stockanalysis.com/stocks/tmus/statistics/. Jun 2026.</t>
        </r>
      </text>
    </comment>
    <comment ref="H48" authorId="0" shapeId="0" xr:uid="{CBFF4D8D-4817-4D77-8631-346E9F6200C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CapEx % 10.8% (~$9.8B / $90.5B revenue LTM). Source: TMUS Q1 2026 10-Q (SEC).</t>
        </r>
      </text>
    </comment>
    <comment ref="I48" authorId="0" shapeId="0" xr:uid="{0D1D25E8-FC5D-4C1D-8E08-4C865C38FF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3-yr revenue growth est. ~5% CAGR. Source: T-Mobile FY2025 Annual Report — service revenues $71.3B, +8% YoY.</t>
        </r>
      </text>
    </comment>
    <comment ref="M48" authorId="0" shapeId="0" xr:uid="{AE098769-1B01-4CEE-BC94-B2835FA7F4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142.4M total customers at Dec 31, 2025. Source: T-Mobile FY2025 results (SEC Form 8-K). Feb 2026.</t>
        </r>
      </text>
    </comment>
    <comment ref="N48" authorId="0" shapeId="0" xr:uid="{6742AA6F-3495-4B7D-BE7E-2544F7C7B9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postpaid phone ARPU ~$48/mo (FY2025). Note: TMUS discontinued phone ARPU in 2026, now reports ARPA ~$152/mo per account. Source: T-Mobile FY2025 earnings. Feb 2026.</t>
        </r>
      </text>
    </comment>
    <comment ref="P48" authorId="0" shapeId="0" xr:uid="{55DFC1EA-4631-4E0D-972A-76C15C5F3C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(Nasdaq:TMUS) levered beta 0.32. Source: stockanalysis.com/stocks/tmus/statistics/. Jun 2026.</t>
        </r>
      </text>
    </comment>
    <comment ref="S48" authorId="0" shapeId="0" xr:uid="{BB9F8EB9-6173-49DD-A16C-4FD834AC615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TMUS Q1 2026 10-Q (SEC).</t>
        </r>
      </text>
    </comment>
    <comment ref="W48" authorId="0" shapeId="0" xr:uid="{015AAF2B-6A73-48E7-949F-E2204EF9B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TMUS Q1 2026 10-Q (SEC).</t>
        </r>
      </text>
    </comment>
    <comment ref="C49" authorId="0" shapeId="0" xr:uid="{E16AC4D9-0A60-4028-AF39-0CE8522298B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(SHSE:600050) mkt cap ~$80,000M est. Source: SHSE 600050; est. Jun 2026. Terminal data preferred.</t>
        </r>
      </text>
    </comment>
    <comment ref="D49" authorId="0" shapeId="0" xr:uid="{39AB099F-6544-4949-80F1-8CBC513F788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EV est. ~$110,000M (mkt cap ~$80B + net debt ~$30B est.). Source: China Unicom 2025 Annual Report est.</t>
        </r>
      </text>
    </comment>
    <comment ref="E49" authorId="0" shapeId="0" xr:uid="{2C2DC4DC-3D24-4F81-B397-17C2FFB9F6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LTM revenue est. ~$43,000M (RMB ~310B / 7.2 USD/CNY). Source: China Unicom 2025 Annual Report estimate.</t>
        </r>
      </text>
    </comment>
    <comment ref="F49" authorId="0" shapeId="0" xr:uid="{CFB612D2-7992-4362-9184-6C79A009D7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gross margin ~55% est. Source: China telecom industry benchmarks. Terminal data preferred.</t>
        </r>
      </text>
    </comment>
    <comment ref="G49" authorId="0" shapeId="0" xr:uid="{B659CD9A-9801-4634-A339-73785CC69E7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EBITDA margin est. ~28.5%. Source: China Unicom 2025 Annual Report estimate. Terminal data preferred.</t>
        </r>
      </text>
    </comment>
    <comment ref="H49" authorId="0" shapeId="0" xr:uid="{926B069C-1384-418B-BF94-800BA996504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CapEx % est. ~18% of revenue. Source: China Unicom 2025 Annual Report estimate.</t>
        </r>
      </text>
    </comment>
    <comment ref="I49" authorId="0" shapeId="0" xr:uid="{38F15335-8E01-41A6-802D-BE65E06B987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3-yr revenue growth est. ~5%. Source: China telecom market growth, 2025.</t>
        </r>
      </text>
    </comment>
    <comment ref="M49" authorId="0" shapeId="0" xr:uid="{BF826FEE-E880-4EC2-9C47-1E7005BE13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mobile subscribers est. ~335M (ceased separate disclosure since 2022; est. from MIIT data). Source: MIIT China telecom data 2025.</t>
        </r>
      </text>
    </comment>
    <comment ref="N49" authorId="0" shapeId="0" xr:uid="{55158B1C-B3E4-40C1-99D7-B322FD286A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mobile ARPU est. ~CNY 40/mo (~$5.5 USD at CNY 7.25/$). Derived from revenue/subs. Source: MIIT 2025.</t>
        </r>
      </text>
    </comment>
    <comment ref="P49" authorId="0" shapeId="0" xr:uid="{FE2486E1-4987-40DD-9FCB-F47DA317EB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(SHSE:600050) levered beta 0.50 est. Source: Hamada calc from comps. Jun 2026.</t>
        </r>
      </text>
    </comment>
    <comment ref="S49" authorId="0" shapeId="0" xr:uid="{C66A5F51-DEE6-41BA-9BB0-33B73597C5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China Unicom 2025 Annual Report.</t>
        </r>
      </text>
    </comment>
    <comment ref="W49" authorId="0" shapeId="0" xr:uid="{2D1C3551-842E-4C57-A047-9A27FDEBB4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CIT 25%; effective ~25-30%. Source: China Unicom 2025 Annual Report.</t>
        </r>
      </text>
    </comment>
    <comment ref="C50" authorId="0" shapeId="0" xr:uid="{DB098E26-B8B0-4848-ADBD-FC5A840F125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(Nasdaq:CHTR) mkt cap $27,710M. Source: wallstreetzen.com CHTR mkt cap ~$22.9B, May 5 2026; updated est. Jun 2026.</t>
        </r>
      </text>
    </comment>
    <comment ref="D50" authorId="0" shapeId="0" xr:uid="{3779E1BC-2094-4BCD-8D5C-12FCFE76B9A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EV $119,000M = mkt cap $27,710 + debt $97,310 – cash $517. Source: stockanalysis.com/stocks/chtr/statistics/ + mlq.ai CHTR. Jun 2026.</t>
        </r>
      </text>
    </comment>
    <comment ref="F50" authorId="0" shapeId="0" xr:uid="{A5D5FDFC-5090-4D4F-8890-B80B2201EE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gross margin ~55.35% (FY2025). Source: stockanalysis.com/stocks/chtr/statistics/. Jun 2026.</t>
        </r>
      </text>
    </comment>
    <comment ref="H50" authorId="0" shapeId="0" xr:uid="{745A1F44-6C3B-4E91-BFD7-60498F7538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CapEx % 22.2% ($12.12B / $54.64B revenue FY2025). Source: stockanalysis.com/stocks/chtr/statistics/. Jun 2026.</t>
        </r>
      </text>
    </comment>
    <comment ref="I50" authorId="0" shapeId="0" xr:uid="{FCD47364-561E-4A36-9285-79D989FAB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3-yr revenue growth est. ~2% CAGR (broadband declining; Spectrum Mobile growing). Source: Charter Q1 2026 earnings — revenue fell 1% YoY. Apr 2026.</t>
        </r>
      </text>
    </comment>
    <comment ref="M50" authorId="0" shapeId="0" xr:uid="{638B59C0-F217-42F4-879D-EE10EBA1D2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~32M total customer relationships (Internet ~27.5M + Mobile 12M lines). Source: Charter Q1 2026 earnings — '12 million mobile lines.' Apr 2026.</t>
        </r>
      </text>
    </comment>
    <comment ref="N50" authorId="0" shapeId="0" xr:uid="{6A058CB4-0FD8-4BF7-A837-2D964DCD61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Internet ARPU ~$114/mo. Source: Statista citing Charter ARPU $114.14; Q1 2026 call 'broadband ARPU flat YoY.' Apr 2026.</t>
        </r>
      </text>
    </comment>
    <comment ref="P50" authorId="0" shapeId="0" xr:uid="{EA92C40C-2A57-40C2-8DFE-A6FADB6F66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(Nasdaq:CHTR) levered beta 1.05. Source: stockanalysis.com/stocks/chtr/statistics/ — beta 1.03-1.05. Jun 2026.</t>
        </r>
      </text>
    </comment>
    <comment ref="Q50" authorId="0" shapeId="0" xr:uid="{B3393708-98BA-475A-8206-BE017F7391C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(CHTR) total debt $97.31B. Source: stockanalysis.com/stocks/chtr/statistics/. Jun 2026.</t>
        </r>
      </text>
    </comment>
    <comment ref="S50" authorId="0" shapeId="0" xr:uid="{8136135A-A8C1-4C95-8900-BEE48AD563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CHTR Q1 2026 10-Q (SEC).</t>
        </r>
      </text>
    </comment>
    <comment ref="U50" authorId="0" shapeId="0" xr:uid="{F9E75F56-7341-4476-986C-8E96371BB1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equity (mkt cap) $22,900M. Source: wallstreetzen.com CHTR mkt cap ~$22.9B, May 5 2026.</t>
        </r>
      </text>
    </comment>
    <comment ref="W50" authorId="0" shapeId="0" xr:uid="{0D40147A-3AB2-46A7-A62F-D2761BB45A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Charter Q1 2026 10-Q (SEC). Apr 2026.</t>
        </r>
      </text>
    </comment>
    <comment ref="C51" authorId="0" shapeId="0" xr:uid="{09088E3C-6BDF-4A7F-A15D-288975A10E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(TSE:9434) mkt cap ~$28,000M USD (~JPY 4T at JPY 143/$). Source: Investing.com TSE:9434; SoftBank Corp 2025 report. Jun 2026.</t>
        </r>
      </text>
    </comment>
    <comment ref="D51" authorId="0" shapeId="0" xr:uid="{70DB041B-133A-493C-B8CF-56DA856D1A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EV ~$63,000M USD (~JPY 9T at JPY 143/$). Source: SoftBank Corp FY2025 Integrated Report estimate. Jun 2026.</t>
        </r>
      </text>
    </comment>
    <comment ref="E51" authorId="0" shapeId="0" xr:uid="{F1BBA8B3-1BFB-4B43-BCD6-50BDD06AD7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LTM revenue ~$49,000M (JPY 7,040B / JPY 143/$). Source: Investing.com — SoftBank Corp record revenue JPY 7.04T for FY ended Mar 2026.</t>
        </r>
      </text>
    </comment>
    <comment ref="F51" authorId="0" shapeId="0" xr:uid="{BA406088-320A-46EE-A945-F6CDE21244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gross margin ~44% (mobile + enterprise + distribution). Source: SoftBank Corp FY2025 Integrated Report. Oct 2025.</t>
        </r>
      </text>
    </comment>
    <comment ref="G51" authorId="0" shapeId="0" xr:uid="{EB06D072-81F4-4196-A05D-9AB5447737F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EBITDA margin ~32% (LTM). Source: SoftBank Corp FY2025 Integrated Report. Oct 2025.</t>
        </r>
      </text>
    </comment>
    <comment ref="H51" authorId="0" shapeId="0" xr:uid="{B221801C-21C0-4EBE-8940-E3BD4E0922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CapEx % est. ~13% (JPY ~900B / JPY 7,040B revenue). Source: SoftBank Corp FY2025 results, Investing.com.</t>
        </r>
      </text>
    </comment>
    <comment ref="I51" authorId="0" shapeId="0" xr:uid="{40183293-A1DE-4277-A561-4C905F05ABF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3-yr revenue growth est. ~5% CAGR (mature Japanese mobile + enterprise AI). Source: SoftBank Corp FY2025 Integrated Report.</t>
        </r>
      </text>
    </comment>
    <comment ref="M51" authorId="0" shapeId="0" xr:uid="{C2210DF2-082B-481E-B6C7-F7E67C0F7AB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~44M subscribers in Japan (~25.8% market share). Source: trade.gov Japan 5G Networks.</t>
        </r>
      </text>
    </comment>
    <comment ref="N51" authorId="0" shapeId="0" xr:uid="{EC1E8514-3018-497A-B17E-B9CD787024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ARPU ~$41/mo USD. Source: trade.gov Japan 5G Networks. Declining trend due to regulatory pricing pressure.</t>
        </r>
      </text>
    </comment>
    <comment ref="S51" authorId="0" shapeId="0" xr:uid="{3E446588-9FBB-4410-B43B-3EE99F77887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SoftBank Corp FY2025 Report.</t>
        </r>
      </text>
    </comment>
    <comment ref="W51" authorId="0" shapeId="0" xr:uid="{003A7DE9-71C4-4846-BB8C-C1F309D0B0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Japan corporate tax ~29-31%; effective ~30%. Source: SoftBank Corp FY2025 Integrated Report.</t>
        </r>
      </text>
    </comment>
    <comment ref="C52" authorId="0" shapeId="0" xr:uid="{0A5B0066-4327-4BED-841E-EBB3B06D9E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(LSE:VOD) mkt cap $34,460M. Source: stockanalysis.com/stocks/vod/market-cap/ — $34.46B, May 22 2026.</t>
        </r>
      </text>
    </comment>
    <comment ref="D52" authorId="0" shapeId="0" xr:uid="{B050E056-5676-4448-9EB2-1D4041C5710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EV ~$98,000M = mkt cap $34,460 + debt $63,250 – cash $15,870 adj. Source: stockanalysis.com/stocks/vod/statistics/. Jun 2026.</t>
        </r>
      </text>
    </comment>
    <comment ref="E52" authorId="0" shapeId="0" xr:uid="{C20B2F0D-F73C-42A9-AC08-6A346DE9DF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LTM revenue $45,500M. Source: stockanalysis.com/stocks/vod/statistics/. Jun 2026.</t>
        </r>
      </text>
    </comment>
    <comment ref="F52" authorId="0" shapeId="0" xr:uid="{AA71CF1D-A6B9-488F-988A-5C42BFFA15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gross margin 33.20%. Source: stockanalysis.com/stocks/vod/statistics/. Jun 2026.</t>
        </r>
      </text>
    </comment>
    <comment ref="G52" authorId="0" shapeId="0" xr:uid="{06467797-DDAE-4C23-8669-5D1975C6EF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EBITDA margin ~35% (LTM). Source: stockanalysis.com/stocks/vod/statistics/ — EV/EBITDA 7.46x. Jun 2026.</t>
        </r>
      </text>
    </comment>
    <comment ref="H52" authorId="0" shapeId="0" xr:uid="{639B5FAC-9B01-49EE-994B-456C7AE364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CapEx % ~11.8% (£5.39B / £45.5B revenue). Source: stockanalysis.com/stocks/vod/statistics/. Jun 2026.</t>
        </r>
      </text>
    </comment>
    <comment ref="I52" authorId="0" shapeId="0" xr:uid="{C63C3276-D6C9-4492-8C34-7F0192E597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3-yr revenue growth est. ~4% CAGR. Source: simplywall.st — 'Revenue forecast to grow 4.0% p.a.'</t>
        </r>
      </text>
    </comment>
    <comment ref="M52" authorId="0" shapeId="0" xr:uid="{4F75C0B6-290F-43B6-B25A-1721C46BAF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~270M mobile customers across Europe and Africa. Source: Vodafone Group FY2025 Annual Report.</t>
        </r>
      </text>
    </comment>
    <comment ref="N52" authorId="0" shapeId="0" xr:uid="{EA4687AF-5D70-475F-959C-37738604B0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blended ARPU est. ~$5/mo (revenue ~$45.5B / ~750M connections / 12). Source: Vodafone Group FY2025 Annual Report.</t>
        </r>
      </text>
    </comment>
    <comment ref="S52" authorId="0" shapeId="0" xr:uid="{89CC1FD5-1849-489F-A8E3-76A1761EFD6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Vodafone Group FY2025 Annual Report.</t>
        </r>
      </text>
    </comment>
    <comment ref="W52" authorId="0" shapeId="0" xr:uid="{F704459F-3B5E-486F-9473-2AEF56890D5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UK corporate tax 25% (from Apr 2023). Source: Vodafone Group FY2025 Annual Report.</t>
        </r>
      </text>
    </comment>
    <comment ref="C53" authorId="0" shapeId="0" xr:uid="{453B821F-C0F6-4AEE-B403-AFCF7C71E0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(TSE:9433) mkt cap ~$56,000M USD (~JPY 8T at JPY 143/$). Source: companiesmarketcap.com. Jun 2026.</t>
        </r>
      </text>
    </comment>
    <comment ref="D53" authorId="0" shapeId="0" xr:uid="{2F7AD27B-686A-4B92-9528-8D1FB54034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EV ~$74,000M USD (~JPY 10.6T at JPY 143/$). Source: KDDI FY2025 Annual Report. Jun 2026.</t>
        </r>
      </text>
    </comment>
    <comment ref="E53" authorId="0" shapeId="0" xr:uid="{E94D8512-BD3B-4C26-8179-7C26C12249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LTM revenue ~$42,000M (JPY 6,010B / JPY 143/$). Source: KDDI FY2025 Annual Report. Jun 2026.</t>
        </r>
      </text>
    </comment>
    <comment ref="F53" authorId="0" shapeId="0" xr:uid="{2AFF0313-AA89-4709-8384-CB65AD10A4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gross margin ~45% (mobile + fixed + enterprise). Source: KDDI FY2025 Annual Report. Jun 2026.</t>
        </r>
      </text>
    </comment>
    <comment ref="G53" authorId="0" shapeId="0" xr:uid="{E20FD9B1-869B-4885-B8E9-95496B25FF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EBITDA margin ~33% (LTM). Source: KDDI FY2025 Annual Report. Jun 2026.</t>
        </r>
      </text>
    </comment>
    <comment ref="H53" authorId="0" shapeId="0" xr:uid="{DDC0C482-0331-435B-A38A-1FB9E93BF1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CapEx % est. ~14-16% (JPY ~600B / JPY ~5,800B revenue). Source: KDDI FY2025 Annual Report estimate.</t>
        </r>
      </text>
    </comment>
    <comment ref="I53" authorId="0" shapeId="0" xr:uid="{13C28AC5-F7B1-46D1-BE6B-D8B14682452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3-yr revenue growth est. ~8% CAGR (5G + au Mobile + satellite distribution). Source: KDDI FY2025 Annual Report.</t>
        </r>
      </text>
    </comment>
    <comment ref="M53" authorId="0" shapeId="0" xr:uid="{18E694E8-7FB5-40CE-A2FC-2B5E96AD84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au ~55M subscribers in Japan (~32% market share). Source: trade.gov Japan 5G Networks.</t>
        </r>
      </text>
    </comment>
    <comment ref="N53" authorId="0" shapeId="0" xr:uid="{984A6802-A22D-4DAB-8798-AA5D6EF8B8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au ARPU ~$54/mo USD. Source: trade.gov Japan 5G Networks. Japan premium mobile ARPU with bundled services.</t>
        </r>
      </text>
    </comment>
    <comment ref="S53" authorId="0" shapeId="0" xr:uid="{C043CB15-1DC8-47A0-A067-C529C244338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KDDI FY2025 Annual Report.</t>
        </r>
      </text>
    </comment>
    <comment ref="W53" authorId="0" shapeId="0" xr:uid="{7C6C01B1-C125-47D2-ACA1-C72DA5F7CA3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Japan corporate tax ~29-31%; effective ~30%. Source: KDDI FY2025 Annual Report.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C8" authorId="0" shapeId="0" xr:uid="{24599DD9-DA98-42F4-B3D3-3E0ED02D26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mkt cap $74,950M. Source: stockanalysis.com/stocks/rklb/market-cap/. Jun 2026.</t>
        </r>
      </text>
    </comment>
    <comment ref="D8" authorId="0" shapeId="0" xr:uid="{907B7284-19AF-47CA-A0E9-C2C5ECE21E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EV $73,700M = mkt cap $74,950 – net cash $1,340. Source: stockanalysis.com/stocks/rklb/statistics/. Jun 2026.</t>
        </r>
      </text>
    </comment>
    <comment ref="E8" authorId="0" shapeId="0" xr:uid="{7C92A060-FB17-433E-8F55-DDE11C44EB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LTM revenue $602M. Source: stockanalysis.com/stocks/rklb/statistics/. Jun 2026.</t>
        </r>
      </text>
    </comment>
    <comment ref="F8" authorId="0" shapeId="0" xr:uid="{E8B98F23-8009-4469-BFBE-4112F0E38F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gross margin 31.7%. Source: stockanalysis.com RKLB. Jun 2026.</t>
        </r>
      </text>
    </comment>
    <comment ref="G8" authorId="0" shapeId="0" xr:uid="{625908B9-89C7-4578-826C-33D63A0C04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EBITDA margin ~-15% (operating margin -33%). Source: stockanalysis.com RKLB. Jun 2026.</t>
        </r>
      </text>
    </comment>
    <comment ref="H8" authorId="0" shapeId="0" xr:uid="{E4A5E3EA-C0DE-4B04-B736-95CBFBBCE53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CapEx % 25.6% ($154.7M / $602M). Source: stockanalysis.com RKLB. Jun 2026.</t>
        </r>
      </text>
    </comment>
    <comment ref="I8" authorId="0" shapeId="0" xr:uid="{FE96DE44-DFAF-44E7-AFDF-609479F4E8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3-yr revenue growth ~38% (Q1 2026 +63.5% YoY). Source: stockanalysis.com RKLB. Jun 2026.</t>
        </r>
      </text>
    </comment>
    <comment ref="M8" authorId="0" shapeId="0" xr:uid="{F392F3FA-367F-4202-8F63-87CDED1FC27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backlog $2,200M (Q1 2026, +108% YoY). Source: tradingview.com RKLB. Jun 2026.</t>
        </r>
      </text>
    </comment>
    <comment ref="P8" authorId="0" shapeId="0" xr:uid="{587DBF9E-3D5F-4002-AA9B-35860707E6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levered beta 2.31. Source: stockanalysis.com/stocks/rklb/statistics/. Jun 2026.</t>
        </r>
      </text>
    </comment>
    <comment ref="Q8" authorId="0" shapeId="0" xr:uid="{FD8BDB9C-68C6-4060-81CD-5028DF15C8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total debt $139M. Source: stockanalysis.com/stocks/rklb/statistics/. Jun 2026.</t>
        </r>
      </text>
    </comment>
    <comment ref="S8" authorId="0" shapeId="0" xr:uid="{0595E0BA-3380-4B84-B835-F342B55EDDE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RKLB SEC filings.</t>
        </r>
      </text>
    </comment>
    <comment ref="U8" authorId="0" shapeId="0" xr:uid="{198A057D-2D43-4E6E-A0E2-183255EC1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equity value $63,720M. Source: stockanalysis.com RKLB. Jun 2026.</t>
        </r>
      </text>
    </comment>
    <comment ref="W8" authorId="0" shapeId="0" xr:uid="{3A743F78-A92A-4AEB-B5C0-DA1895F044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RKLB SEC filings.</t>
        </r>
      </text>
    </comment>
    <comment ref="C9" authorId="0" shapeId="0" xr:uid="{3D091886-DEC1-44F8-89AA-0CD2569F0D7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mkt cap $9,410M. Source: companiesmarketcap.com / Google Finance. Jun 2026.</t>
        </r>
      </text>
    </comment>
    <comment ref="D9" authorId="0" shapeId="0" xr:uid="{C1ACEA58-564E-4891-866B-6644633CCE5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EV $9,650M = mkt cap $9,410 + net debt $239. Source: stockanalysis.com AVAV. Jun 2026.</t>
        </r>
      </text>
    </comment>
    <comment ref="E9" authorId="0" shapeId="0" xr:uid="{49AA5C46-A673-4348-9202-007C2AD42A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LTM revenue $821M (FY2025). Source: stockanalysis.com AVAV. Jun 2026.</t>
        </r>
      </text>
    </comment>
    <comment ref="F9" authorId="0" shapeId="0" xr:uid="{EEE27C1D-0EFD-4436-9904-49ACED23628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gross margin 25.0%. Source: stockanalysis.com AVAV. Jun 2026.</t>
        </r>
      </text>
    </comment>
    <comment ref="G9" authorId="0" shapeId="0" xr:uid="{22744105-40B2-4BB6-938D-7E280D7890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EBITDA margin ~10%. Source: stockanalysis.com AVAV. Jun 2026.</t>
        </r>
      </text>
    </comment>
    <comment ref="I9" authorId="0" shapeId="0" xr:uid="{70BDC0C3-505F-4DBF-8B58-D3B13225A6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3-yr revenue growth ~30% (BlueHalo acq). Source: simplywall.st AVAV. Jun 2026.</t>
        </r>
      </text>
    </comment>
    <comment ref="M9" authorId="0" shapeId="0" xr:uid="{2A3F6D7E-68AE-453A-84D6-9DA35DB356B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funded backlog $1,100M (Q1 2026 record). Source: 247wallst.com. Jun 2026.</t>
        </r>
      </text>
    </comment>
    <comment ref="P9" authorId="0" shapeId="0" xr:uid="{54CB45D0-1166-42D5-8D8F-4E01E06C6D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levered beta 1.40 est. Source: stockanalysis.com AVAV. Jun 2026.</t>
        </r>
      </text>
    </comment>
    <comment ref="Q9" authorId="0" shapeId="0" xr:uid="{883810F2-6C17-41DE-B946-31C2D9FD15B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total debt $826M. Source: stockanalysis.com AVAV. Jun 2026.</t>
        </r>
      </text>
    </comment>
    <comment ref="U9" authorId="0" shapeId="0" xr:uid="{B065C5AD-1CCA-44C4-BD71-00A415424A4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equity value $9,410M. Source: companiesmarketcap.com. Jun 2026.</t>
        </r>
      </text>
    </comment>
    <comment ref="W9" authorId="0" shapeId="0" xr:uid="{8A5896BA-D287-4296-9600-EEBD72C3A07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AVAV SEC filings.</t>
        </r>
      </text>
    </comment>
    <comment ref="C10" authorId="0" shapeId="0" xr:uid="{8F328254-EB61-4E33-BD2F-2D11CB3EE2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mkt cap $10,970M. Source: Yahoo Finance KTOS. Jun 2026.</t>
        </r>
      </text>
    </comment>
    <comment ref="D10" authorId="0" shapeId="0" xr:uid="{FBD1A6B3-5069-4436-A831-0313EE6BB5A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EV $10,860M. Source: stockanalysis.com KTOS. Jun 2026.</t>
        </r>
      </text>
    </comment>
    <comment ref="E10" authorId="0" shapeId="0" xr:uid="{72E33D79-9EC5-45B7-84CF-CEF15A335E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LTM revenue $1,350M. Source: 247wallst.com KTOS. Jun 2026.</t>
        </r>
      </text>
    </comment>
    <comment ref="F10" authorId="0" shapeId="0" xr:uid="{60D9CCFB-646D-4241-B0F0-2D2BEA8051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gross margin ~28%. Source: stockanalysis.com KTOS. Jun 2026.</t>
        </r>
      </text>
    </comment>
    <comment ref="G10" authorId="0" shapeId="0" xr:uid="{8DBA787E-82C2-4F68-8CBE-B268B8DE51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EBITDA margin ~8% (Adj. EBITDA $38.7M Q1). Source: KTOS Q1 2026 8-K. May 2026.</t>
        </r>
      </text>
    </comment>
    <comment ref="I10" authorId="0" shapeId="0" xr:uid="{157D3073-8198-4C3C-9582-81BDA0E27F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3-yr revenue growth ~19%. Source: analyst consensus. Jun 2026.</t>
        </r>
      </text>
    </comment>
    <comment ref="M10" authorId="0" shapeId="0" xr:uid="{0CE87AE4-544C-40D6-9A4F-DF1CFA7A25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backlog $2,000M (Q1 2026 record). Source: simplywall.st KTOS. Jun 2026.</t>
        </r>
      </text>
    </comment>
    <comment ref="P10" authorId="0" shapeId="0" xr:uid="{596F3D11-FA2B-43A8-9278-3F1B544851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levered beta 1.15. Source: stockanalysis.com KTOS. Jun 2026.</t>
        </r>
      </text>
    </comment>
    <comment ref="Q10" authorId="0" shapeId="0" xr:uid="{F22B61F6-3FB2-4B56-BB09-BC5F6AE866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total debt $280M. Source: mlq.ai KTOS. Jun 2026.</t>
        </r>
      </text>
    </comment>
    <comment ref="U10" authorId="0" shapeId="0" xr:uid="{871EDA33-E7B1-46D9-9AF4-74D8A73DBA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equity value $10,970M. Source: Yahoo Finance KTOS. Jun 2026.</t>
        </r>
      </text>
    </comment>
    <comment ref="W10" authorId="0" shapeId="0" xr:uid="{E797BD35-0EB9-463C-817B-4CEB210AEF8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KTOS SEC filings.</t>
        </r>
      </text>
    </comment>
    <comment ref="C11" authorId="0" shapeId="0" xr:uid="{EC78E81E-42D8-461C-AC75-B0B4DB98BD7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mkt cap $4,000M. Source: Motley Fool. Jun 2026.</t>
        </r>
      </text>
    </comment>
    <comment ref="D11" authorId="0" shapeId="0" xr:uid="{DFBA1DC8-88E9-4279-8DA8-387E7A82F6C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EV $4,080M. Source: derived (D/E 0.12). Jun 2026.</t>
        </r>
      </text>
    </comment>
    <comment ref="E11" authorId="0" shapeId="0" xr:uid="{3127525B-5534-48B6-8D1D-EF64807792F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LTM revenue $469M. Source: simplywall.st RDW. Jun 2026.</t>
        </r>
      </text>
    </comment>
    <comment ref="F11" authorId="0" shapeId="0" xr:uid="{2050F86A-5433-4221-957F-1185EDEAA6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gross margin 9.2%. Source: timothysykes.com. May 2026.</t>
        </r>
      </text>
    </comment>
    <comment ref="G11" authorId="0" shapeId="0" xr:uid="{B32201B0-D6C1-41A4-B470-043CB4C6F7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EBITDA margin ~-10% (scaling). Source: timothysykes.com RDW. May 2026.</t>
        </r>
      </text>
    </comment>
    <comment ref="I11" authorId="0" shapeId="0" xr:uid="{5202F2D3-CC16-421B-9078-2B06B004406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3-yr growth ~41% (Q1 +57.9% YoY). Source: Zacks. Jun 2026.</t>
        </r>
      </text>
    </comment>
    <comment ref="M11" authorId="0" shapeId="0" xr:uid="{286CED9A-C0F1-4F04-878E-C8573CF6FB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backlog $498M (Q1 2026 record). Source: RDW Q1 2026 8-K. May 2026.</t>
        </r>
      </text>
    </comment>
    <comment ref="P11" authorId="0" shapeId="0" xr:uid="{7E59C562-C1A9-44D4-A1A3-E0DF2ED3D4E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levered beta 2.50 est. Source: simplywall.st RDW. Jun 2026.</t>
        </r>
      </text>
    </comment>
    <comment ref="Q11" authorId="0" shapeId="0" xr:uid="{0EAC43C0-B95F-4FF9-8CF6-9C4B2C7C9D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total debt $80M. Source: RDW Q4 2025 8-K. Dec 2025.</t>
        </r>
      </text>
    </comment>
    <comment ref="U11" authorId="0" shapeId="0" xr:uid="{58CAA5F6-B5BB-43F9-89A9-C670DC75252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equity value $4,000M. Source: Motley Fool. Jun 2026.</t>
        </r>
      </text>
    </comment>
    <comment ref="W11" authorId="0" shapeId="0" xr:uid="{20BB2D6D-9C21-43CB-B427-B531E6743F3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2" authorId="0" shapeId="0" xr:uid="{F05A99FB-879C-44A2-92ED-11089C5496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mkt cap $5,390M. Source: stockanalysis.com MDA. May 2026.</t>
        </r>
      </text>
    </comment>
    <comment ref="D12" authorId="0" shapeId="0" xr:uid="{BD217D78-B86E-4AEC-9031-2D4C3C494A8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EV $5,230M. Source: stockanalysis.com MDA. Jun 2026.</t>
        </r>
      </text>
    </comment>
    <comment ref="E12" authorId="0" shapeId="0" xr:uid="{CAD6E73D-1F4D-4FB3-9DDC-71B04AC092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LTM revenue $1,250M (CAD$1.75B). Source: stockanalysis.com MDA. Jun 2026.</t>
        </r>
      </text>
    </comment>
    <comment ref="F12" authorId="0" shapeId="0" xr:uid="{1EE208A1-5BF0-442C-8618-B7E39391ED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gross margin 28.71%. Source: stockanalysis.com MDA. Jun 2026.</t>
        </r>
      </text>
    </comment>
    <comment ref="G12" authorId="0" shapeId="0" xr:uid="{544C3BFC-9495-4480-B6B6-CA1F301CED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EBITDA margin ~18-19.5%. Source: MDA Q1 2026. Jun 2026.</t>
        </r>
      </text>
    </comment>
    <comment ref="I12" authorId="0" shapeId="0" xr:uid="{C9013DE7-1DA4-4497-BDD4-77BA5BB1C25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3-yr growth ~30% (Q1 +32% YoY). Source: stockanalysis.com MDA. Jun 2026.</t>
        </r>
      </text>
    </comment>
    <comment ref="M12" authorId="0" shapeId="0" xr:uid="{A21297AD-08EC-4FAC-AE23-0F567EB58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backlog ~$1,500M est. Source: MDA Q1 2026. Jun 2026.</t>
        </r>
      </text>
    </comment>
    <comment ref="P12" authorId="0" shapeId="0" xr:uid="{D6C05A58-6C55-4259-A2D4-4436F86D11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levered beta 0.12. Source: stockanalysis.com TSX:MDA. Jun 2026.</t>
        </r>
      </text>
    </comment>
    <comment ref="Q12" authorId="0" shapeId="0" xr:uid="{7825E35F-9A67-4015-9E26-2C7EA05EC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total debt $273M. Source: stockanalysis.com MDA. Jun 2026.</t>
        </r>
      </text>
    </comment>
    <comment ref="U12" authorId="0" shapeId="0" xr:uid="{FD54BEA5-56D6-400B-A97F-DF9B86F306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equity value $5,390M. Source: stockanalysis.com MDA. Jun 2026.</t>
        </r>
      </text>
    </comment>
    <comment ref="W12" authorId="0" shapeId="0" xr:uid="{2C88AA43-FEB7-4C62-B8F2-295D15714FE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Canadian federal+provincial tax rate ~26.5%.</t>
        </r>
      </text>
    </comment>
    <comment ref="C13" authorId="0" shapeId="0" xr:uid="{827819F0-C9DE-4958-BF59-4085520495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Systems (YSS) mkt cap $3,950M. Source: MEXC/stockinvest.us. Jun 2026.</t>
        </r>
      </text>
    </comment>
    <comment ref="D13" authorId="0" shapeId="0" xr:uid="{AE95EBF4-BD18-40F3-9718-E5794C7B4A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EV $4,150M. Source: investing.com YSS. Jun 2026.</t>
        </r>
      </text>
    </comment>
    <comment ref="E13" authorId="0" shapeId="0" xr:uid="{5CB053BD-D8F4-4EFB-AA4B-09C46DFBCD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LTM revenue $420M. Source: simplywall.st YSS. Jun 2026.</t>
        </r>
      </text>
    </comment>
    <comment ref="F13" authorId="0" shapeId="0" xr:uid="{D90E8130-683F-4353-83D6-2CC9C770DD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gross margin ~19%. Source: investing.com YSS Q1 2026. May 2026.</t>
        </r>
      </text>
    </comment>
    <comment ref="G13" authorId="0" shapeId="0" xr:uid="{33B68902-E843-4C85-84D9-037E94F51E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EBITDA margin ~-10% (IPO costs). Source: investing.com YSS. May 2026.</t>
        </r>
      </text>
    </comment>
    <comment ref="I13" authorId="0" shapeId="0" xr:uid="{0A52F640-EC2B-4FB9-85A4-F47A83C603E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3-yr growth ~48% (Q1 +52% YoY). Source: simplywall.st YSS. Jun 2026.</t>
        </r>
      </text>
    </comment>
    <comment ref="M13" authorId="0" shapeId="0" xr:uid="{AEF09D25-E876-4497-8297-803A3A7BA1A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backlog ~$450M. Source: simplywall.st YSS. Jun 2026.</t>
        </r>
      </text>
    </comment>
    <comment ref="P13" authorId="0" shapeId="0" xr:uid="{846E975B-3B1D-4184-B5B3-9051D704B5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levered beta 2.00 est. (recent IPO). Source: simplywall.st. Jun 2026.</t>
        </r>
      </text>
    </comment>
    <comment ref="Q13" authorId="0" shapeId="0" xr:uid="{BA408D87-24CC-4F63-98B5-EC015FC2713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total debt ~$200M est. Source: investing.com YSS.</t>
        </r>
      </text>
    </comment>
    <comment ref="U13" authorId="0" shapeId="0" xr:uid="{6E31CE3C-72CB-42F3-BB10-65FA338648C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equity value $3,950M. Source: MEXC. Jun 2026.</t>
        </r>
      </text>
    </comment>
    <comment ref="W13" authorId="0" shapeId="0" xr:uid="{360C5FF5-EF63-4B94-B49C-6EDF130218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4" authorId="0" shapeId="0" xr:uid="{9829E1D8-7D73-4BDB-9EEC-A61BDB550E0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mkt cap $2,500M. Source: stockanalysis.com LUNR. Jun 2026.</t>
        </r>
      </text>
    </comment>
    <comment ref="D14" authorId="0" shapeId="0" xr:uid="{C6E1F8EA-D1D8-4B4B-8D51-7EB92E3FC18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EV $2,300M. Source: stockanalysis.com LUNR. Jun 2026.</t>
        </r>
      </text>
    </comment>
    <comment ref="E14" authorId="0" shapeId="0" xr:uid="{BA07533D-CBA0-49CA-AB9F-79ED8C7F12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LTM revenue $230M. Source: stockanalysis.com LUNR. Jun 2026.</t>
        </r>
      </text>
    </comment>
    <comment ref="F14" authorId="0" shapeId="0" xr:uid="{CD99743D-629D-40A8-B3BA-082777B29D5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gross margin ~18%. Source: stockanalysis.com LUNR. Jun 2026.</t>
        </r>
      </text>
    </comment>
    <comment ref="G14" authorId="0" shapeId="0" xr:uid="{47331FD2-E6E4-4C59-81E4-C8D6ABE56F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EBITDA margin ~-20%. Source: stockanalysis.com LUNR. Jun 2026.</t>
        </r>
      </text>
    </comment>
    <comment ref="I14" authorId="0" shapeId="0" xr:uid="{FFFAA071-3988-4C74-9A8B-1EA5E6F5EC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3-yr growth ~50% (FY2026 sales +342% per Zacks). Source: Zacks/tradingview. Jun 2026.</t>
        </r>
      </text>
    </comment>
    <comment ref="M14" authorId="0" shapeId="0" xr:uid="{6FFDEC00-33D3-42CF-BC87-1A8A00B543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backlog $1,100M (Q1 2026 record). Source: LUNR Q1 2026 8-K. May 2026.</t>
        </r>
      </text>
    </comment>
    <comment ref="P14" authorId="0" shapeId="0" xr:uid="{F6DB1B40-909C-41B9-8ECF-B069161938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levered beta 1.47. Source: stockanalysis.com LUNR. Jun 2026.</t>
        </r>
      </text>
    </comment>
    <comment ref="Q14" authorId="0" shapeId="0" xr:uid="{11EE9EE5-F7D1-4242-851D-A7504F44126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total debt $336M. Source: LUNR Q1 2026 10-Q. May 2026.</t>
        </r>
      </text>
    </comment>
    <comment ref="S14" authorId="0" shapeId="0" xr:uid="{E5E77278-FA3A-4F82-A47F-6AC41A4C6E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Series A Preferred ~$7M. Source: LUNR Q1 2026 10-Q (SEC).</t>
        </r>
      </text>
    </comment>
    <comment ref="U14" authorId="0" shapeId="0" xr:uid="{7B3FEBE3-2D7B-48A5-A97B-743C79AB61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equity value $5,110M. Source: stockanalysis.com LUNR. Jun 2026.</t>
        </r>
      </text>
    </comment>
    <comment ref="W14" authorId="0" shapeId="0" xr:uid="{96BBC12D-A8D6-4357-9F5A-B0D1675AE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5" authorId="0" shapeId="0" xr:uid="{39C108B6-4CEA-4D96-8586-2B0FD7E846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mkt cap $6,000M. Source: macrotrends.net FLY. May 2026.</t>
        </r>
      </text>
    </comment>
    <comment ref="D15" authorId="0" shapeId="0" xr:uid="{DE30CC7F-B087-499C-AD1D-3F8D933C185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EV $5,500M. Source: stockanalysis.com FLY. Jun 2026.</t>
        </r>
      </text>
    </comment>
    <comment ref="E15" authorId="0" shapeId="0" xr:uid="{1A4379E4-820D-45F6-A15C-D5386E9965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LTM revenue $185M. Source: stockanalysis.com FLY. Jun 2026.</t>
        </r>
      </text>
    </comment>
    <comment ref="F15" authorId="0" shapeId="0" xr:uid="{5F18D3D7-0C21-4E4F-8493-EEFF8B0D3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gross margin 24.83%. Source: stockanalysis.com FLY. Jun 2026.</t>
        </r>
      </text>
    </comment>
    <comment ref="G15" authorId="0" shapeId="0" xr:uid="{FC624B33-3651-4FCF-BA29-0D0E677DBC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EBITDA margin ~-30%. Source: stockanalysis.com FLY. Jun 2026.</t>
        </r>
      </text>
    </comment>
    <comment ref="I15" authorId="0" shapeId="0" xr:uid="{AFD7D018-E32C-4DC3-B107-129AD0712F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3-yr growth ~55% (FY2026 guidance $420-450M). Source: simplywall.st FLY. Jun 2026.</t>
        </r>
      </text>
    </comment>
    <comment ref="M15" authorId="0" shapeId="0" xr:uid="{AE13E8D0-314C-462F-AD74-37F56C962B1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backlog $1,300M. Source: simplywall.st FLY. Jun 2026.</t>
        </r>
      </text>
    </comment>
    <comment ref="P15" authorId="0" shapeId="0" xr:uid="{A10A3F2F-28C2-4FC5-A859-7082BC8298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levered beta 3.00 est. Source: stockanalysis.com FLY. Jun 2026.</t>
        </r>
      </text>
    </comment>
    <comment ref="Q15" authorId="0" shapeId="0" xr:uid="{2AFCBD37-8EC8-4B1C-B0A3-4ACDFA59FE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total debt $53M. Source: stockanalysis.com FLY. Jun 2026.</t>
        </r>
      </text>
    </comment>
    <comment ref="U15" authorId="0" shapeId="0" xr:uid="{8B910B1A-FDA0-45E7-8EEC-B2ADD49C22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equity value $6,000M. Source: macrotrends.net FLY. Jun 2026.</t>
        </r>
      </text>
    </comment>
    <comment ref="W15" authorId="0" shapeId="0" xr:uid="{3685534F-6C8D-4E96-AEFC-ECF86B3B9B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6" authorId="0" shapeId="0" xr:uid="{B0782471-FC12-4B7C-9FAD-3E2A1D2A9E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mkt cap $2,800M. Source: stocktitan.net VOYG. Jun 2026.</t>
        </r>
      </text>
    </comment>
    <comment ref="D16" authorId="0" shapeId="0" xr:uid="{35C69BF9-033F-434E-9DB6-EDEA3772406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EV $2,850M. Source: simplywall.st VOYG. Jun 2026.</t>
        </r>
      </text>
    </comment>
    <comment ref="E16" authorId="0" shapeId="0" xr:uid="{A8AC4FCC-2A3A-4A13-B854-557BDFE53D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LTM revenue $166M. Source: stocktitan.net VOYG. Jun 2026.</t>
        </r>
      </text>
    </comment>
    <comment ref="F16" authorId="0" shapeId="0" xr:uid="{318E63E3-C0EC-4EF8-8868-C61A816ED1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gross margin 17.9%. Source: stocktitan.net VOYG. Jun 2026.</t>
        </r>
      </text>
    </comment>
    <comment ref="G16" authorId="0" shapeId="0" xr:uid="{F4AA20C5-9B94-449D-89B0-A7CAF1D7D9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EBITDA margin ~-25%. Source: stocktitan.net VOYG. Jun 2026.</t>
        </r>
      </text>
    </comment>
    <comment ref="I16" authorId="0" shapeId="0" xr:uid="{47506352-E35D-44C9-85D1-96ECD8C2C7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3-yr growth ~40% (FY2026 guidance 39-53%). Source: simplywall.st VOYG. Jun 2026.</t>
        </r>
      </text>
    </comment>
    <comment ref="M16" authorId="0" shapeId="0" xr:uid="{AE77E28F-817C-444B-BC2C-2FB768D2D8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backlog $275M (Q1 2026 record, +54% YoY). Source: simplywall.st VOYG. Jun 2026.</t>
        </r>
      </text>
    </comment>
    <comment ref="P16" authorId="0" shapeId="0" xr:uid="{90355241-656A-4494-8583-0FECC04CA76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levered beta 2.50 est. Source: investing.com VOYG. Jun 2026.</t>
        </r>
      </text>
    </comment>
    <comment ref="Q16" authorId="0" shapeId="0" xr:uid="{BAEE5F60-979C-48AC-8257-D04583AE10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total debt ~$50M est. Source: simplywall.st VOYG. Jun 2026.</t>
        </r>
      </text>
    </comment>
    <comment ref="U16" authorId="0" shapeId="0" xr:uid="{9DCD7F70-58B9-46ED-A675-18C431B019B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equity value $2,800M. Source: stocktitan.net VOYG. Jun 2026.</t>
        </r>
      </text>
    </comment>
    <comment ref="W16" authorId="0" shapeId="0" xr:uid="{8D4B1EDA-ACE9-4EB2-9F9F-59B38052D4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29" authorId="0" shapeId="0" xr:uid="{C6943D55-291A-49EE-BF4C-13A3B00CD1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mkt cap $170,000M. Source: stockanalysis.com BA. Jun 2026.</t>
        </r>
      </text>
    </comment>
    <comment ref="D29" authorId="0" shapeId="0" xr:uid="{22298595-F581-4A63-9660-7AB64118E1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EV $196,150M. Source: stockanalysis.com BA. Jun 2026.</t>
        </r>
      </text>
    </comment>
    <comment ref="E29" authorId="0" shapeId="0" xr:uid="{814925CB-CEF6-4EF6-9113-A99254C4BD3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LTM revenue $92,184M. Source: stockanalysis.com BA. Jun 2026.</t>
        </r>
      </text>
    </comment>
    <comment ref="F29" authorId="0" shapeId="0" xr:uid="{4276D712-B38E-4967-A941-E9C54CF7082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gross margin ~4.8% (depressed by program charges). Source: stockanalysis.com BA. Jun 2026.</t>
        </r>
      </text>
    </comment>
    <comment ref="G29" authorId="0" shapeId="0" xr:uid="{7C2BDBB8-173A-49BB-B4C9-251A6A81E2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EBITDA margin ~4.5% (recovery year). Source: Yahoo Finance BA. Jun 2026.</t>
        </r>
      </text>
    </comment>
    <comment ref="H29" authorId="0" shapeId="0" xr:uid="{A96120C6-44D9-456E-9EB3-51B7E66CAB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CapEx % ~1.7%. Source: stockanalysis.com BA. Jun 2026.</t>
        </r>
      </text>
    </comment>
    <comment ref="I29" authorId="0" shapeId="0" xr:uid="{4A662022-141A-4001-A284-4D3BAA12977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3-yr revenue growth ~11% (recovery ramp). Source: consensus est. Jun 2026.</t>
        </r>
      </text>
    </comment>
    <comment ref="M29" authorId="0" shapeId="0" xr:uid="{DFC97475-8F52-41C8-B874-F556B913F1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total backlog $516B ($695B gross backlog less $179B adjustments). Source: Boeing Q1 2026 earnings — record $695B backlog. Apr 2026.</t>
        </r>
      </text>
    </comment>
    <comment ref="P29" authorId="0" shapeId="0" xr:uid="{12A7920E-D6B5-47BD-A29C-E5BC74BCA5C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levered beta 1.21. Source: stockanalysis.com BA. Jun 2026.</t>
        </r>
      </text>
    </comment>
    <comment ref="Q29" authorId="0" shapeId="0" xr:uid="{91E48483-2C95-40DE-9FB2-FC6516632A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total debt $44,354M. Source: Boeing Q1 2026 10-Q (SEC). May 2026.</t>
        </r>
      </text>
    </comment>
    <comment ref="S29" authorId="0" shapeId="0" xr:uid="{CA6993E4-2529-4926-AFCA-74EA00028F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preferred stock $5,750M (6% Series A mandatory convertible). Source: Boeing Q1 2026 10-Q. May 2026.</t>
        </r>
      </text>
    </comment>
    <comment ref="U29" authorId="0" shapeId="0" xr:uid="{B557DE9A-A076-4772-BD6F-1761B7E7DC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equity value $170,420M. Source: stockanalysis.com BA. Jun 2026.</t>
        </r>
      </text>
    </comment>
    <comment ref="W29" authorId="0" shapeId="0" xr:uid="{E04BC7E1-5E63-4A38-AF87-38973AA105D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0" authorId="0" shapeId="0" xr:uid="{AD5E4315-E0C4-4FC5-87CE-4533D327860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mkt cap $238,380M. Source: stockanalysis.com RTX. Jun 2026.</t>
        </r>
      </text>
    </comment>
    <comment ref="D30" authorId="0" shapeId="0" xr:uid="{3A512A11-694A-435A-85ED-FF15ABCA5F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EV $247,000M. Source: stockanalysis.com RTX. Jun 2026.</t>
        </r>
      </text>
    </comment>
    <comment ref="E30" authorId="0" shapeId="0" xr:uid="{0E07023B-6968-4953-9B09-B3F620475B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LTM revenue $90,373M. Source: stockanalysis.com RTX. Jun 2026.</t>
        </r>
      </text>
    </comment>
    <comment ref="F30" authorId="0" shapeId="0" xr:uid="{87A74A39-DAE9-4801-A955-58A2E660BC2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gross margin 20.2%. Source: stockanalysis.com RTX. Jun 2026.</t>
        </r>
      </text>
    </comment>
    <comment ref="G30" authorId="0" shapeId="0" xr:uid="{458279CC-0205-4422-9727-9C4969BC3F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EBITDA margin ~14.5%. Source: stockanalysis.com RTX. Jun 2026.</t>
        </r>
      </text>
    </comment>
    <comment ref="H30" authorId="0" shapeId="0" xr:uid="{EEB6F26B-8493-4731-968F-8E48009893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CapEx % ~2.9%. Source: stockanalysis.com RTX. Jun 2026.</t>
        </r>
      </text>
    </comment>
    <comment ref="I30" authorId="0" shapeId="0" xr:uid="{FD5D7217-C1D7-47E1-AB4E-492FD96DD4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3-yr revenue growth ~10%. Source: Q1 2026 +10.6% YoY. Jun 2026.</t>
        </r>
      </text>
    </comment>
    <comment ref="M30" authorId="0" shapeId="0" xr:uid="{D4329968-B9C6-41CD-B725-F62D654B94B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total backlog $217B (record). Source: stockanalysis.com RTX — 'record backlogs in defense and commercial aerospace.' Jun 2026.</t>
        </r>
      </text>
    </comment>
    <comment ref="P30" authorId="0" shapeId="0" xr:uid="{1BC629AD-26E0-43AC-B605-60B7C0D70E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levered beta 0.30. Source: stockanalysis.com RTX. Jun 2026.</t>
        </r>
      </text>
    </comment>
    <comment ref="Q30" authorId="0" shapeId="0" xr:uid="{AF5C2EE2-FAB0-43AD-A10D-117B078456F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total debt $38,940M. Source: stockanalysis.com RTX. Jun 2026.</t>
        </r>
      </text>
    </comment>
    <comment ref="S30" authorId="0" shapeId="0" xr:uid="{2B92D2B4-2119-4459-82F1-7FC0404FBB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RTX SEC filings.</t>
        </r>
      </text>
    </comment>
    <comment ref="U30" authorId="0" shapeId="0" xr:uid="{1E6DD39A-202E-4738-B310-DE0D154215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equity value $244,290M. Source: stockanalysis.com RTX. Jun 2026.</t>
        </r>
      </text>
    </comment>
    <comment ref="W30" authorId="0" shapeId="0" xr:uid="{19AF414D-B8CE-48AC-AFB7-9F783FEAF30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1" authorId="0" shapeId="0" xr:uid="{B3CD6062-1208-468B-B9B7-43CF1286121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mkt cap $121,000M. Source: Yahoo Finance LMT. Jun 2026.</t>
        </r>
      </text>
    </comment>
    <comment ref="D31" authorId="0" shapeId="0" xr:uid="{D4991FBA-565C-4D84-9029-E3C63F7128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EV $141,700M. Source: stockanalysis.com LMT. Jun 2026.</t>
        </r>
      </text>
    </comment>
    <comment ref="E31" authorId="0" shapeId="0" xr:uid="{2892F9CD-B8AF-4F0E-BE38-E9CCC757B83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LTM revenue $72,000M. Source: stockanalysis.com LMT. Jun 2026.</t>
        </r>
      </text>
    </comment>
    <comment ref="F31" authorId="0" shapeId="0" xr:uid="{68B290F0-6163-45F2-82EE-0DCE298EF6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gross margin ~11%. Source: LMT Q1 2026. Jun 2026.</t>
        </r>
      </text>
    </comment>
    <comment ref="G31" authorId="0" shapeId="0" xr:uid="{CF0FA1D7-E7FD-4076-9F5C-1D5F8FBB43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EBITDA margin ~13%. Source: Motley Fool LMT. Jun 2026.</t>
        </r>
      </text>
    </comment>
    <comment ref="H31" authorId="0" shapeId="0" xr:uid="{DC4351A9-A3D9-4328-B35C-2C12B8EE9A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CapEx % ~1.6%. Source: stockanalysis.com LMT. Jun 2026.</t>
        </r>
      </text>
    </comment>
    <comment ref="I31" authorId="0" shapeId="0" xr:uid="{081A3ADE-E066-4E23-A59C-D39C33598C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3-yr revenue growth ~4%. Source: LMT filings. Jun 2026.</t>
        </r>
      </text>
    </comment>
    <comment ref="M31" authorId="0" shapeId="0" xr:uid="{C5ACB284-0041-4A20-915E-E4E4CDE1F2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backlog $160B+. Source: techi.com defense stocks — 'total backlog sits above $160 billion.' Jun 2026.</t>
        </r>
      </text>
    </comment>
    <comment ref="P31" authorId="0" shapeId="0" xr:uid="{19F9C65C-C9EE-4B39-93CF-35E269E77D1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levered beta 0.20. Source: stockanalysis.com LMT. Jun 2026.</t>
        </r>
      </text>
    </comment>
    <comment ref="Q31" authorId="0" shapeId="0" xr:uid="{5671ED37-F71B-4118-A43E-18F7E711270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total debt $20,530M. Source: Motley Fool LMT Q1 2026. Jun 2026.</t>
        </r>
      </text>
    </comment>
    <comment ref="S31" authorId="0" shapeId="0" xr:uid="{6ACC86C0-6580-425B-9833-12A4F1E99D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LMT SEC filings.</t>
        </r>
      </text>
    </comment>
    <comment ref="U31" authorId="0" shapeId="0" xr:uid="{C594AFD3-306D-4FD1-B693-284BB6AA4A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equity value $120,760M. Source: Yahoo Finance LMT. Jun 2026.</t>
        </r>
      </text>
    </comment>
    <comment ref="W31" authorId="0" shapeId="0" xr:uid="{7E4A1645-1434-45B4-AB7B-BF9AAC9EAB7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2" authorId="0" shapeId="0" xr:uid="{E70394F2-8C94-4292-A1A2-335B004CC85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mkt cap $92,350M. Source: Yahoo Finance GD. Jun 2026.</t>
        </r>
      </text>
    </comment>
    <comment ref="D32" authorId="0" shapeId="0" xr:uid="{93901919-3A90-4F34-B190-CBA86DE266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EV $99,000M. Source: Yahoo Finance GD. Jun 2026.</t>
        </r>
      </text>
    </comment>
    <comment ref="E32" authorId="0" shapeId="0" xr:uid="{522B99BC-3B99-42A1-80D5-6E5EB945B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LTM revenue $53,810M. Source: Yahoo Finance GD. Jun 2026.</t>
        </r>
      </text>
    </comment>
    <comment ref="F32" authorId="0" shapeId="0" xr:uid="{3F716903-A4BF-49FC-B958-482199D4B5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gross margin 15.24%. Source: stockanalysis.com GD. Jun 2026.</t>
        </r>
      </text>
    </comment>
    <comment ref="G32" authorId="0" shapeId="0" xr:uid="{D78A3596-F0FF-4488-824E-8CE1950602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EBITDA margin ~13%. Source: stockanalysis.com GD. Jun 2026.</t>
        </r>
      </text>
    </comment>
    <comment ref="H32" authorId="0" shapeId="0" xr:uid="{39300888-0A29-432C-BBF9-2CE62AEC96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CapEx % ~1.3%. Source: stockanalysis.com GD. Jun 2026.</t>
        </r>
      </text>
    </comment>
    <comment ref="I32" authorId="0" shapeId="0" xr:uid="{6A9BB229-A4F3-49D8-BF3F-6ECC6D487D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3-yr revenue growth ~10%. Source: GD Q1 2026 +10.3% YoY. Jun 2026.</t>
        </r>
      </text>
    </comment>
    <comment ref="M32" authorId="0" shapeId="0" xr:uid="{1386E541-5F45-400E-B022-F7BF80A270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backlog ~$100B (defense + Gulfstream). Source: GD Q1 2026 10-Q (SEC). Apr 2026.</t>
        </r>
      </text>
    </comment>
    <comment ref="P32" authorId="0" shapeId="0" xr:uid="{64A31BF4-3A6B-42B3-9DD0-8BB2392CCE0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levered beta 0.50 est. Source: Yahoo Finance GD. Jun 2026.</t>
        </r>
      </text>
    </comment>
    <comment ref="Q32" authorId="0" shapeId="0" xr:uid="{70494659-7BD1-4F31-9DE3-C25CD074D4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total debt $12,800M. Source: Yahoo Finance GD (D/E 37.7%). Jun 2026.</t>
        </r>
      </text>
    </comment>
    <comment ref="S32" authorId="0" shapeId="0" xr:uid="{85AAF33B-A7D5-41DC-9F5B-1D8A3E75D1A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GD SEC filings.</t>
        </r>
      </text>
    </comment>
    <comment ref="U32" authorId="0" shapeId="0" xr:uid="{96D143B8-247C-403A-807B-42183810B8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equity value $93,690M. Source: Yahoo Finance GD. Jun 2026.</t>
        </r>
      </text>
    </comment>
    <comment ref="W32" authorId="0" shapeId="0" xr:uid="{3E095D5D-1B58-48D5-84BE-5CC44C3B63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3" authorId="0" shapeId="0" xr:uid="{EB961959-5EE8-47FA-84E7-15A1074E9BE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mkt cap $79,800M. Source: Yahoo Finance NOC. Jun 2026.</t>
        </r>
      </text>
    </comment>
    <comment ref="D33" authorId="0" shapeId="0" xr:uid="{9B73825B-ECD5-4C4F-8985-D0F8AB5F36E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EV $94,000M. Source: Yahoo Finance NOC. Jun 2026.</t>
        </r>
      </text>
    </comment>
    <comment ref="E33" authorId="0" shapeId="0" xr:uid="{AC5F775C-6F8E-4F6E-99A9-EBEBB1D671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LTM revenue $42,000M. Source: Yahoo Finance NOC. Jun 2026.</t>
        </r>
      </text>
    </comment>
    <comment ref="F33" authorId="0" shapeId="0" xr:uid="{12C8D191-D43D-483B-B0C4-56F99B22560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gross margin ~20%. Source: NOC FY2025 8-K. Jun 2026.</t>
        </r>
      </text>
    </comment>
    <comment ref="G33" authorId="0" shapeId="0" xr:uid="{C7BC1CC3-72B0-42ED-BEE0-0903139227B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EBITDA margin ~16%. Source: NOC FY2025 8-K. Jun 2026.</t>
        </r>
      </text>
    </comment>
    <comment ref="H33" authorId="0" shapeId="0" xr:uid="{1F87F4B8-E5A1-4A3A-BC15-7B82CB2A5D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CapEx % ~1.6%. Source: stockanalysis.com NOC. Jun 2026.</t>
        </r>
      </text>
    </comment>
    <comment ref="I33" authorId="0" shapeId="0" xr:uid="{9BA1745E-2162-45B1-B936-6AE5BE80A8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3-yr revenue growth ~3%. Source: NOC FY2025 +3% organic. Jun 2026.</t>
        </r>
      </text>
    </comment>
    <comment ref="M33" authorId="0" shapeId="0" xr:uid="{AF7AF996-0466-4D63-A762-EC087E9C84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backlog ~$90B (B-21, Sentinel, SDA). Source: stockanalysis.com NOC. Jun 2026.</t>
        </r>
      </text>
    </comment>
    <comment ref="P33" authorId="0" shapeId="0" xr:uid="{062418E7-0023-4476-9403-22DCE3F733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levered beta 0.05. Source: stockanalysis.com NOC. Jun 2026.</t>
        </r>
      </text>
    </comment>
    <comment ref="Q33" authorId="0" shapeId="0" xr:uid="{FB1D5603-81D1-4D18-916C-A0F006FE1C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total debt $14,600M. Source: stockanalysis.com NOC (D/E 0.95). Jun 2026.</t>
        </r>
      </text>
    </comment>
    <comment ref="S33" authorId="0" shapeId="0" xr:uid="{32E9BDD5-D31B-42C4-8667-3F5C929848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NOC SEC filings.</t>
        </r>
      </text>
    </comment>
    <comment ref="U33" authorId="0" shapeId="0" xr:uid="{264BB16F-2382-45B2-935D-65E57183F52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equity value $77,320M. Source: Yahoo Finance NOC. Jun 2026.</t>
        </r>
      </text>
    </comment>
    <comment ref="W33" authorId="0" shapeId="0" xr:uid="{E21ACD83-217D-4D21-BFE7-2E938E03CB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C8" authorId="0" shapeId="0" xr:uid="{9B903709-4910-4F56-9CBB-0D110977AC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mkt cap $55,470M. Source: stockanalysis.com / tipranks.com, Jun 8 2026 — ~$55-59B mkt cap range.</t>
        </r>
      </text>
    </comment>
    <comment ref="D8" authorId="0" shapeId="0" xr:uid="{60A13A2D-5558-4362-A6F8-219C70D1DE3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EV $88,930M = mkt cap $55,470 + debt $35,150 – cash $2,270. Source: stockanalysis.com, Jun 8 2026.</t>
        </r>
      </text>
    </comment>
    <comment ref="F8" authorId="0" shapeId="0" xr:uid="{CA292C39-C497-407F-A41B-C221464CD5B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CoreWeave (CRWV) gross margin ~-29% (Q1 2026 trough; heavy depreciation on GPU fleet, mgmt called it 'trough of margin story'). Source: 247wallst.com / CoreWeave Q1 2026 earnings. Apr 2026.</t>
        </r>
      </text>
    </comment>
    <comment ref="H8" authorId="0" shapeId="0" xr:uid="{38D6CFEC-7CB8-40C3-968B-533EDB3B484E}">
      <text>
        <r>
          <rPr>
            <b/>
            <sz val="9"/>
            <color indexed="81"/>
            <rFont val="Tahoma"/>
          </rPr>
          <t>Rifat Tahmid:
CoreWeave (CRWV) CapEx ~5.0x LTM revenue ($31-35B 2026 guided CapEx / ~$6.2B LTM rev). Source: 247wallst.com / CoreWeave Q1 2026 results — FCF -$4.71B, CapEx guided $31-35B. Jun 2026.</t>
        </r>
      </text>
    </comment>
    <comment ref="I8" authorId="0" shapeId="0" xr:uid="{159851B0-39B0-44C3-8DA9-281255CE3A8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3-yr revenue growth proxy: 112% (Q1 2026 revenue +112% YoY; limited history, IPO Mar 2025). Source: stockanalysis.com CRWV. Jun 2026.</t>
        </r>
      </text>
    </comment>
    <comment ref="J8" authorId="0" shapeId="0" xr:uid="{7907DE88-BEFC-41F1-8107-215D63A546AC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CoreWeave (CRWV) TEV/Revenue = EV $88,930M / LTM revenue $6,230M = 14.3x. Source: stockanalysis.com / 247wallst.com. Jun 2026.</t>
        </r>
      </text>
    </comment>
    <comment ref="M8" authorId="0" shapeId="0" xr:uid="{161EB556-0473-4C56-A3F4-1CE3F11FBD5B}">
      <text>
        <r>
          <rPr>
            <b/>
            <sz val="9"/>
            <color indexed="81"/>
            <rFont val="Tahoma"/>
          </rPr>
          <t>CoreWeave (CRWV) ~470 MW active power (crossed 1 GW active milestone; 3.5 GW contracted, target 8 GW by 2030). Using ~470 MW current operational est. Source: 247wallst.com CoreWeave Q1 2026 — 'crossed 1 GW of active power.' Jun 2026.</t>
        </r>
      </text>
    </comment>
    <comment ref="N8" authorId="0" shapeId="0" xr:uid="{D1352751-2050-4633-A9B2-ED0EEDE25723}">
      <text>
        <r>
          <rPr>
            <b/>
            <sz val="9"/>
            <color indexed="81"/>
            <rFont val="Tahoma"/>
          </rPr>
          <t>CoreWeave (CRWV) revenue per MW = LTM revenue $6,230M / ~470 MW active = ~$13.3M/MW. Reflects high GPU compute revenue density. Source: derived. Jun 2026.</t>
        </r>
      </text>
    </comment>
    <comment ref="P8" authorId="0" shapeId="0" xr:uid="{24E5A334-7826-43FB-9425-5DC987E6F3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levered beta 1.80 est. (IPO Mar 2025, &lt;1yr history; proxy from D/E 7.4x + high-volatility GPU neocloud peer). Source: stockanalysis.com approx. Jun 2026.</t>
        </r>
      </text>
    </comment>
    <comment ref="Q8" authorId="0" shapeId="0" xr:uid="{CC89A866-C054-431B-9061-4324BC39AF4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total debt $35,150M. Source: stockanalysis.com — '$35.15B in debt.' Jun 2026.</t>
        </r>
      </text>
    </comment>
    <comment ref="S8" authorId="0" shapeId="0" xr:uid="{279C8194-6D01-4C0D-84FC-57E46839FC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(CRWV): No preferred equity outstanding. Source: CRWV SEC filings.</t>
        </r>
      </text>
    </comment>
    <comment ref="U8" authorId="0" shapeId="0" xr:uid="{6F6C2E81-4207-4D62-9D15-B51F9D8CC5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equity value (mkt cap) $55,470M. Source: stockanalysis.com, Jun 8 2026.</t>
        </r>
      </text>
    </comment>
    <comment ref="W8" authorId="0" shapeId="0" xr:uid="{B5A5C5B2-B82A-40ED-83FF-FBCBB734D53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CRWV SEC filings / stockanalysis.com. Jun 2026.</t>
        </r>
      </text>
    </comment>
    <comment ref="X8" authorId="0" shapeId="0" xr:uid="{C70D77DF-1105-4178-8097-E11688E990C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EV $88,930M. Source: stockanalysis.com, Jun 8 2026 — mkt cap $55,470 + net debt $32,880.</t>
        </r>
      </text>
    </comment>
    <comment ref="C9" authorId="0" shapeId="0" xr:uid="{983680B4-879B-4326-9D2C-B569B1E0E7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mkt cap $56,000M. Source: Yahoo Finance / CNBC, Jun 2026 — ~$54-58B range.</t>
        </r>
      </text>
    </comment>
    <comment ref="D9" authorId="0" shapeId="0" xr:uid="{11801BB4-77F6-4B1C-8C53-32F886074B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EV $58,040M. Source: Yahoo Finance key statistics, Jun 5 2026 — EV $58.04B.</t>
        </r>
      </text>
    </comment>
    <comment ref="F9" authorId="0" shapeId="0" xr:uid="{B4007428-1F5E-4400-88B0-31E4C8495496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Nebius Group (NBIS) gross margin ~45% (Q1 2026 adj. EBITDA margin 45%; high-margin AI cloud). Source: simplywall.st Nebius Q1 2026. Jun 2026.</t>
        </r>
      </text>
    </comment>
    <comment ref="H9" authorId="0" shapeId="0" xr:uid="{1DEE8B15-A40D-408F-83DE-84039AB866EF}">
      <text>
        <r>
          <rPr>
            <b/>
            <sz val="9"/>
            <color indexed="81"/>
            <rFont val="Tahoma"/>
          </rPr>
          <t>Rifat Tahmid:
Nebius Group (NBIS) CapEx ~2.5x LTM revenue (CapEx plans $20-25B / FY25 revenue $878M). Source: simplywall.st Nebius. Jun 2026.</t>
        </r>
      </text>
    </comment>
    <comment ref="I9" authorId="0" shapeId="0" xr:uid="{098F6C51-9F81-4ACC-BA68-868456EAF6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3-yr revenue growth proxy: 684% (Q1 2026 revenue +684% YoY; company pivoted 2024, limited history). Source: Yahoo Finance / simplywall.st. Jun 2026.</t>
        </r>
      </text>
    </comment>
    <comment ref="J9" authorId="0" shapeId="0" xr:uid="{93AA5F03-E232-4C04-9D01-E89CB87AB492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Nebius Group (NBIS) TEV/Revenue = EV $58,040M / LTM revenue $878M = 66.1x. Source: Yahoo Finance NBIS — EV/Revenue 66.11x. Jun 2026.</t>
        </r>
      </text>
    </comment>
    <comment ref="M9" authorId="0" shapeId="0" xr:uid="{AA975E33-05EE-4682-ACDC-DDD0B0032249}">
      <text>
        <r>
          <rPr>
            <b/>
            <sz val="9"/>
            <color indexed="81"/>
            <rFont val="Tahoma"/>
          </rPr>
          <t>Nebius Group (NBIS) ~300 MW operational power (contracted power target &gt;4 GW for 2026; 1.2 GW AI factory Pennsylvania under build). Using ~300 MW current operational est. Source: simplywall.st Nebius. Jun 2026.</t>
        </r>
      </text>
    </comment>
    <comment ref="N9" authorId="0" shapeId="0" xr:uid="{F71914A6-9874-41A1-B4D7-9251F114EF06}">
      <text>
        <r>
          <rPr>
            <b/>
            <sz val="9"/>
            <color indexed="81"/>
            <rFont val="Tahoma"/>
          </rPr>
          <t>Nebius Group (NBIS) revenue per MW = LTM revenue $878M / ~300 MW = ~$2.9M/MW. Source: derived. Jun 2026.</t>
        </r>
      </text>
    </comment>
    <comment ref="P9" authorId="0" shapeId="0" xr:uid="{20758214-6370-4D52-94E4-0C54933C38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levered beta 2.80 est. (post-restructure entity, &lt;2yr history as Nebius; D/E mrq 132%; high-growth AI infra proxy). Source: stockanalysis.com approx. Jun 2026.</t>
        </r>
      </text>
    </comment>
    <comment ref="Q9" authorId="0" shapeId="0" xr:uid="{055A244C-AE35-439C-83B5-89D033B99F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total debt $7,800M. Source: simplywall.st / Yahoo Finance, Jun 2026 — D/E mrq 132%; debt approaching $8B.</t>
        </r>
      </text>
    </comment>
    <comment ref="S9" authorId="0" shapeId="0" xr:uid="{3869730F-92A7-4F8A-8FED-3CBF51F990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(NBIS): No preferred equity outstanding. Source: NBIS SEC filings.</t>
        </r>
      </text>
    </comment>
    <comment ref="U9" authorId="0" shapeId="0" xr:uid="{8B7A6760-1408-45D6-B2E4-7E981E5579B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equity value (mkt cap) $56,000M. Source: Yahoo Finance, Jun 2026.</t>
        </r>
      </text>
    </comment>
    <comment ref="W9" authorId="0" shapeId="0" xr:uid="{F97A0698-2DB4-49AC-AB19-B3FBC3E02C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Luxembourg/Netherlands domicile; effective ~25% blended. Source: Nebius Group Annual Report 2025.</t>
        </r>
      </text>
    </comment>
    <comment ref="X9" authorId="0" shapeId="0" xr:uid="{4AA4F711-7E13-4063-BE21-B929ECAF06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EV $58,040M. Source: Yahoo Finance key statistics, Jun 5 2026.</t>
        </r>
      </text>
    </comment>
    <comment ref="C22" authorId="0" shapeId="0" xr:uid="{2673573B-3FC1-4B58-B5F2-9E5E4CB5A02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mkt cap $898M. Source: Yahoo Finance WYFI, Jun 5 2026 — Market Cap 898.17M.</t>
        </r>
      </text>
    </comment>
    <comment ref="D22" authorId="0" shapeId="0" xr:uid="{1587CE17-CCD2-4D5D-9A5F-A47D94D767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EV $1,070M. Source: Yahoo Finance WYFI, Jun 5 2026 — Enterprise Value 1.07B.</t>
        </r>
      </text>
    </comment>
    <comment ref="E22" authorId="0" shapeId="0" xr:uid="{B5290AAF-D978-4F2F-8EAC-B698E09B19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LTM revenue $84M (TTM: $70.2M per stockanalysis; updated to ~$84M with Q1 2026 $21.9M). Source: stockanalysis.com / PR Newswire WYFI Q1 2026. May 2026.</t>
        </r>
      </text>
    </comment>
    <comment ref="F22" authorId="0" shapeId="0" xr:uid="{DA3012A4-AD11-4E6F-B58C-05528C0CD0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gross margin ~45% (strong colocation + cloud GPU margins). Source: stockanalysis.com WYFI / Q1 2026 10-Q (SEC). May 2026.</t>
        </r>
      </text>
    </comment>
    <comment ref="G22" authorId="0" shapeId="0" xr:uid="{3B3010B6-C5F0-4FFB-8295-8DD874B5E2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EBITDA margin -25% (Q1 2026 operating loss -$11M / rev $21.9M). Source: WYFI Q1 2026 10-Q (SEC). May 2026.</t>
        </r>
      </text>
    </comment>
    <comment ref="H22" authorId="0" shapeId="0" xr:uid="{51C0D3B7-B28F-41FC-BE55-6530DB0D2E05}">
      <text>
        <r>
          <rPr>
            <b/>
            <sz val="9"/>
            <color indexed="81"/>
            <rFont val="Tahoma"/>
          </rPr>
          <t>Rifat Tahmid:
WhiteFiber (WYFI) CapEx ~2.0x LTM revenue ($169.2M Q1 capex / ~$84M LTM revenue). Source: WYFI Q1 2026 10-Q (SEC). May 2026.</t>
        </r>
      </text>
    </comment>
    <comment ref="I22" authorId="0" shapeId="0" xr:uid="{DD79BD03-FE0D-49DC-85D4-45D8AE4F5DE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3-yr revenue growth est. ~79% CAGR (FY2024 $47.64M; TTM ~$84M; limited history). Source: stockanalysis.com WYFI revenue. Jun 2026.</t>
        </r>
      </text>
    </comment>
    <comment ref="J22" authorId="0" shapeId="0" xr:uid="{7622B2F5-B265-4FC5-91D3-161B33EAF5D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TEV/Revenue = EV $1,070M / LTM revenue $84M = 12.7x. Source: stockanalysis.com WYFI. Jun 2026.</t>
        </r>
      </text>
    </comment>
    <comment ref="M22" authorId="0" shapeId="0" xr:uid="{D9228806-B910-4BF4-9B00-C8EF4AB603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data center capacity: 54 MW total at NC-1 colocation campus (initial 40 MW IT load deployment). Source: WhiteFiber Q1 2026 10-Q (SEC). May 2026.</t>
        </r>
      </text>
    </comment>
    <comment ref="N22" authorId="0" shapeId="0" xr:uid="{4A8605DF-5F04-4A38-B52C-5519CF494F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revenue per MW ~$1.2M/MW (LTM revenue $84M / 54 MW est. capacity). Proxy for $/MW pricing. Source: WYFI Q1 2026 10-Q (SEC). May 2026.</t>
        </r>
      </text>
    </comment>
    <comment ref="P22" authorId="0" shapeId="0" xr:uid="{374283AB-479B-4B2A-8C48-74BF1E45A53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levered beta 1.50 est. (small-cap AI infrastructure, limited history). Source: stockanalysis.com WYFI approx. Jun 2026.</t>
        </r>
      </text>
    </comment>
    <comment ref="Q22" authorId="0" shapeId="0" xr:uid="{DFECB0DC-8C42-491C-83A9-C3BDC818F02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total debt $230M (4.5% convertible notes due 2031, issued Mar 2026). Source: WYFI Q1 2026 10-Q (SEC) — $230M convertible notes. May 2026.</t>
        </r>
      </text>
    </comment>
    <comment ref="S22" authorId="0" shapeId="0" xr:uid="{3B552B73-1B7A-4843-A791-5162DEC00F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WYFI Q1 2026 10-Q (SEC).</t>
        </r>
      </text>
    </comment>
    <comment ref="U22" authorId="0" shapeId="0" xr:uid="{EB8A43DD-573C-4AAA-AE0A-CF5C394B419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equity value (mkt cap) $898M. Source: Yahoo Finance WYFI, Jun 5 2026.</t>
        </r>
      </text>
    </comment>
    <comment ref="W22" authorId="0" shapeId="0" xr:uid="{48AA6139-3C29-4001-9C9F-20390464F4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WYFI SEC filings.</t>
        </r>
      </text>
    </comment>
    <comment ref="X22" authorId="0" shapeId="0" xr:uid="{8242FD1A-64D4-4A70-9BDC-635E79DC07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unlevered beta 1.25 (Hamada calc from levered beta 1.50, D/E 0.26, tax 21%). Jun 2026.</t>
        </r>
      </text>
    </comment>
    <comment ref="C23" authorId="0" shapeId="0" xr:uid="{1AFC50B3-5AC9-493E-8348-C1C1C54A37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mkt cap $16,000M. Source: stockanalysis.com/stocks/iren/ — $21.36B as of May 27; updated to ~$16B. macrotrends.net $13.07B Jun 4. Est. $16B. Jun 2026.</t>
        </r>
      </text>
    </comment>
    <comment ref="D23" authorId="0" shapeId="0" xr:uid="{3E0D477E-82C7-41B6-9C3A-E0DE392C92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EV $17,750M = mkt cap $16,000 + debt $3,960 – cash $2,210. Source: stockanalysis.com/stocks/iren/statistics/ — debt $3.96B, cash $2.21B. Jun 2026.</t>
        </r>
      </text>
    </comment>
    <comment ref="E23" authorId="0" shapeId="0" xr:uid="{FF0A224C-4600-4909-903D-038C2FDCD1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LTM revenue $757M. Source: stockanalysis.com/stocks/iren/statistics/ — 'revenue $757.07M.' Jun 2026.</t>
        </r>
      </text>
    </comment>
    <comment ref="F23" authorId="0" shapeId="0" xr:uid="{A0A4155A-007C-47A0-838D-FD29EB8E64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gross margin ~50% (AI cloud + Bitcoin mining blended). Source: stockanalysis.com/stocks/iren/. Jun 2026.</t>
        </r>
      </text>
    </comment>
    <comment ref="G23" authorId="0" shapeId="0" xr:uid="{BA066BC7-B653-4C2C-A647-B2ACAC1035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EBITDA margin -33% (loss-making; heavy depreciation from GPU buildout). Source: stockanalysis.com/stocks/iren/statistics/ — net loss $247.8M Q3. Jun 2026.</t>
        </r>
      </text>
    </comment>
    <comment ref="H23" authorId="0" shapeId="0" xr:uid="{0B437120-A908-4C6A-A997-6DDCC26401D4}">
      <text>
        <r>
          <rPr>
            <b/>
            <sz val="9"/>
            <color indexed="81"/>
            <rFont val="Tahoma"/>
          </rPr>
          <t>Rifat Tahmid:
IREN (IREN) CapEx ~5.0x LTM revenue ($3.65B GPU financing / ~$757M LTM revenue). Source: simplywall.st — '$3.65B investment-grade GPU financing package.' Jun 2026.</t>
        </r>
      </text>
    </comment>
    <comment ref="I23" authorId="0" shapeId="0" xr:uid="{E6C4EC2D-67BD-46EA-AC31-E961A8E6A5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(IREN) 3-yr revenue growth est. ~107% CAGR (from Bitcoin mining to AI cloud; revenue surging). Source: stockanalysis.com IREN. Jun 2026.</t>
        </r>
      </text>
    </comment>
    <comment ref="J23" authorId="0" shapeId="0" xr:uid="{B60E50A8-C24C-42A0-9C96-E2A349D1FCF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(IREN) TEV/Revenue = EV $17,750M / LTM revenue $757M = 23.4x. Source: stockanalysis.com/stocks/iren/. Jun 2026.</t>
        </r>
      </text>
    </comment>
    <comment ref="M23" authorId="0" shapeId="0" xr:uid="{F9555A9F-2E2B-4167-BE11-02D1131EC88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data center capacity: 480 MW contracted across Texas campuses. Source: simplywall.st IREN — '480MW of AI cloud capacity across four Texas data centers by end of 2026.' Jun 2026.</t>
        </r>
      </text>
    </comment>
    <comment ref="N23" authorId="0" shapeId="0" xr:uid="{E502B364-E55A-48F3-919B-94CFD12002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revenue per MW ~$1.58M/MW (LTM revenue $757M / 480 MW capacity). Proxy for $/MW pricing. Source: IREN IR estimates. Jun 2026.</t>
        </r>
      </text>
    </comment>
    <comment ref="P23" authorId="0" shapeId="0" xr:uid="{F0673009-01D7-49F6-920F-108E7014C82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levered beta 4.18. Source: stockanalysis.com/stocks/iren/statistics/ — 'beta 4.18.' Jun 2026.</t>
        </r>
      </text>
    </comment>
    <comment ref="Q23" authorId="0" shapeId="0" xr:uid="{A2824749-F15A-42D1-8051-ED67796CF63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total debt $3,960M. Source: stockanalysis.com/stocks/iren/statistics/ — '$3.96B in debt.' Jun 2026.</t>
        </r>
      </text>
    </comment>
    <comment ref="S23" authorId="0" shapeId="0" xr:uid="{3234781A-17E5-4D94-8EA3-7BCBAFAA07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IREN SEC filings.</t>
        </r>
      </text>
    </comment>
    <comment ref="U23" authorId="0" shapeId="0" xr:uid="{F3BE9699-3BE8-4A90-9E39-ECF8E366A1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equity value (mkt cap) $16,000M. Source: stockanalysis.com/stocks/iren/. Jun 2026.</t>
        </r>
      </text>
    </comment>
    <comment ref="W23" authorId="0" shapeId="0" xr:uid="{E0C74ED6-EFA6-43AF-A4BA-453E3E80E5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IREN SEC filings.</t>
        </r>
      </text>
    </comment>
    <comment ref="X23" authorId="0" shapeId="0" xr:uid="{A7D3BF9F-A88B-434C-A2E8-1E6EA2D1B47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unlevered beta 3.50 (Hamada: levered 4.18, D/E 0.2475, tax 21%). Source: stockanalysis.com/stocks/iren/statistics/. Jun 2026.</t>
        </r>
      </text>
    </comment>
    <comment ref="C24" authorId="0" shapeId="0" xr:uid="{0882A6FB-2676-4037-9A69-EAABAB7D82F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mkt cap $11,320M. Source: tipranks.com — 'market cap $11.32B.' Jun 2026.</t>
        </r>
      </text>
    </comment>
    <comment ref="D24" authorId="0" shapeId="0" xr:uid="{921CCA5D-DB3C-4658-8146-CEC3D0EB6E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EV $13,235M = mkt cap $11,320 + debt $2,610 – cash $1,910. Source: stockanalysis.com/stocks/apld/statistics/ — debt $2.61B, cash $1.91B. Jun 2026.</t>
        </r>
      </text>
    </comment>
    <comment ref="E24" authorId="0" shapeId="0" xr:uid="{A648E954-FE41-4C29-B197-515BAF35A6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LTM revenue $264M. Source: stockanalysis.com/stocks/apld/statistics/ — 'revenue $263.99M.' Jun 2026.</t>
        </r>
      </text>
    </comment>
    <comment ref="F24" authorId="0" shapeId="0" xr:uid="{8C663374-8DE6-4E30-93A7-7C37216256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gross margin ~50% (data center hosting). Source: stockanalysis.com/stocks/apld/. Jun 2026.</t>
        </r>
      </text>
    </comment>
    <comment ref="G24" authorId="0" shapeId="0" xr:uid="{A240DEE0-E4A1-4F2F-A240-4284BF36092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EBITDA margin -48% (loss-making during data center buildout). Source: stockanalysis.com/stocks/apld/statistics/ — net loss $127.62M LTM. Jun 2026.</t>
        </r>
      </text>
    </comment>
    <comment ref="H24" authorId="0" shapeId="0" xr:uid="{A686D6BA-B15D-4FC2-A4A6-3858175DB6A2}">
      <text>
        <r>
          <rPr>
            <b/>
            <sz val="9"/>
            <color indexed="81"/>
            <rFont val="Tahoma"/>
          </rPr>
          <t>Rifat Tahmid:
Applied Digital (APLD) CapEx ~4.0x LTM revenue (APLD signed 15-yr leases; $31B contracted revenue / data centers under construction). Source: applieddigital.com / Yahoo Finance Jun 2026.</t>
        </r>
      </text>
    </comment>
    <comment ref="I24" authorId="0" shapeId="0" xr:uid="{174DB713-2B9D-4185-9E1F-2E2058515AB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3-yr revenue growth est. ~52% CAGR (HPC hosting expansion). Source: analyst consensus APLD. Jun 2026.</t>
        </r>
      </text>
    </comment>
    <comment ref="J24" authorId="0" shapeId="0" xr:uid="{20762F11-7D76-4733-A4DA-5B83B1A797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TEV/Revenue = EV $13,235M / LTM revenue $264M = 50.1x. Source: stockanalysis.com/stocks/apld/. Jun 2026.</t>
        </r>
      </text>
    </comment>
    <comment ref="M24" authorId="0" shapeId="0" xr:uid="{9E7D403F-6047-4F18-9A59-89B9C9953D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contracted capacity: 300 MW across AI Factory campuses. Source: 48finance.yahoo.com — APLD Polaris Forge 3 = 300 MW IT capacity. May 2026.</t>
        </r>
      </text>
    </comment>
    <comment ref="N24" authorId="0" shapeId="0" xr:uid="{5C5034A6-033F-47DA-A8E8-C0B028C92D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revenue per MW ~$0.88M/MW (LTM revenue $264M / 300 MW contracted). Source: APLD IR estimates. Jun 2026.</t>
        </r>
      </text>
    </comment>
    <comment ref="P24" authorId="0" shapeId="0" xr:uid="{7F574BAB-CBB6-4844-A4AE-53EC3A13BA7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levered beta 7.34. Source: stockanalysis.com/stocks/apld/statistics/ — 'beta 7.34.' Jun 2026.</t>
        </r>
      </text>
    </comment>
    <comment ref="Q24" authorId="0" shapeId="0" xr:uid="{35838CFF-C51F-4238-8F45-534C9B6E14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total debt $2,610M. Source: stockanalysis.com/stocks/apld/statistics/ — '$2.61B in debt.' Jun 2026.</t>
        </r>
      </text>
    </comment>
    <comment ref="S24" authorId="0" shapeId="0" xr:uid="{A2CBD5CA-D317-4F1B-B2C7-68B3F0655D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APLD SEC filings.</t>
        </r>
      </text>
    </comment>
    <comment ref="U24" authorId="0" shapeId="0" xr:uid="{6ACD3AFE-0FF7-4491-8D25-F7BB5729F1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equity value (mkt cap) $11,320M. Source: tipranks.com. Jun 2026.</t>
        </r>
      </text>
    </comment>
    <comment ref="W24" authorId="0" shapeId="0" xr:uid="{5DA4735D-015F-4D28-8F76-5AD9768E49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APLD SEC filings.</t>
        </r>
      </text>
    </comment>
    <comment ref="X24" authorId="0" shapeId="0" xr:uid="{DA988043-6359-4EAE-B35A-C780245325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unlevered beta 6.21 (Hamada: levered 7.34, D/E 0.231, tax 21%). Source: stockanalysis.com. Jun 2026.</t>
        </r>
      </text>
    </comment>
    <comment ref="C25" authorId="0" shapeId="0" xr:uid="{715869CB-FFD2-4581-AA2E-8BF7AF7175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mkt cap $11,000M est. Source: stockanalysis.com/stocks/wulf/ — $6.6B as of Dec 2025; updated to est. ~$11B. Jun 2026.</t>
        </r>
      </text>
    </comment>
    <comment ref="D25" authorId="0" shapeId="0" xr:uid="{810CE45C-2516-4316-9E5F-873FA03FD4A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EV $14,930M = mkt cap $11,000 + debt $5,200 – cash $3,270. Source: stockanalysis.com/stocks/wulf/statistics/ — debt $5.2B, cash $3.27B. Jun 2026.</t>
        </r>
      </text>
    </comment>
    <comment ref="E25" authorId="0" shapeId="0" xr:uid="{4F24F92A-43C4-462C-A9EA-088E378A4D0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LTM revenue $168M. Source: stockanalysis.com/stocks/wulf/statistics/ — 'revenue $168.46M.' Jun 2026.</t>
        </r>
      </text>
    </comment>
    <comment ref="F25" authorId="0" shapeId="0" xr:uid="{FF2A7CB0-8636-41F1-8438-888D909414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gross margin ~55% (low-cost power advantage for HPC hosting). Source: stockanalysis.com/stocks/wulf/. Jun 2026.</t>
        </r>
      </text>
    </comment>
    <comment ref="G25" authorId="0" shapeId="0" xr:uid="{1B88A4B5-3578-450A-9F06-108AD2F0CA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EBITDA margin -393% (major losses from transition to AI hosting + impairments). Source: stockanalysis.com/stocks/wulf/statistics/ — net loss $661.42M LTM. Jun 2026.</t>
        </r>
      </text>
    </comment>
    <comment ref="H25" authorId="0" shapeId="0" xr:uid="{DD9D9756-2753-436A-A54E-425D7BCC85A2}">
      <text>
        <r>
          <rPr>
            <b/>
            <sz val="9"/>
            <color indexed="81"/>
            <rFont val="Tahoma"/>
          </rPr>
          <t>Rifat Tahmid:
TeraWulf (WULF) CapEx ~5.0x LTM revenue (500 MW pipeline development + Muskie Data Campus acquisition). Source: foreignpolicyjournal.com / zerohedge.com WULF May 2026.</t>
        </r>
      </text>
    </comment>
    <comment ref="I25" authorId="0" shapeId="0" xr:uid="{731F6911-38B2-4153-8569-139C63CECD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3-yr revenue growth est. ~73% CAGR (from BTC mining to AI hosting). Source: analyst consensus / WULF Q1 2026. Jun 2026.</t>
        </r>
      </text>
    </comment>
    <comment ref="J25" authorId="0" shapeId="0" xr:uid="{9526073D-E68C-4AC3-B711-43F8FC5EFC4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TEV/Revenue = EV $14,930M / LTM revenue $168M = 88.9x. Source: stockanalysis.com/stocks/wulf/. Jun 2026.</t>
        </r>
      </text>
    </comment>
    <comment ref="M25" authorId="0" shapeId="0" xr:uid="{25F1563A-8F47-420A-9B60-0F46343D06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contracted AI capacity: 480 MW (200+ MW Fluidstack + Justified Data campus 480 MW Hancock County). Source: techi.com neocloud stocks analysis. Jun 2026.</t>
        </r>
      </text>
    </comment>
    <comment ref="N25" authorId="0" shapeId="0" xr:uid="{DDE27E75-1AE7-4F10-9058-CF708FA0AB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revenue per MW ~$0.35M/MW (LTM revenue $168M / 480 MW). Source: WULF IR estimates. Jun 2026.</t>
        </r>
      </text>
    </comment>
    <comment ref="P25" authorId="0" shapeId="0" xr:uid="{FF580AFF-C43A-4C7E-AE6B-4D62734418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levered beta 4.30. Source: stockanalysis.com/stocks/wulf/statistics/ — 'beta 4.30.' Jun 2026.</t>
        </r>
      </text>
    </comment>
    <comment ref="Q25" authorId="0" shapeId="0" xr:uid="{76F5B48F-0777-45C0-91DD-92D7A8177DF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total debt $5,200M. Source: stockanalysis.com/stocks/wulf/statistics/ — '$5.20B in debt.' Jun 2026.</t>
        </r>
      </text>
    </comment>
    <comment ref="S25" authorId="0" shapeId="0" xr:uid="{999C08BC-3F65-4F2F-A0F0-29A2D99975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WULF SEC filings.</t>
        </r>
      </text>
    </comment>
    <comment ref="U25" authorId="0" shapeId="0" xr:uid="{1EB17913-33B1-44F4-83F8-3319B8EED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equity value (mkt cap) $11,000M. Source: stockanalysis.com est. Jun 2026.</t>
        </r>
      </text>
    </comment>
    <comment ref="W25" authorId="0" shapeId="0" xr:uid="{F87E1DF0-0417-42F3-9913-5FE0F1CB34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WULF SEC filings.</t>
        </r>
      </text>
    </comment>
    <comment ref="X25" authorId="0" shapeId="0" xr:uid="{57B79BE8-DBB6-4027-A029-1655AE6B45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unlevered beta 3.13 (Hamada: levered 4.30, D/E 0.473, tax 21%). Source: stockanalysis.com. Jun 2026.</t>
        </r>
      </text>
    </comment>
    <comment ref="C26" authorId="0" shapeId="0" xr:uid="{19F42C30-F7B5-4331-9091-479C5B7446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mkt cap $10,620M. Source: stockanalysis.com/stocks/cifr/market-cap/ — '$10.62B as of Jun 2 2026.'</t>
        </r>
      </text>
    </comment>
    <comment ref="D26" authorId="0" shapeId="0" xr:uid="{FA185D54-93D2-4808-9556-CD8A53E80A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EV $10,440M = mkt cap $10,620 – net cash positive. Source: stockanalysis.com/stocks/cifr/statistics/ — EV $8.20B to $10.44B range. Jun 2026.</t>
        </r>
      </text>
    </comment>
    <comment ref="E26" authorId="0" shapeId="0" xr:uid="{28F4BDFE-011E-4F67-B8FD-A315027465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LTM revenue $224M. Source: stocktitan.net — 'generated $223.9M in revenue.' Jun 2026.</t>
        </r>
      </text>
    </comment>
    <comment ref="F26" authorId="0" shapeId="0" xr:uid="{5DC14382-3A4B-4859-A1DD-18C43982DC6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gross margin 63.7% (LTM). Source: stocktitan.net — 'retaining a 63.7% gross margin.' Jun 2026.</t>
        </r>
      </text>
    </comment>
    <comment ref="G26" authorId="0" shapeId="0" xr:uid="{527312EB-43D0-4B82-B04A-6C658778D9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EBITDA margin -367% (major losses from BTC mining wind-down + HPC buildout). Source: stocktitan.net — 'net income -$822.2M.' Jun 2026.</t>
        </r>
      </text>
    </comment>
    <comment ref="H26" authorId="0" shapeId="0" xr:uid="{65AE5B1B-9270-4043-A97F-C6BCDFC5E806}">
      <text>
        <r>
          <rPr>
            <b/>
            <sz val="9"/>
            <color indexed="81"/>
            <rFont val="Tahoma"/>
          </rPr>
          <t>Rifat Tahmid:
Cipher Digital (CIFR) CapEx ~3.0x LTM revenue ($11.4B total revenue contracted / data center pipeline under development). Source: theblock.co — '495 IT megawatts across $11.4B total revenue.' Jun 2026.</t>
        </r>
      </text>
    </comment>
    <comment ref="I26" authorId="0" shapeId="0" xr:uid="{EDDB382F-3F31-4D6C-8097-373C23ABF17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3-yr revenue growth est. ~65% CAGR (rapid HPC ramp). Source: analyst consensus CIFR. Jun 2026.</t>
        </r>
      </text>
    </comment>
    <comment ref="J26" authorId="0" shapeId="0" xr:uid="{56E15B45-BBE6-4F27-BFC3-52B15E68FE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TEV/Revenue = EV $10,440M / LTM revenue $224M = 46.6x. Source: stockanalysis.com/stocks/cifr/. Jun 2026.</t>
        </r>
      </text>
    </comment>
    <comment ref="M26" authorId="0" shapeId="0" xr:uid="{1FB1D688-94B9-4AFA-9427-1E804E8018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contracted HPC capacity: 495 MW (Barber Lake site 168 MW + additional pipeline). Source: theblock.co — 'CIFR contracted 495 IT megawatts.' Jun 2026.</t>
        </r>
      </text>
    </comment>
    <comment ref="N26" authorId="0" shapeId="0" xr:uid="{F4D0A85D-C541-40C5-B490-0FE57D9821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revenue per MW ~$0.45M/MW (LTM revenue $224M / 495 MW contracted). Source: CIFR IR estimates. Jun 2026.</t>
        </r>
      </text>
    </comment>
    <comment ref="P26" authorId="0" shapeId="0" xr:uid="{8616F0B4-5048-4F77-8D53-78BDD590D83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levered beta 2.89. Source: stockanalysis.com/stocks/cifr/statistics/ — 'beta 2.89.' Jun 2026.</t>
        </r>
      </text>
    </comment>
    <comment ref="Q26" authorId="0" shapeId="0" xr:uid="{4E335709-46C3-4ED3-ABE3-6A6FF05E14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total debt $500M est. Source: stockanalysis.com/stocks/cifr/statistics/ — D/E 0.25, equity ~$2B = debt ~$500M. Jun 2026.</t>
        </r>
      </text>
    </comment>
    <comment ref="S26" authorId="0" shapeId="0" xr:uid="{529A175B-3083-49EF-98B1-AEE46FC896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CIFR SEC filings.</t>
        </r>
      </text>
    </comment>
    <comment ref="U26" authorId="0" shapeId="0" xr:uid="{96054C7F-3B0D-42BC-B3BF-632B7AF039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equity value (mkt cap) $10,620M. Source: stockanalysis.com/stocks/cifr/market-cap/. Jun 2026.</t>
        </r>
      </text>
    </comment>
    <comment ref="W26" authorId="0" shapeId="0" xr:uid="{43FCCB99-59D6-4606-A2B8-499C0974E4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CIFR SEC filings.</t>
        </r>
      </text>
    </comment>
    <comment ref="X26" authorId="0" shapeId="0" xr:uid="{06A6D776-FFAE-4B25-8CA3-76C027129D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unlevered beta 2.79 (Hamada: levered 2.89, D/E 0.047, tax 21%). Source: stockanalysis.com. Jun 2026.</t>
        </r>
      </text>
    </comment>
    <comment ref="C39" authorId="0" shapeId="0" xr:uid="{CFEBFB3C-13C5-4472-BDB5-09E64F39A4B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mkt cap $9,550M. Source: stockanalysis.com/stocks/snap/market-cap/ — $9.55B as of Jun 5 2026.</t>
        </r>
      </text>
    </comment>
    <comment ref="D39" authorId="0" shapeId="0" xr:uid="{C3AFBF74-A4D2-4E80-9306-8929FABCAE2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EV $11,700M = mkt cap $9,550 + debt $3,536 – cash. Source: stockanalysis.com/stocks/snap/statistics/ — EV $11.70B. Jun 2026.</t>
        </r>
      </text>
    </comment>
    <comment ref="E39" authorId="0" shapeId="0" xr:uid="{FE1FEC46-1BCF-445A-9F2C-0602A8C8035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LTM revenue $5,900M. Source: stockanalysis.com/stocks/snap/statistics/ — 'revenue $6.10B' (using $5.9B FY2025). Snap Q4 2025 8-K. Jun 2026.</t>
        </r>
      </text>
    </comment>
    <comment ref="F39" authorId="0" shapeId="0" xr:uid="{677AB83E-2C42-444A-93D0-18657CB8387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gross margin ~55% (Q4 2025 gross margin 59%; FY blended ~55%). Source: Snap Q4 2025 8-K (SEC) — 'gross margin of 59%.' Feb 2026.</t>
        </r>
      </text>
    </comment>
    <comment ref="G39" authorId="0" shapeId="0" xr:uid="{E09AD42B-A426-40A3-B04F-AD98C63D9F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EBITDA margin 18.77% (Adj. EBITDA $358M Q4 2025). Source: Snap Q4 2025 8-K (SEC). Feb 2026.</t>
        </r>
      </text>
    </comment>
    <comment ref="H39" authorId="0" shapeId="0" xr:uid="{4DB53756-5503-4356-B025-707F6417E9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CapEx % 3.8%. Source: Snap FY2025 cash flow statement (SEC). Jun 2026.</t>
        </r>
      </text>
    </comment>
    <comment ref="I39" authorId="0" shapeId="0" xr:uid="{C6CD2BA2-CE46-458B-B276-A96266582D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3-yr revenue growth ~12% CAGR. Source: Snap Q4 2025 revenue +10% YoY; FY blended ~12%. Feb 2026.</t>
        </r>
      </text>
    </comment>
    <comment ref="J39" authorId="0" shapeId="0" xr:uid="{3B5AD1C0-1A37-4CD1-9294-CCC069A1E4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TEV/Revenue = EV $11,700M / LTM revenue $5,900M = 2.0x. Source: stockanalysis.com/stocks/snap/statistics/. Jun 2026.</t>
        </r>
      </text>
    </comment>
    <comment ref="M39" authorId="0" shapeId="0" xr:uid="{E0DAA6AE-9A1D-4A0D-9645-31AB7F51AE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Daily Active Users (DAU): 453M as of Q4 2024. Source: Snap Q4 2024 8-K (SEC) — 'DAU increased 9% YoY to 453 million.'</t>
        </r>
      </text>
    </comment>
    <comment ref="N39" authorId="0" shapeId="0" xr:uid="{F055339F-16C8-4658-A349-9BCFC51C11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ARPU $11.7/yr (annual revenue per user; $1,716M Q4 rev / 453M DAU annualized). Source: Snap Q4 2025 8-K (SEC). Feb 2026.</t>
        </r>
      </text>
    </comment>
    <comment ref="P39" authorId="0" shapeId="0" xr:uid="{3F3E452C-D549-4DE8-8720-EACE12A329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levered beta 1.05. Source: stockanalysis.com/stocks/snap/statistics/ — 'beta 1.05.' Jun 2026.</t>
        </r>
      </text>
    </comment>
    <comment ref="Q39" authorId="0" shapeId="0" xr:uid="{BCB2FCB6-AFC4-4D2C-AF9D-B925201CD1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total debt $3,536M (long-term debt $3,489M + short-term $47M). Source: Snap Q1 2026 10-Q (SEC). May 2026.</t>
        </r>
      </text>
    </comment>
    <comment ref="S39" authorId="0" shapeId="0" xr:uid="{34E14604-8E0B-4926-865A-AE5361100DD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SNAP SEC filings.</t>
        </r>
      </text>
    </comment>
    <comment ref="U39" authorId="0" shapeId="0" xr:uid="{548F5A12-C5D0-4172-A31A-CF7CBFC0895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equity value (mkt cap) $9,550M. Source: stockanalysis.com/stocks/snap/market-cap/. Jun 2026.</t>
        </r>
      </text>
    </comment>
    <comment ref="W39" authorId="0" shapeId="0" xr:uid="{DF3D2148-1020-457C-8B6C-EEA452E20B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SNAP SEC filings.</t>
        </r>
      </text>
    </comment>
    <comment ref="C40" authorId="0" shapeId="0" xr:uid="{320334CD-0757-441B-B9DC-8AC5E5458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mkt cap $11,580M. Source: stockanalysis.com/stocks/pins/statistics/ — $11.58B. Jun 2026.</t>
        </r>
      </text>
    </comment>
    <comment ref="D40" authorId="0" shapeId="0" xr:uid="{D29EC181-1055-48A8-9642-A26EA3ED0D9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EV $11,480M = mkt cap $11,580 + debt $262 – cash $2,660. Source: stockanalysis.com/stocks/pins/statistics/ — EV $11.48B. Jun 2026.</t>
        </r>
      </text>
    </comment>
    <comment ref="E40" authorId="0" shapeId="0" xr:uid="{54AC6A82-2297-4BB9-8166-8A9C95E38F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LTM revenue $4,370M. Source: stockanalysis.com/stocks/pins/statistics/. Jun 2026.</t>
        </r>
      </text>
    </comment>
    <comment ref="F40" authorId="0" shapeId="0" xr:uid="{7E6263BF-127B-477F-964C-23A22CD930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gross margin ~79% (high-margin ad platform). Source: stockanalysis.com/stocks/pins/statistics/. Jun 2026.</t>
        </r>
      </text>
    </comment>
    <comment ref="G40" authorId="0" shapeId="0" xr:uid="{98F41130-2F76-4225-B0D6-6B14AF4B78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EBITDA margin 29.05%. Source: stockanalysis.com / Pinterest Q1 2026 earnings. Jun 2026.</t>
        </r>
      </text>
    </comment>
    <comment ref="H40" authorId="0" shapeId="0" xr:uid="{75CAAB1C-E57D-4875-AC79-85245ED29D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CapEx % 3.0%. Source: Pinterest FY2025 cash flow statement (SEC). Jun 2026.</t>
        </r>
      </text>
    </comment>
    <comment ref="I40" authorId="0" shapeId="0" xr:uid="{FB3F24BE-208D-46BA-8EB5-C66DF200D08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3-yr revenue growth ~15% CAGR. Source: Pinterest annual filings. Jun 2026.</t>
        </r>
      </text>
    </comment>
    <comment ref="J40" authorId="0" shapeId="0" xr:uid="{6C9197C0-C1A7-407C-B328-9C08CB77A5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TEV/Revenue = EV $11,480M / LTM revenue $4,370M = 2.6x. Source: stockanalysis.com/stocks/pins/statistics/. Jun 2026.</t>
        </r>
      </text>
    </comment>
    <comment ref="M40" authorId="0" shapeId="0" xr:uid="{6E1E30B8-733C-4E88-839C-6369F1B0EE4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Monthly Active Users (MAU): 570M as of Q1 2026. Source: Pinterest Q1 2026 earnings (SEC). May 2026.</t>
        </r>
      </text>
    </comment>
    <comment ref="N40" authorId="0" shapeId="0" xr:uid="{7BFB329C-95B1-4E64-A8A9-D33BF58B0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global ARPU $5.3/yr (annual revenue per MAU; $4,370M / 570M MAU). Source: Pinterest Q1 2026 earnings. Jun 2026.</t>
        </r>
      </text>
    </comment>
    <comment ref="P40" authorId="0" shapeId="0" xr:uid="{6C088DEF-BBB1-4DCB-9472-8EACA716B26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levered beta 0.92. Source: stockanalysis.com/stocks/pins/statistics/ — 'beta 0.92.' Jun 2026.</t>
        </r>
      </text>
    </comment>
    <comment ref="Q40" authorId="0" shapeId="0" xr:uid="{23CA1547-6C9E-4518-A349-BC0A5CE43C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total debt $262M. Source: macroaxis.com / stockanalysis.com PINS — debt $262.02M. Jun 2026.</t>
        </r>
      </text>
    </comment>
    <comment ref="S40" authorId="0" shapeId="0" xr:uid="{8B21D371-BA2F-4E75-9AF2-FECB54BC70C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PINS SEC filings.</t>
        </r>
      </text>
    </comment>
    <comment ref="U40" authorId="0" shapeId="0" xr:uid="{AE444BD4-EA11-4331-BD4E-3C6A7429157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equity value (mkt cap) $11,580M. Source: stockanalysis.com/stocks/pins/. Jun 2026.</t>
        </r>
      </text>
    </comment>
    <comment ref="W40" authorId="0" shapeId="0" xr:uid="{41507C79-79DD-4348-9AF7-66F02FF06F1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PINS SEC filings.</t>
        </r>
      </text>
    </comment>
    <comment ref="C41" authorId="0" shapeId="0" xr:uid="{0E77FC48-83AE-49DF-A24B-76119D71F1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mkt cap $35,400M. Source: Yahoo Finance RDDT — Market Cap 35.40B as of Jun 4 2026.</t>
        </r>
      </text>
    </comment>
    <comment ref="D41" authorId="0" shapeId="0" xr:uid="{AF888BD0-802F-45DC-82A0-670AA955BF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EV $32,650M = mkt cap $35,400 – cash $2,770 + debt $17. Source: Yahoo Finance RDDT — EV $32.65B. Jun 2026.</t>
        </r>
      </text>
    </comment>
    <comment ref="E41" authorId="0" shapeId="0" xr:uid="{0723F922-A975-480D-BA6A-CEACB05E3F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LTM revenue $2,474M. Source: Yahoo Finance RDDT — Revenue (ttm) $2.47B. Jun 2026.</t>
        </r>
      </text>
    </comment>
    <comment ref="F41" authorId="0" shapeId="0" xr:uid="{69AD7DA0-F764-4770-815B-0C3FF05A2EC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gross margin ~91% (asset-light social platform). Source: stockanalysis.com / Yahoo Finance RDDT. Jun 2026.</t>
        </r>
      </text>
    </comment>
    <comment ref="G41" authorId="0" shapeId="0" xr:uid="{B3A66BEC-B899-42F7-9709-6994CEF7194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EBITDA margin ~38% (rapidly scaling profitability). Source: Yahoo Finance RDDT — EV/EBITDA 51.25x implies ~$637M EBITDA. Jun 2026.</t>
        </r>
      </text>
    </comment>
    <comment ref="H41" authorId="0" shapeId="0" xr:uid="{A3427532-6257-4209-AA25-6205A4B16C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CapEx % 2.5% (asset-light). Source: Reddit FY2025 cash flow statement (SEC). Jun 2026.</t>
        </r>
      </text>
    </comment>
    <comment ref="I41" authorId="0" shapeId="0" xr:uid="{ED82E73F-EC7A-4417-A633-BF55A76D23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3-yr revenue growth ~69% CAGR (fastest-growing social platform). Source: Reddit annual filings / analyst consensus. Jun 2026.</t>
        </r>
      </text>
    </comment>
    <comment ref="J41" authorId="0" shapeId="0" xr:uid="{4243E2A8-1828-4B15-BA8D-B57555B1D6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TEV/Revenue = EV $32,650M / LTM revenue $2,474M = 13.2x. Source: Yahoo Finance RDDT — EV/Revenue 13.20x. Jun 2026.</t>
        </r>
      </text>
    </comment>
    <comment ref="M41" authorId="0" shapeId="0" xr:uid="{5C52A185-03A0-4362-8DE1-9E87602E662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Daily Active Uniques (DAU): 97M (using daily active; weekly ~108M+). Source: Reddit Q1 2026 earnings (SEC). May 2026.</t>
        </r>
      </text>
    </comment>
    <comment ref="N41" authorId="0" shapeId="0" xr:uid="{0CEA8CD0-B509-4C2D-823A-77E372BEF5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ARPU $25.5/yr (annual revenue per DAU; $2,474M / 97M DAU). Source: Reddit Q1 2026 earnings. Jun 2026.</t>
        </r>
      </text>
    </comment>
    <comment ref="P41" authorId="0" shapeId="0" xr:uid="{2FABC96D-066A-4438-9891-5EF16B7F85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levered beta 0.80. Source: Yahoo Finance RDDT — beta ~0.80. Jun 2026.</t>
        </r>
      </text>
    </comment>
    <comment ref="Q41" authorId="0" shapeId="0" xr:uid="{62F6D372-31BA-4D67-BF46-771AB75BD36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total debt $17M (minimal; primarily lease obligations). Source: Yahoo Finance RDDT — Total Debt/Equity 0.67%. Jun 2026.</t>
        </r>
      </text>
    </comment>
    <comment ref="S41" authorId="0" shapeId="0" xr:uid="{45863B38-DC3A-408B-9D30-BBCE7D4A14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 (post-IPO). Source: RDDT SEC filings.</t>
        </r>
      </text>
    </comment>
    <comment ref="U41" authorId="0" shapeId="0" xr:uid="{C069F52F-2506-4AF3-824D-58D52FE4ED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equity value (mkt cap) $35,400M. Source: Yahoo Finance RDDT. Jun 2026.</t>
        </r>
      </text>
    </comment>
    <comment ref="W41" authorId="0" shapeId="0" xr:uid="{DE4D7A40-E13A-4A9F-B3B2-E45D08D1BB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RDDT SEC filings.</t>
        </r>
      </text>
    </comment>
    <comment ref="C43" authorId="0" shapeId="0" xr:uid="{C61BC257-F3EF-48B9-A201-65345A3213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mkt cap $8,360M. Source: stockanalysis.com/stocks/mtch/statistics/ — $8.36B. Jun 2026.</t>
        </r>
      </text>
    </comment>
    <comment ref="D43" authorId="0" shapeId="0" xr:uid="{9A42C5BB-3670-426A-9C58-378EB8F439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EV $11,370M = mkt cap $8,360 + debt $4,000 – cash $1,020. Source: stockanalysis.com/stocks/mtch/statistics/ — EV $11.37B. Jun 2026.</t>
        </r>
      </text>
    </comment>
    <comment ref="E43" authorId="0" shapeId="0" xr:uid="{1C60D1B5-6525-4B26-BE3A-A5748C46A50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LTM revenue $3,520M. Source: stockanalysis.com/stocks/mtch/statistics/ — 'revenue $3.52B.' Jun 2026.</t>
        </r>
      </text>
    </comment>
    <comment ref="F43" authorId="0" shapeId="0" xr:uid="{27725088-4031-4B0F-89B9-3FFDD11AB4A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gross margin ~74% (dating app subscriptions). Source: stockanalysis.com/stocks/mtch/statistics/. Jun 2026.</t>
        </r>
      </text>
    </comment>
    <comment ref="G43" authorId="0" shapeId="0" xr:uid="{48926C41-6833-4680-B171-A673D82F50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EBITDA margin ~38% (Tinder + Hinge subscriptions; EV/EBITDA 10.27x). Source: stockanalysis.com/stocks/mtch/statistics/. Jun 2026.</t>
        </r>
      </text>
    </comment>
    <comment ref="H43" authorId="0" shapeId="0" xr:uid="{C2BCF4C9-58CF-4989-A829-B52D1D8C2C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CapEx % 4.0%. Source: Match Group FY2025 cash flow statement (SEC). Jun 2026.</t>
        </r>
      </text>
    </comment>
    <comment ref="I43" authorId="0" shapeId="0" xr:uid="{9E1B0A12-AE80-46B5-8FE4-F55AC51264F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3-yr revenue growth ~2% CAGR (mature dating market; Hinge growth offset by Tinder decline). Source: Match Group filings. Jun 2026.</t>
        </r>
      </text>
    </comment>
    <comment ref="J43" authorId="0" shapeId="0" xr:uid="{368F5783-9894-4CC9-A58A-C36B0EA6E0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TEV/Revenue = EV $11,370M / LTM revenue $3,520M = 3.2x. Source: stockanalysis.com/stocks/mtch/statistics/. Jun 2026.</t>
        </r>
      </text>
    </comment>
    <comment ref="M43" authorId="0" shapeId="0" xr:uid="{4C40F0E3-3966-43A5-A07A-EFE036D7EF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Payers: ~65M est. (Tinder + Hinge + other brands paying subscribers). Source: Match Group Q1 2026 earnings (SEC). May 2026.</t>
        </r>
      </text>
    </comment>
    <comment ref="N43" authorId="0" shapeId="0" xr:uid="{13851E73-CD91-43CC-B4AB-26F1B505302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RPP (revenue per payer) ~$54.2/yr (Match reports RPP not ARPU; $3,520M / 65M payers). Source: Match Group Q1 2026 earnings. Jun 2026.</t>
        </r>
      </text>
    </comment>
    <comment ref="P43" authorId="0" shapeId="0" xr:uid="{84A1D23A-8024-4E74-BF2E-E95777B70BF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levered beta 1.36. Source: stockanalysis.com/stocks/mtch/statistics/ — 'beta 1.36.' Jun 2026.</t>
        </r>
      </text>
    </comment>
    <comment ref="Q43" authorId="0" shapeId="0" xr:uid="{AC7613CF-393C-41E4-AAE0-30BCD463B98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total debt $4,000M (all fixed-rate, incl. $1B exchangeable notes). Source: Match Group FY2025 8-K (SEC) — '$4.0B of long-term debt.' Feb 2026.</t>
        </r>
      </text>
    </comment>
    <comment ref="S43" authorId="0" shapeId="0" xr:uid="{0479BA30-2288-46A2-94A2-28B85BDB48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MTCH SEC filings.</t>
        </r>
      </text>
    </comment>
    <comment ref="U43" authorId="0" shapeId="0" xr:uid="{9D9149E1-4859-49D7-91A1-0D999A09AD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equity value (mkt cap) $8,360M. Source: stockanalysis.com/stocks/mtch/statistics/. Jun 2026.</t>
        </r>
      </text>
    </comment>
    <comment ref="W43" authorId="0" shapeId="0" xr:uid="{CEFDE96A-88A6-4842-B34B-3033071AF96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+ state tax ~23%. Source: Match Group FY2025 10-K (SEC) — effective rate ~23%.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6" authorId="0" shapeId="0" xr:uid="{2A44129D-4C3C-4901-9D4E-24AFDB7E6CD9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 — Note 19 Segments (FY2023-2025 annual). Total revenue from Consolidated Statement of Operations. FY26-28E columns link live to the segment DCF tabs.</t>
        </r>
      </text>
    </comment>
    <comment ref="B20" authorId="0" shapeId="0" xr:uid="{305A3D28-A0B7-4FE1-9AD4-C01886E6575E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Q1 2026 actuals from SpaceX S-1 Note 18 (Three Months Ended March 31, 2026). Q2–Q4 2026E are estimates phased from the annual FY2026E forecast (weights 32%/34%/34% of the remaining full-year amount after Q1). Replace each Q with actuals as reported; the FY check column confirms quarters sum to the annual estimate.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7" authorId="0" shapeId="0" xr:uid="{7B8D3E70-2CD0-4238-B0A8-B2EE3742D4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FY2023. Source: sec.gov SpaceX S-1.</t>
        </r>
      </text>
    </comment>
    <comment ref="C7" authorId="0" shapeId="0" xr:uid="{4DEA3C10-DF93-47EE-8E25-C095EEFEC9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FY2024.</t>
        </r>
      </text>
    </comment>
    <comment ref="D7" authorId="0" shapeId="0" xr:uid="{1BB6CEC1-D259-4D48-B80B-6A701B7450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FY2025.</t>
        </r>
      </text>
    </comment>
    <comment ref="E7" authorId="0" shapeId="0" xr:uid="{772AA119-4B43-4023-B8B0-EE6DC5D38C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F-64: Total revenues Q1 2025 (unaudited).</t>
        </r>
      </text>
    </comment>
    <comment ref="F7" authorId="0" shapeId="0" xr:uid="{8FCFC729-2DAE-4438-A707-DA0B692E2B8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F-64: Total revenues Q1 2026 (unaudited).</t>
        </r>
      </text>
    </comment>
    <comment ref="D105" authorId="0" shapeId="0" xr:uid="{FAF6D730-058F-4572-A902-F491DD43A7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S-1: Total backlog $28,377M as of Dec 31, 2025. ~32% recognized within 1 yr, ~53% in 2027-2028, ~15% thereafter.</t>
        </r>
      </text>
    </comment>
    <comment ref="D106" authorId="0" shapeId="0" xr:uid="{46D084EE-C9FF-42DD-B481-86F9EB0924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S-1: Total deferred revenue $12,116M as of Dec 31, 2025.</t>
        </r>
      </text>
    </comment>
  </commentList>
</comments>
</file>

<file path=xl/sharedStrings.xml><?xml version="1.0" encoding="utf-8"?>
<sst xmlns="http://schemas.openxmlformats.org/spreadsheetml/2006/main" count="1880" uniqueCount="791">
  <si>
    <t>Revenue ($M)</t>
  </si>
  <si>
    <t>Total Revenue ($M)</t>
  </si>
  <si>
    <t>Company</t>
  </si>
  <si>
    <t>Multiple</t>
  </si>
  <si>
    <t>May 2026  |  Sum-of-the-Parts Segment WACCs  |  $M</t>
  </si>
  <si>
    <t xml:space="preserve">  MACRO INPUTS</t>
  </si>
  <si>
    <t>Item</t>
  </si>
  <si>
    <t>Value</t>
  </si>
  <si>
    <t>Note</t>
  </si>
  <si>
    <t>Risk-Free Rate (10Y US Treasury)</t>
  </si>
  <si>
    <t>US Treasury, Jun 2026</t>
  </si>
  <si>
    <t>Equity Risk Premium</t>
  </si>
  <si>
    <t>Damodaran Jan 2026 (US ERP)</t>
  </si>
  <si>
    <t>Tax Rate</t>
  </si>
  <si>
    <t>US statutory; SpaceX has large NOL carryforwards</t>
  </si>
  <si>
    <t xml:space="preserve">  COMPARABLE COMPANY BETA DERIVATION</t>
  </si>
  <si>
    <t>Levered β</t>
  </si>
  <si>
    <t>D/E Ratio</t>
  </si>
  <si>
    <t>Unlevered β</t>
  </si>
  <si>
    <t>Segment</t>
  </si>
  <si>
    <t>Iridium Communications (IRDM)</t>
  </si>
  <si>
    <t>Space / Connectivity</t>
  </si>
  <si>
    <t>Viasat (VSAT)</t>
  </si>
  <si>
    <t>Maxar Technologies</t>
  </si>
  <si>
    <t>Space</t>
  </si>
  <si>
    <t>Rocket Lab (RKLB)</t>
  </si>
  <si>
    <t>Space / Launch</t>
  </si>
  <si>
    <t>Meta Platforms (META)</t>
  </si>
  <si>
    <t>AI / Social</t>
  </si>
  <si>
    <t>Alphabet (GOOGL)</t>
  </si>
  <si>
    <t>AI / Infrastructure</t>
  </si>
  <si>
    <t>CoreWeave (CRWV)</t>
  </si>
  <si>
    <t>AI Infrastructure</t>
  </si>
  <si>
    <t>Selected Unlevered β</t>
  </si>
  <si>
    <t>Rationale</t>
  </si>
  <si>
    <t>Connectivity (Starlink)</t>
  </si>
  <si>
    <t>Space (Launch)</t>
  </si>
  <si>
    <t>AI (X + xAI)</t>
  </si>
  <si>
    <t xml:space="preserve">  COST OF EQUITY BY SEGMENT</t>
  </si>
  <si>
    <t>Connectivity</t>
  </si>
  <si>
    <t>AI</t>
  </si>
  <si>
    <t>Formula</t>
  </si>
  <si>
    <t>Target D/E (post-IPO est.)</t>
  </si>
  <si>
    <t>Based on Dec 2025 debt / est. post-IPO market cap by seg</t>
  </si>
  <si>
    <t>Relevered β</t>
  </si>
  <si>
    <t>βL = βU × (1 + (1-t) × D/E)</t>
  </si>
  <si>
    <t>Cost of Equity (CAPM)</t>
  </si>
  <si>
    <t xml:space="preserve">  COST OF DEBT</t>
  </si>
  <si>
    <t>Pre-Tax Cost of Debt</t>
  </si>
  <si>
    <t>Based on SpaceX credit facility + X debt yields, Jun 2026</t>
  </si>
  <si>
    <t>After-Tax Cost of Debt</t>
  </si>
  <si>
    <t>Kd × (1-t)</t>
  </si>
  <si>
    <t xml:space="preserve">  WACC CALCULATION</t>
  </si>
  <si>
    <t>Equity Weight</t>
  </si>
  <si>
    <t>E/(E+D) = 1/(1+D/E)</t>
  </si>
  <si>
    <t>Debt Weight</t>
  </si>
  <si>
    <t>D/(E+D) = (D/E)/(1+D/E)</t>
  </si>
  <si>
    <t>WACC</t>
  </si>
  <si>
    <t>WACC = Ke×We + Kd×Wd</t>
  </si>
  <si>
    <t xml:space="preserve">  WACC SUMMARY (referenced by DCF sheets)</t>
  </si>
  <si>
    <t>Terminal Growth (Base)</t>
  </si>
  <si>
    <t>SCENARIO SELECTOR</t>
  </si>
  <si>
    <t>(1 = Bear  |  2 = Base  |  3 = Bull)</t>
  </si>
  <si>
    <t xml:space="preserve">  BEAR CASE ASSUMPTIONS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</si>
  <si>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</si>
  <si>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</si>
  <si>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</si>
  <si>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</si>
  <si>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</si>
  <si>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</si>
  <si>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</si>
  <si>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</si>
  <si>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</si>
  <si>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</si>
  <si>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</si>
  <si>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</si>
  <si>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</si>
  <si>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Revenue Growth % (YoY)</t>
  </si>
  <si>
    <t>EBITDA Margin %</t>
  </si>
  <si>
    <t>D&amp;A % of Revenue</t>
  </si>
  <si>
    <t>Capex % of Revenue</t>
  </si>
  <si>
    <t>ΔNW Cap % of ΔRevenue</t>
  </si>
  <si>
    <t>Terminal Growth Rate</t>
  </si>
  <si>
    <t xml:space="preserve">  BASE CASE ASSUMPTIONS</t>
  </si>
  <si>
    <t xml:space="preserve">  BULL CASE ASSUMPTIONS</t>
  </si>
  <si>
    <t xml:space="preserve">  SELECTED CASE ASSUMPTIONS  (auto-updates with Scenario Selector)</t>
  </si>
  <si>
    <t xml:space="preserve">  CONNECTIVITY SEGMENT — INCOME STATEMENT &amp; FREE CASH FLOW  ($M)</t>
  </si>
  <si>
    <t>Revenue</t>
  </si>
  <si>
    <t xml:space="preserve">  % YoY Growth</t>
  </si>
  <si>
    <t>—</t>
  </si>
  <si>
    <t>EBITDA</t>
  </si>
  <si>
    <t xml:space="preserve">  EBITDA Margin %</t>
  </si>
  <si>
    <t>Depreciation &amp; Amortization</t>
  </si>
  <si>
    <t>EBIT (EBITDA − D&amp;A)</t>
  </si>
  <si>
    <t xml:space="preserve">  EBIT Margin %</t>
  </si>
  <si>
    <t xml:space="preserve">  (–) Tax on EBIT (NOL-adjusted)</t>
  </si>
  <si>
    <t>NOPAT</t>
  </si>
  <si>
    <t xml:space="preserve">  (+) D&amp;A</t>
  </si>
  <si>
    <t xml:space="preserve">  (–) Capital Expenditures</t>
  </si>
  <si>
    <t xml:space="preserve">  (–) Increase in Net Working Capital</t>
  </si>
  <si>
    <t>Unlevered Free Cash Flow</t>
  </si>
  <si>
    <t xml:space="preserve">  FCF Margin %</t>
  </si>
  <si>
    <t xml:space="preserve">  DCF — DISCOUNT FACTORS &amp; PRESENT VALUES  (Mid-Year Convention)</t>
  </si>
  <si>
    <t>Discount Period (mid-year)</t>
  </si>
  <si>
    <t>Discount Factor</t>
  </si>
  <si>
    <t>Unlevered FCF ($M)</t>
  </si>
  <si>
    <t>PV of FCF ($M)</t>
  </si>
  <si>
    <t xml:space="preserve">  TERMINAL VALUE</t>
  </si>
  <si>
    <t>Gordon Growth Model</t>
  </si>
  <si>
    <t xml:space="preserve">  Terminal Year FCF ($M)</t>
  </si>
  <si>
    <t xml:space="preserve">  Terminal FCF × (1+g)</t>
  </si>
  <si>
    <t xml:space="preserve">  Terminal Value (Gordon Growth)</t>
  </si>
  <si>
    <t xml:space="preserve">  PV of Terminal Value (Gordon Growth)</t>
  </si>
  <si>
    <t>EV/EBITDA Exit Multiple Method</t>
  </si>
  <si>
    <t xml:space="preserve">  Terminal Year EBITDA ($M)</t>
  </si>
  <si>
    <t xml:space="preserve">  Terminal Value (Exit Multiple)</t>
  </si>
  <si>
    <t xml:space="preserve">  PV of Terminal Value (Exit Multiple)</t>
  </si>
  <si>
    <t xml:space="preserve">  CONNECTIVITY SEGMENT VALUATION SUMMARY</t>
  </si>
  <si>
    <t>Gordon Growth</t>
  </si>
  <si>
    <t>Exit Multiple</t>
  </si>
  <si>
    <t>Sum of PV of FCFs ($M)</t>
  </si>
  <si>
    <t>PV of Terminal Value ($M)</t>
  </si>
  <si>
    <t>Enterprise Value ($M)</t>
  </si>
  <si>
    <t>TV % of Enterprise Value</t>
  </si>
  <si>
    <t xml:space="preserve">  SENSITIVITY ANALYSIS — CONNECTIVITY SEGMENT EV ($M)</t>
  </si>
  <si>
    <t>Table 1: EV ($M) — WACC vs. Terminal Growth Rate (Gordon Growth)</t>
  </si>
  <si>
    <t>↑ WACC \ Terminal g →</t>
  </si>
  <si>
    <t>↑ WACC \ Exit Multiple →</t>
  </si>
  <si>
    <t xml:space="preserve">  SELECTED CASE ASSUMPTIONS</t>
  </si>
  <si>
    <t xml:space="preserve">  SPACE SEGMENT — INCOME STATEMENT &amp; FREE CASH FLOW  ($M)</t>
  </si>
  <si>
    <t xml:space="preserve">  (–) Tax on EBIT</t>
  </si>
  <si>
    <t xml:space="preserve">  Terminal FCF ($M)</t>
  </si>
  <si>
    <t xml:space="preserve">  SPACE SEGMENT VALUATION SUMMARY</t>
  </si>
  <si>
    <t xml:space="preserve">  SENSITIVITY ANALYSIS — SPACE SEGMENT EV ($M)</t>
  </si>
  <si>
    <t>↑ WACC \ Tg →</t>
  </si>
  <si>
    <t>Table 2: EV ($M) — WACC vs. EV/EBITDA Exit Multiple</t>
  </si>
  <si>
    <t>↑ WACC \ Multiple →</t>
  </si>
  <si>
    <t>⚠  AI segment includes X (social/advertising), xAI (Grok/models), and compute infrastructure.  Op losses reflect heavy investment phase; TV captures mature-state value.</t>
  </si>
  <si>
    <t xml:space="preserve">  AI SEGMENT — INCOME STATEMENT &amp; FREE CASH FLOW  ($M)</t>
  </si>
  <si>
    <t xml:space="preserve"> </t>
  </si>
  <si>
    <t>EV/Revenue Exit Multiple Method (preferred for pre-profit businesses)</t>
  </si>
  <si>
    <t xml:space="preserve">  Terminal Year Revenue ($M)</t>
  </si>
  <si>
    <t xml:space="preserve">  Terminal Value (Exit EV/Rev)</t>
  </si>
  <si>
    <t xml:space="preserve">  PV of Terminal Value (Exit EV/Rev)</t>
  </si>
  <si>
    <t xml:space="preserve">  AI SEGMENT VALUATION SUMMARY</t>
  </si>
  <si>
    <t xml:space="preserve">  SENSITIVITY ANALYSIS — AI SEGMENT EV ($M)</t>
  </si>
  <si>
    <t>Table 2: EV ($M) — WACC vs. EV/Revenue Exit Multiple</t>
  </si>
  <si>
    <t>↑ WACC \ EV/Rev →</t>
  </si>
  <si>
    <t>Sum-of-the-Parts DCF Valuation  |  S-1 Filed May 20, 2026  |  $ in Millions (except per share)</t>
  </si>
  <si>
    <t xml:space="preserve">  SEGMENT ENTERPRISE VALUE SUMMARY  ($M)</t>
  </si>
  <si>
    <t>Avg / Selected EV</t>
  </si>
  <si>
    <t>% of Total SOTP</t>
  </si>
  <si>
    <t>Space (Launch + Starship)</t>
  </si>
  <si>
    <t>AI (X / xAI / Grok)</t>
  </si>
  <si>
    <t>Total Enterprise Value (SOTP)</t>
  </si>
  <si>
    <t>Average</t>
  </si>
  <si>
    <t xml:space="preserve">  (–) Total Debt &amp; Finance Leases</t>
  </si>
  <si>
    <t xml:space="preserve">  (+) Cash &amp; Marketable Securities</t>
  </si>
  <si>
    <t xml:space="preserve">  (–) Redeemable Preferred Stock</t>
  </si>
  <si>
    <t xml:space="preserve">  Post-IPO Preferred Conversion Adjustment</t>
  </si>
  <si>
    <t>Equity Value</t>
  </si>
  <si>
    <t xml:space="preserve">  IMPLIED PRICE PER SHARE  (Post-IPO Fully Diluted)</t>
  </si>
  <si>
    <t xml:space="preserve">  SOTP COMPONENT BREAKDOWN  ($M)</t>
  </si>
  <si>
    <t>EV (Avg)</t>
  </si>
  <si>
    <t>Per Share (Basic)</t>
  </si>
  <si>
    <t>% of Total EV</t>
  </si>
  <si>
    <t>Segment WACC</t>
  </si>
  <si>
    <t>Key Value Driver</t>
  </si>
  <si>
    <t>Subscriber growth + enterprise adoption; 63%+ EBITDA margins</t>
  </si>
  <si>
    <t>Starship cost curve + reusability; long-term capex normalization</t>
  </si>
  <si>
    <t>AI (X / xAI)</t>
  </si>
  <si>
    <t>Grok monetization + compute infra; margin ramp from -39% to +46%</t>
  </si>
  <si>
    <t>Total</t>
  </si>
  <si>
    <t xml:space="preserve">  KEY METRICS SNAPSHOT  (FY2025 Actuals  |  Source: SpaceX S-1)</t>
  </si>
  <si>
    <t>Metric</t>
  </si>
  <si>
    <t>Q1 2026</t>
  </si>
  <si>
    <t>S-1 Consolidated Statements of Operations</t>
  </si>
  <si>
    <t xml:space="preserve">  Connectivity ($M)</t>
  </si>
  <si>
    <t>Starlink Consumer + Enterprise/Gov't</t>
  </si>
  <si>
    <t xml:space="preserve">  Space ($M)</t>
  </si>
  <si>
    <t>Launch Services + Launch &amp; Development</t>
  </si>
  <si>
    <t xml:space="preserve">  AI ($M)</t>
  </si>
  <si>
    <t>X advertising + AI Solutions &amp; Infrastructure</t>
  </si>
  <si>
    <t>Total Capex ($M)</t>
  </si>
  <si>
    <t>Massive AI infra build (xAI: $12.7B in 2025)</t>
  </si>
  <si>
    <t>Operating Cash Flow ($M)</t>
  </si>
  <si>
    <t>Net Income (Loss) ($M)</t>
  </si>
  <si>
    <t>R&amp;D ($8.6B) + AI losses dominate 2025</t>
  </si>
  <si>
    <t>Connectivity EBITDA Margin</t>
  </si>
  <si>
    <t>From S-1 Segment Adjusted EBITDA disclosure</t>
  </si>
  <si>
    <t xml:space="preserve">  Terminal Growth Rate  →</t>
  </si>
  <si>
    <t>Connectivity WACC  ↓</t>
  </si>
  <si>
    <t>Table 2: Total SOTP Enterprise Value ($B) — Connectivity WACC vs. Terminal Growth Rate (Base Case)</t>
  </si>
  <si>
    <t>3-Segment SOTP  (Connectivity + Space + AI)  |  10-Year Explicit DCF  |  S-1 Filed May 20, 2026  |  $ in Millions (except per share)</t>
  </si>
  <si>
    <t xml:space="preserve">  ① ENTER PRICE TO SEE UPSIDE / DOWNSIDE</t>
  </si>
  <si>
    <t>Current / IPO Share Price ($)</t>
  </si>
  <si>
    <t>← Enter the IPO / current trading price here</t>
  </si>
  <si>
    <t xml:space="preserve">  ② VALUATION SUMMARY  (Base Case)</t>
  </si>
  <si>
    <t>Total SOTP Enterprise Value ($M)</t>
  </si>
  <si>
    <t xml:space="preserve">  Connectivity Segment EV ($M)</t>
  </si>
  <si>
    <t>83% of avg SOTP EV</t>
  </si>
  <si>
    <t xml:space="preserve">  Space Segment EV ($M)</t>
  </si>
  <si>
    <t>9% of avg SOTP EV</t>
  </si>
  <si>
    <t xml:space="preserve">  AI Segment EV ($M)</t>
  </si>
  <si>
    <t>8% of avg SOTP EV — wide range</t>
  </si>
  <si>
    <t>Equity Value ($M)</t>
  </si>
  <si>
    <t>After debt, cash, pref conversion</t>
  </si>
  <si>
    <t xml:space="preserve">  Implied Share Price</t>
  </si>
  <si>
    <t>Shares Basis</t>
  </si>
  <si>
    <t>Current / IPO Price</t>
  </si>
  <si>
    <t>Implied Upside / (Downside)</t>
  </si>
  <si>
    <t xml:space="preserve">  ④ SCENARIO SELECTORS  (1=Bear, 2=Base, 3=Bull — changes all 3 segment DCFs simultaneously)</t>
  </si>
  <si>
    <t>Scenario (1/2/3)</t>
  </si>
  <si>
    <t>Selected</t>
  </si>
  <si>
    <t>Method</t>
  </si>
  <si>
    <t>Gordon Growth (Perpetuity)</t>
  </si>
  <si>
    <t>Changes with Scenario Selector (B28:B30 above)</t>
  </si>
  <si>
    <t>Average (Gordon &amp; Exit)</t>
  </si>
  <si>
    <t>WACC \ Term. Growth</t>
  </si>
  <si>
    <t xml:space="preserve">  ⑦ KEY SEGMENT FINANCIALS  (FY2025 Actuals  |  Source: SpaceX S-1)</t>
  </si>
  <si>
    <t>Metric ($M)</t>
  </si>
  <si>
    <t>Q1 2026A</t>
  </si>
  <si>
    <t>Total Revenue</t>
  </si>
  <si>
    <t xml:space="preserve">  Connectivity Revenue</t>
  </si>
  <si>
    <t xml:space="preserve">  Space Revenue</t>
  </si>
  <si>
    <t xml:space="preserve">  AI Revenue</t>
  </si>
  <si>
    <t>Connectivity Op. Income</t>
  </si>
  <si>
    <t>Space Op. Income</t>
  </si>
  <si>
    <t>AI Op. Income</t>
  </si>
  <si>
    <t>Total Operating Cash Flow</t>
  </si>
  <si>
    <t>Total Capex</t>
  </si>
  <si>
    <t>Net Income (Loss)</t>
  </si>
  <si>
    <t xml:space="preserve">  ⑤ VALUATION SUMMARY  (Implied Price/Share, Basic  |  Selected Scenario)</t>
  </si>
  <si>
    <t>Source</t>
  </si>
  <si>
    <t>n/a</t>
  </si>
  <si>
    <t>Common Shares — Basic (Class A+B+C, S-1 Q1'26)</t>
  </si>
  <si>
    <t>Total Shares — Fully Diluted, Post-IPO</t>
  </si>
  <si>
    <t>Implied Price/Share — on Basic (understates)</t>
  </si>
  <si>
    <t>Implied Price/Share — Fully Diluted (primary)</t>
  </si>
  <si>
    <t>Basic — Common only (5,798M)</t>
  </si>
  <si>
    <t>Understates: excludes converted pref + xAI shares</t>
  </si>
  <si>
    <t>Fully Diluted, Post-IPO (12,960M)</t>
  </si>
  <si>
    <t>★ Reconciled to actual $135 IPO / $1.75T — primary metric</t>
  </si>
  <si>
    <t xml:space="preserve">  ③ UPSIDE / (DOWNSIDE) vs. ENTERED PRICE  (Fully-Diluted shares — primary)</t>
  </si>
  <si>
    <t>Our Implied Price (Fully-Diluted)</t>
  </si>
  <si>
    <t>FY2036E</t>
  </si>
  <si>
    <t>FY2037E</t>
  </si>
  <si>
    <t>FY2038E</t>
  </si>
  <si>
    <t>FY2039E</t>
  </si>
  <si>
    <t>FY2040E</t>
  </si>
  <si>
    <t>FY2041E</t>
  </si>
  <si>
    <t>FY2042E</t>
  </si>
  <si>
    <t>FY2043E</t>
  </si>
  <si>
    <t>FY2044E</t>
  </si>
  <si>
    <t>FY2045E</t>
  </si>
  <si>
    <t>Table 2: EV ($M) — Terminal EBITDA Margin vs. EV/EBITDA Exit Multiple (Exit Method)</t>
  </si>
  <si>
    <t>↑ Term. EBITDA Mgn \ Exit Mult →</t>
  </si>
  <si>
    <t>Table 3: EV ($M) — WACC vs. EV/EBITDA Exit Multiple (Exit Method)</t>
  </si>
  <si>
    <t>S-1 Filed May 20, 2026  |  20-Year Explicit Forecast FY2026E–FY2045E  |  $ in Millions</t>
  </si>
  <si>
    <t>EV/Revenue (Primary)</t>
  </si>
  <si>
    <t>Gordon (Cross-Check)</t>
  </si>
  <si>
    <t>Method 1 EV ¹</t>
  </si>
  <si>
    <t>Method 2 EV ²</t>
  </si>
  <si>
    <t>² Method 2 = EV/EBITDA Exit Multiple for Connectivity &amp; Space; Gordon Growth (cross-check only) for AI.</t>
  </si>
  <si>
    <t>¹ Method 1 = Gordon Growth (perpetuity) for Connectivity &amp; Space; EV/Revenue multiple (PRIMARY) for AI — Gordon distorts on AI's loss-making early FCF.</t>
  </si>
  <si>
    <t xml:space="preserve">  CONNECTIVITY — BOTTOM-UP OPERATING DRIVERS  (cross-check vs top-down revenue above)</t>
  </si>
  <si>
    <t>Driver</t>
  </si>
  <si>
    <t>Addressable Rural Households (M)</t>
  </si>
  <si>
    <t>Market Penetration %</t>
  </si>
  <si>
    <t>Subscribers (M)</t>
  </si>
  <si>
    <t>Monthly ARPU ($)</t>
  </si>
  <si>
    <t>Consumer Revenue ($M)</t>
  </si>
  <si>
    <t>Commercial + Enterprise + Gov't Rev ($M)</t>
  </si>
  <si>
    <t xml:space="preserve">  (growth % YoY)</t>
  </si>
  <si>
    <t>Total Bottom-Up Revenue ($M)</t>
  </si>
  <si>
    <t>Top-Down Revenue (row 48) ($M)</t>
  </si>
  <si>
    <t xml:space="preserve">  Bottom-Up vs Top-Down Variance %</t>
  </si>
  <si>
    <t xml:space="preserve">  AI — BOTTOM-UP OPERATING DRIVERS  (capacity-based, cross-check vs top-down revenue above)</t>
  </si>
  <si>
    <t>Global AI Data-Center Capacity (GW)</t>
  </si>
  <si>
    <t>SpaceX Market Share %</t>
  </si>
  <si>
    <t>SpaceX Capacity (MW)</t>
  </si>
  <si>
    <t>Compute Revenue per MW ($M/yr)</t>
  </si>
  <si>
    <t>Compute Revenue ($M)</t>
  </si>
  <si>
    <t>X / Grok / Other AI Rev ($M)</t>
  </si>
  <si>
    <t>Top-Down Revenue (row 49) ($M)</t>
  </si>
  <si>
    <t xml:space="preserve">  SPACE — BOTTOM-UP OPERATING DRIVERS  (launch-based, cross-check vs top-down revenue above)</t>
  </si>
  <si>
    <t>External Launches per Day</t>
  </si>
  <si>
    <t>External Launches per Year</t>
  </si>
  <si>
    <t>Revenue per Launch ($M)</t>
  </si>
  <si>
    <t>Launch Services Revenue ($M)</t>
  </si>
  <si>
    <t>Dragon + Dev Contracts Rev ($M)</t>
  </si>
  <si>
    <t>Segment EV Contribution ($B)</t>
  </si>
  <si>
    <t>Avg EV ($B)</t>
  </si>
  <si>
    <t>Valuation Comparison — All Sources ($B)</t>
  </si>
  <si>
    <t>Equity/EV Value ($B)</t>
  </si>
  <si>
    <t>M&amp;I SOTP</t>
  </si>
  <si>
    <t>Morningstar</t>
  </si>
  <si>
    <t>IPO ($135)</t>
  </si>
  <si>
    <t>ARK (2030 FV)</t>
  </si>
  <si>
    <t>Layer</t>
  </si>
  <si>
    <t>Value ($B)</t>
  </si>
  <si>
    <t>Cumulative ($B)</t>
  </si>
  <si>
    <t>Our DCF Intrinsic Equity (avg)</t>
  </si>
  <si>
    <t>20-yr SOTP DCF, base case — validated by M&amp;I ($429B) &amp; Morningstar ($780B)</t>
  </si>
  <si>
    <t>xAI/Grok priced at ~$250B in Feb'26 deal vs our ~$64B DCF — market optionality premium</t>
  </si>
  <si>
    <t>S-1 AI compute-in-space thesis; not in our cash-flow base</t>
  </si>
  <si>
    <t>ARK/Mach33 value Mars by accumulated book value; long-dated optionality</t>
  </si>
  <si>
    <t>Semiconductor fab ($119B, Sacra); not modeled in base</t>
  </si>
  <si>
    <t>Residual — 2x oversubscribed IPO, Nasdaq fast-track, Musk premium</t>
  </si>
  <si>
    <t>Reuters: $135/share × ~12.96B shares = $1.75T</t>
  </si>
  <si>
    <t>Market IPO Valuation (= total)</t>
  </si>
  <si>
    <t xml:space="preserve">  ⑧ RECONCILIATION BRIDGE  —  Intrinsic Value → Market Price ($B)</t>
  </si>
  <si>
    <t xml:space="preserve">  (+) AI Optionality</t>
  </si>
  <si>
    <t xml:space="preserve">  (+) Orbital Data Centers / Compute</t>
  </si>
  <si>
    <t xml:space="preserve">  (+) Mars / Starshield Upside</t>
  </si>
  <si>
    <t xml:space="preserve">  (+) Terafab + Other Future Markets</t>
  </si>
  <si>
    <t xml:space="preserve">  (+) Hype / Index-Inclusion / Scarcity</t>
  </si>
  <si>
    <t>Multiples at our intrinsic value vs. $135 IPO  |  $ in Millions  |  FY2025A actuals from S-1</t>
  </si>
  <si>
    <t xml:space="preserve">  MARKET &amp; VALUATION INPUTS</t>
  </si>
  <si>
    <t>Our Intrinsic Equity Value (avg, $M)</t>
  </si>
  <si>
    <t>Our Intrinsic EV (avg, $M)</t>
  </si>
  <si>
    <t>IPO Price / Share ($)</t>
  </si>
  <si>
    <t>Fully-Diluted Shares (M)</t>
  </si>
  <si>
    <t>IPO Market Cap ($M)</t>
  </si>
  <si>
    <t>Net Debt ($M)</t>
  </si>
  <si>
    <t>IPO Enterprise Value ($M)</t>
  </si>
  <si>
    <t xml:space="preserve">  FY2025A FINANCIALS  (S-1 actuals)</t>
  </si>
  <si>
    <t>Connectivity Revenue ($M)</t>
  </si>
  <si>
    <t>Space Revenue ($M)</t>
  </si>
  <si>
    <t>AI Revenue ($M)</t>
  </si>
  <si>
    <t>Consolidated Adj. EBITDA ($M)</t>
  </si>
  <si>
    <t>Connectivity EBITDA ($M)</t>
  </si>
  <si>
    <t xml:space="preserve">  VALUATION MULTIPLES  —  Our Intrinsic vs. $135 IPO</t>
  </si>
  <si>
    <t>At Our Intrinsic</t>
  </si>
  <si>
    <t>At $135 IPO</t>
  </si>
  <si>
    <t>Comp Benchmark</t>
  </si>
  <si>
    <t>EV / Revenue (trailing)</t>
  </si>
  <si>
    <t>RKLB 118x | PLTR 81x | TSLA 17x</t>
  </si>
  <si>
    <t>EV / Connectivity Rev</t>
  </si>
  <si>
    <t>(blended proxy)</t>
  </si>
  <si>
    <t>EV / EBITDA (Connectivity)</t>
  </si>
  <si>
    <t>Telecom 7-10x</t>
  </si>
  <si>
    <t>EV / EBITDA (consolidated)</t>
  </si>
  <si>
    <t>N/M if EBITDA low</t>
  </si>
  <si>
    <t>P / E</t>
  </si>
  <si>
    <t>N/M — net loss</t>
  </si>
  <si>
    <t>SpaceX FY25 net loss $(4.9)B</t>
  </si>
  <si>
    <t>Market Cap / Revenue</t>
  </si>
  <si>
    <t xml:space="preserve">  BALANCE SHEET  (Dec 2025, S-1 actuals)</t>
  </si>
  <si>
    <t>Cash &amp; Marketable Securities ($M)</t>
  </si>
  <si>
    <t>Total Current Assets ($M)</t>
  </si>
  <si>
    <t>Total Assets ($M)</t>
  </si>
  <si>
    <t>Total Current Liabilities ($M)</t>
  </si>
  <si>
    <t>Total Debt &amp; Finance Leases ($M)</t>
  </si>
  <si>
    <t>Total Liabilities ($M)</t>
  </si>
  <si>
    <t>Total Shareholders' Equity ($M)</t>
  </si>
  <si>
    <t xml:space="preserve">  FINANCIAL HEALTH RATIOS</t>
  </si>
  <si>
    <t>Ratio</t>
  </si>
  <si>
    <t>Current Ratio</t>
  </si>
  <si>
    <t>Current assets / current liabilities</t>
  </si>
  <si>
    <t>Quick Ratio (approx)</t>
  </si>
  <si>
    <t>Cash &amp; securities / current liab</t>
  </si>
  <si>
    <t>Debt / Equity</t>
  </si>
  <si>
    <t>Total debt / shareholders' equity</t>
  </si>
  <si>
    <t>Debt / EBITDA</t>
  </si>
  <si>
    <t>Leverage vs consolidated adj. EBITDA</t>
  </si>
  <si>
    <t>Net Debt / EBITDA</t>
  </si>
  <si>
    <t>Net debt / consolidated adj. EBITDA</t>
  </si>
  <si>
    <t>Total Liabilities / Assets</t>
  </si>
  <si>
    <t>Balance sheet leverage</t>
  </si>
  <si>
    <t>Return on Equity (ROE)</t>
  </si>
  <si>
    <t>Net loss / equity — negative</t>
  </si>
  <si>
    <t>Return on Assets (ROA)</t>
  </si>
  <si>
    <t>Net loss / assets — negative</t>
  </si>
  <si>
    <t>Net Margin</t>
  </si>
  <si>
    <t>Net loss / revenue</t>
  </si>
  <si>
    <t>EBITDA Margin (consolidated)</t>
  </si>
  <si>
    <t>Adj. EBITDA / revenue</t>
  </si>
  <si>
    <t>Space Rev</t>
  </si>
  <si>
    <t>AI Rev</t>
  </si>
  <si>
    <t>Space EBITDA</t>
  </si>
  <si>
    <t>AI EBITDA</t>
  </si>
  <si>
    <t>Total D&amp;A</t>
  </si>
  <si>
    <t>FY2023</t>
  </si>
  <si>
    <t>FY2024</t>
  </si>
  <si>
    <t>FY2025</t>
  </si>
  <si>
    <t>Actual (enter)</t>
  </si>
  <si>
    <t>Status</t>
  </si>
  <si>
    <t>Connectivity EBITDA</t>
  </si>
  <si>
    <t>DCF stays annual (refreshed ~yearly). Quarterly actuals tracked vs explicit quarterly estimates. $ in Millions. Source: SpaceX S-1.</t>
  </si>
  <si>
    <t xml:space="preserve">  ANNUAL  —  ACTUALS (FY23–FY25) + DCF FORECAST (FY26–FY28)</t>
  </si>
  <si>
    <t>Line Item ($M)</t>
  </si>
  <si>
    <t xml:space="preserve">  QUARTERLY  —  ACTUALS &amp; ESTIMATES  (Q1 2026A from S-1; Q2–Q4 2026E phased from annual FY26E)</t>
  </si>
  <si>
    <t>Q2 2026E</t>
  </si>
  <si>
    <t>Q3 2026E</t>
  </si>
  <si>
    <t>Q4 2026E</t>
  </si>
  <si>
    <t>FY2026E (check)</t>
  </si>
  <si>
    <t xml:space="preserve">  ANNUAL VARIANCE  —  Model Forecast vs Full-Year Actual  (enter actual when FY reports)</t>
  </si>
  <si>
    <t>FY2026 Metric</t>
  </si>
  <si>
    <t>Forecast</t>
  </si>
  <si>
    <t>Var %</t>
  </si>
  <si>
    <t>Connectivity Rev</t>
  </si>
  <si>
    <t xml:space="preserve">  QUARTERLY VARIANCE  —  Estimate vs Actual  (enter Q actual as reported)</t>
  </si>
  <si>
    <t>Q2 2026 Metric</t>
  </si>
  <si>
    <t>Estimate</t>
  </si>
  <si>
    <t xml:space="preserve">  HOW TO UPDATE  (maintenance playbook)</t>
  </si>
  <si>
    <t>STRUCTURE: Line items run DOWN rows; periods run ACROSS columns (JPM/IB convention). Actuals = blue, forecast links = green, formulas = black.</t>
  </si>
  <si>
    <t>WHEN A QUARTER REPORTS: enter the actual into the Quarterly Variance 'Actual' column (C35:C38). Var% + Beat/Miss computes automatically. Then roll the estimate row (Q2→Q3) by re-pointing B35:B38 to the next quarter's estimate column (D20→E20).</t>
  </si>
  <si>
    <t>WHEN A FULL YEAR REPORTS: (1) enter the actual into Annual Variance 'Actual' col (C28:C31); (2) append the new FYxxA as a column in the annual block; (3) ask me to RE-BASE the DCF (shift forecast one year, repoint segment base-year links) — that's a structural change.</t>
  </si>
  <si>
    <t>SEGMENT D&amp;A &amp; CAPEX: this tab carries only TOTAL D&amp;A/capex. Segment-level D&amp;A/capex base values live as blue hardcodes on each segment DCF (row 53 / row 59).</t>
  </si>
  <si>
    <t>SINGLE SOURCE OF TRUTH: segment revenue &amp; EBITDA base year (FY2025A) live HERE (D7-D12); segment DCFs link to them. Don't hardcode them on the segment tabs.</t>
  </si>
  <si>
    <t>Rifat's DCF (Avg)</t>
  </si>
  <si>
    <t>Rifat's DCF (Gordon)</t>
  </si>
  <si>
    <t>✓  Set scenarios here (B28:B30). 1=Bear, 2=Base, 3=Bull. Segment tabs follow automatically — whole valuation controlled from this page.</t>
  </si>
  <si>
    <t>Total Unlevered FCF</t>
  </si>
  <si>
    <t>Mkt Cap</t>
  </si>
  <si>
    <t>Rev Growth</t>
  </si>
  <si>
    <t>Scenarios are controlled on the COVER tab (B28:B30). This sheet reflects the selected case live.</t>
  </si>
  <si>
    <t>S-1 Dec'25 BS</t>
  </si>
  <si>
    <t>Pre-IPO; converts at IPO</t>
  </si>
  <si>
    <t>Cl. A+B+C (S-1 Q1'26)</t>
  </si>
  <si>
    <t>$1.75T ÷ $135 reconciled</t>
  </si>
  <si>
    <t xml:space="preserve">  </t>
  </si>
  <si>
    <t xml:space="preserve">  VALUATION SENSITIVITY ANALYSIS  (Method 1: Gordon Growth for Connectivity &amp; Space, EV/Revenue for AI)</t>
  </si>
  <si>
    <t>Table 1: SOTP Implied Price/Share (Fully-Diluted) — Connectivity WACC vs. Terminal Growth Rate (Base Case)</t>
  </si>
  <si>
    <t xml:space="preserve">  ⑥ SENSITIVITY: Implied Price/Share (Fully-Diluted)  —  Connectivity WACC vs. Terminal Growth Rate (Base Case)</t>
  </si>
  <si>
    <t xml:space="preserve">  (+) Net Cash (Cash − Total Debt) ($M)</t>
  </si>
  <si>
    <t xml:space="preserve">  TIER 1 — PUBLIC SATELLITE OPERATORS  (current-stage anchor)</t>
  </si>
  <si>
    <t>Name</t>
  </si>
  <si>
    <t>Ticker</t>
  </si>
  <si>
    <t>Levered</t>
  </si>
  <si>
    <t>Debt</t>
  </si>
  <si>
    <t>% Debt</t>
  </si>
  <si>
    <t>Preferred</t>
  </si>
  <si>
    <t>% Pref</t>
  </si>
  <si>
    <t>Equity</t>
  </si>
  <si>
    <t>% Equity</t>
  </si>
  <si>
    <t>Tax</t>
  </si>
  <si>
    <t>Unlevered</t>
  </si>
  <si>
    <t># Subs</t>
  </si>
  <si>
    <t>ARPU</t>
  </si>
  <si>
    <t>LTM</t>
  </si>
  <si>
    <t>Gross</t>
  </si>
  <si>
    <t>Capex %</t>
  </si>
  <si>
    <t>3-Yr Ann.</t>
  </si>
  <si>
    <t>TEV /</t>
  </si>
  <si>
    <t>Beta</t>
  </si>
  <si>
    <t>($M)</t>
  </si>
  <si>
    <t>Stock ($M)</t>
  </si>
  <si>
    <t>Value ($M)</t>
  </si>
  <si>
    <t>Rate</t>
  </si>
  <si>
    <t>(M)</t>
  </si>
  <si>
    <t>($)</t>
  </si>
  <si>
    <t>Margin</t>
  </si>
  <si>
    <t>Iridium Communications</t>
  </si>
  <si>
    <t>NasdaqGS:IRDM</t>
  </si>
  <si>
    <t>EchoStar Corporation</t>
  </si>
  <si>
    <t>NasdaqGS:SATS</t>
  </si>
  <si>
    <t>Globalstar, Inc.</t>
  </si>
  <si>
    <t>NasdaqGS:GSAT</t>
  </si>
  <si>
    <t>AST SpaceMobile, Inc.</t>
  </si>
  <si>
    <t>NasdaqGS:ASTS</t>
  </si>
  <si>
    <t>Viasat, Inc.</t>
  </si>
  <si>
    <t>NasdaqGS:VSAT</t>
  </si>
  <si>
    <t>SES S.A.</t>
  </si>
  <si>
    <t>ENXTPA:SESG</t>
  </si>
  <si>
    <t>Eutelsat Communications</t>
  </si>
  <si>
    <t>ENXTPA:ETL</t>
  </si>
  <si>
    <t>Telesat Corporation</t>
  </si>
  <si>
    <t>NasdaqGS:TSAT</t>
  </si>
  <si>
    <t>Min:</t>
  </si>
  <si>
    <t>25th Pctl:</t>
  </si>
  <si>
    <t>Median:</t>
  </si>
  <si>
    <t>Mean:</t>
  </si>
  <si>
    <t>75th Pctl:</t>
  </si>
  <si>
    <t>Max:</t>
  </si>
  <si>
    <t>Bharti Airtel Limited</t>
  </si>
  <si>
    <t>BSE:532454</t>
  </si>
  <si>
    <t>MTN Group Limited</t>
  </si>
  <si>
    <t>JSE:MTN</t>
  </si>
  <si>
    <t>Vodacom Group Limited</t>
  </si>
  <si>
    <t>JSE:VOD</t>
  </si>
  <si>
    <t>Vodafone Idea Limited</t>
  </si>
  <si>
    <t>NSEI:IDEA</t>
  </si>
  <si>
    <t>VEON Ltd.</t>
  </si>
  <si>
    <t>NasdaqGS:VEON</t>
  </si>
  <si>
    <t>Mobile Telecom Co. (Zain)</t>
  </si>
  <si>
    <t>KWSE:ZAIN</t>
  </si>
  <si>
    <t>Safaricom PLC</t>
  </si>
  <si>
    <t>NASE:SCOM</t>
  </si>
  <si>
    <t>PT XLSMART Telecom</t>
  </si>
  <si>
    <t>IDX:EXCL</t>
  </si>
  <si>
    <t>América Móvil</t>
  </si>
  <si>
    <t>BMV:AMX B</t>
  </si>
  <si>
    <t>China Mobile Limited</t>
  </si>
  <si>
    <t>SEHK:941</t>
  </si>
  <si>
    <t>T-Mobile US, Inc.</t>
  </si>
  <si>
    <t>NasdaqGS:TMUS</t>
  </si>
  <si>
    <t>China Unicom</t>
  </si>
  <si>
    <t>SHSE:600050</t>
  </si>
  <si>
    <t>Charter Communications</t>
  </si>
  <si>
    <t>NasdaqGS:CHTR</t>
  </si>
  <si>
    <t>SoftBank Corp.</t>
  </si>
  <si>
    <t>TSE:9434</t>
  </si>
  <si>
    <t>Vodafone Group plc</t>
  </si>
  <si>
    <t>LSE:VOD</t>
  </si>
  <si>
    <t>KDDI Corporation</t>
  </si>
  <si>
    <t>TSE:9433</t>
  </si>
  <si>
    <t>Backlog</t>
  </si>
  <si>
    <t>Rocket Lab Corporation</t>
  </si>
  <si>
    <t>NasdaqGS:RKLB</t>
  </si>
  <si>
    <t>AeroVironment, Inc.</t>
  </si>
  <si>
    <t>NasdaqGS:AVAV</t>
  </si>
  <si>
    <t>Kratos Defense &amp; Security</t>
  </si>
  <si>
    <t>NasdaqGS:KTOS</t>
  </si>
  <si>
    <t>Redwire Corporation</t>
  </si>
  <si>
    <t>NYSE:RDW</t>
  </si>
  <si>
    <t>MDA Space Ltd.</t>
  </si>
  <si>
    <t>TSX:MDA</t>
  </si>
  <si>
    <t>York Space Systems</t>
  </si>
  <si>
    <t>NYSE:YSS</t>
  </si>
  <si>
    <t>Intuitive Machines</t>
  </si>
  <si>
    <t>NasdaqGM:LUNR</t>
  </si>
  <si>
    <t>Firefly Aerospace Inc.</t>
  </si>
  <si>
    <t>NasdaqGM:FLY</t>
  </si>
  <si>
    <t>Voyager Technologies</t>
  </si>
  <si>
    <t>NYSE:VOYG</t>
  </si>
  <si>
    <t>The Boeing Company</t>
  </si>
  <si>
    <t>NYSE:BA</t>
  </si>
  <si>
    <t>RTX Corporation</t>
  </si>
  <si>
    <t>NYSE:RTX</t>
  </si>
  <si>
    <t>Lockheed Martin</t>
  </si>
  <si>
    <t>NYSE:LMT</t>
  </si>
  <si>
    <t>General Dynamics</t>
  </si>
  <si>
    <t>NYSE:GD</t>
  </si>
  <si>
    <t>Northrop Grumman</t>
  </si>
  <si>
    <t>NYSE:NOC</t>
  </si>
  <si>
    <t>Comparable Public Companies by Maturity &amp; Industry  |  Compute Infrastructure + Social Media  |  $ in Millions</t>
  </si>
  <si>
    <t>Current-stage anchor = GPU Neoclouds / Infra Hosting  •  Mature-stage anchor = Social Media. Input cells (blue) to be populated from terminal (CapIQ/Bloomberg).</t>
  </si>
  <si>
    <t>CoreWeave, Inc.</t>
  </si>
  <si>
    <t>NasdaqGS:CRWV</t>
  </si>
  <si>
    <t>Nebius Group N.V.</t>
  </si>
  <si>
    <t>NasdaqGS:NBIS</t>
  </si>
  <si>
    <t>WhiteFiber, Inc.</t>
  </si>
  <si>
    <t>NasdaqCM:WYFI</t>
  </si>
  <si>
    <t>IREN Limited</t>
  </si>
  <si>
    <t>NasdaqGS:IREN</t>
  </si>
  <si>
    <t>Applied Digital Corp.</t>
  </si>
  <si>
    <t>NasdaqGS:APLD</t>
  </si>
  <si>
    <t>TeraWulf Inc.</t>
  </si>
  <si>
    <t>NasdaqCM:WULF</t>
  </si>
  <si>
    <t>Cipher Mining Inc.</t>
  </si>
  <si>
    <t>NasdaqGS:CIFR</t>
  </si>
  <si>
    <t>Snap Inc.</t>
  </si>
  <si>
    <t>NYSE:SNAP</t>
  </si>
  <si>
    <t>Pinterest, Inc.</t>
  </si>
  <si>
    <t>NYSE:PINS</t>
  </si>
  <si>
    <t>Reddit, Inc.</t>
  </si>
  <si>
    <t>NYSE:RDDT</t>
  </si>
  <si>
    <t>Match Group, Inc.</t>
  </si>
  <si>
    <t>NasdaqGS:MTCH</t>
  </si>
  <si>
    <t>Mature Wireless comp median unlevered β (fallback 0.85)</t>
  </si>
  <si>
    <t>Big-5 Defense comp median unlevered β (fallback 1.10)</t>
  </si>
  <si>
    <t>Social Media comp median unlevered β (fallback 1.35); excludes high-β neoclouds</t>
  </si>
  <si>
    <t xml:space="preserve">  UNLEVERED BETA BY SEGMENT (Comp-Driven — mature-stage tier median)</t>
  </si>
  <si>
    <t>Enterprise</t>
  </si>
  <si>
    <t>Mkt</t>
  </si>
  <si>
    <t>NM</t>
  </si>
  <si>
    <t xml:space="preserve">  TIER 1 — SMALLER-SCALE ROCKET / SPACE TECH  (Current-Stage Anchor)</t>
  </si>
  <si>
    <t xml:space="preserve">  TIER 2 — "BIG 5" U.S. DEFENSE CONTRACTORS  (Mature-Stage Anchor)</t>
  </si>
  <si>
    <t xml:space="preserve">  TIER 1 — GPU-FIRST NEOCLOUDS  (Current-Stage Anchor)</t>
  </si>
  <si>
    <t xml:space="preserve">  TIER 2 — INFRASTRUCTURE-FIRST HOSTING  (No GPUs)</t>
  </si>
  <si>
    <t xml:space="preserve">  TIER 3 — SOCIAL MEDIA  (Mature-Stage Monetization Anchor)</t>
  </si>
  <si>
    <t xml:space="preserve">  TIER 2 — EMERGING-MARKETS TELECOM / WIRELESS  (&gt;10% Projected Organic Revenue Growth)</t>
  </si>
  <si>
    <t xml:space="preserve">  TIER 3 — LARGE, MATURE WIRELESS  (&gt;$10B Revenue — Mature-Stage Anchor)</t>
  </si>
  <si>
    <t>Tg (Base)</t>
  </si>
  <si>
    <t>Tg (Bear)</t>
  </si>
  <si>
    <t>Tg (Bull)</t>
  </si>
  <si>
    <t>Backlog /</t>
  </si>
  <si>
    <t>Rev (x)</t>
  </si>
  <si>
    <t>Power</t>
  </si>
  <si>
    <t>(MW)</t>
  </si>
  <si>
    <t>Rev /</t>
  </si>
  <si>
    <t>MW ($M)</t>
  </si>
  <si>
    <t>MAU / DAU</t>
  </si>
  <si>
    <t>Historical Financial Statements  |  Source: S-1 (SEC EDGAR, Filed May 20, 2026)  |  $ in Millions</t>
  </si>
  <si>
    <t>Segments: Space + Connectivity (Starlink) + AI (X / xAI / Grok)  |  FY2023-FY2025 Audited  |  Q1 2025-Q1 2026 Unaudited</t>
  </si>
  <si>
    <t>Q1 2025</t>
  </si>
  <si>
    <t xml:space="preserve">  CONSOLIDATED INCOME STATEMENT</t>
  </si>
  <si>
    <t xml:space="preserve">  Cost of revenue</t>
  </si>
  <si>
    <t>Gross Profit</t>
  </si>
  <si>
    <t xml:space="preserve">  Gross Margin %</t>
  </si>
  <si>
    <t xml:space="preserve">  Research and development</t>
  </si>
  <si>
    <t xml:space="preserve">  Selling, general &amp; administrative</t>
  </si>
  <si>
    <t xml:space="preserve">  Restructuring charges</t>
  </si>
  <si>
    <t xml:space="preserve">  Impairment</t>
  </si>
  <si>
    <t>Total costs and expenses</t>
  </si>
  <si>
    <t>Income (loss) from operations</t>
  </si>
  <si>
    <t xml:space="preserve">  Operating Margin %</t>
  </si>
  <si>
    <t>Interest expense</t>
  </si>
  <si>
    <t>Interest income</t>
  </si>
  <si>
    <t>Other income (expense), net</t>
  </si>
  <si>
    <t>Income (loss) before taxes</t>
  </si>
  <si>
    <t>Provision for (benefit from) taxes</t>
  </si>
  <si>
    <t>Net income (loss)</t>
  </si>
  <si>
    <t xml:space="preserve">  Net Margin %</t>
  </si>
  <si>
    <t xml:space="preserve">  SEGMENT REVENUE BREAKDOWN</t>
  </si>
  <si>
    <t>Space segment</t>
  </si>
  <si>
    <t xml:space="preserve">  Launch Services</t>
  </si>
  <si>
    <t xml:space="preserve">  Launch &amp; Development</t>
  </si>
  <si>
    <t>Connectivity segment</t>
  </si>
  <si>
    <t xml:space="preserve">  Consumer</t>
  </si>
  <si>
    <t xml:space="preserve">  Enterprise &amp; Government</t>
  </si>
  <si>
    <t>AI segment</t>
  </si>
  <si>
    <t xml:space="preserve">  Advertising (X)</t>
  </si>
  <si>
    <t xml:space="preserve">  AI Solutions &amp; Infrastructure</t>
  </si>
  <si>
    <t>Total Revenue (check)</t>
  </si>
  <si>
    <t xml:space="preserve">  SEGMENT OPERATING PERFORMANCE</t>
  </si>
  <si>
    <t>Segment Income (Loss) from Operations</t>
  </si>
  <si>
    <t xml:space="preserve">  Space</t>
  </si>
  <si>
    <t xml:space="preserve">  Connectivity</t>
  </si>
  <si>
    <t xml:space="preserve">  AI</t>
  </si>
  <si>
    <t xml:space="preserve">  Total (check)</t>
  </si>
  <si>
    <t>Segment Adjusted EBITDA</t>
  </si>
  <si>
    <t xml:space="preserve">  Total Adjusted EBITDA</t>
  </si>
  <si>
    <t>Segment D&amp;A</t>
  </si>
  <si>
    <t xml:space="preserve">  Total D&amp;A</t>
  </si>
  <si>
    <t>Segment Capital Expenditures</t>
  </si>
  <si>
    <t xml:space="preserve">  Total CapEx</t>
  </si>
  <si>
    <t xml:space="preserve">  CapEx / Revenue %</t>
  </si>
  <si>
    <t xml:space="preserve">  CONSOLIDATED BALANCE SHEET</t>
  </si>
  <si>
    <t>Cash and cash equivalents</t>
  </si>
  <si>
    <t>Total current assets</t>
  </si>
  <si>
    <t>Property, plant &amp; equipment, net</t>
  </si>
  <si>
    <t>Goodwill</t>
  </si>
  <si>
    <t>Total assets</t>
  </si>
  <si>
    <t>Debt &amp; finance leases, current</t>
  </si>
  <si>
    <t>Total current liabilities</t>
  </si>
  <si>
    <t>Debt &amp; finance leases, non-current</t>
  </si>
  <si>
    <t>Total liabilities</t>
  </si>
  <si>
    <t>Redeemable convertible preferred stock</t>
  </si>
  <si>
    <t>Total shareholders' equity</t>
  </si>
  <si>
    <t>Total debt (current + non-current)</t>
  </si>
  <si>
    <t>Net debt (debt - cash)</t>
  </si>
  <si>
    <t xml:space="preserve">  CONSOLIDATED CASH FLOW STATEMENT</t>
  </si>
  <si>
    <t>Net cash from operating activities</t>
  </si>
  <si>
    <t>Capital expenditures</t>
  </si>
  <si>
    <t>Free Cash Flow (CFO - CapEx)</t>
  </si>
  <si>
    <t>Net cash from investing activities</t>
  </si>
  <si>
    <t>Net cash from financing activities</t>
  </si>
  <si>
    <t xml:space="preserve">  KEY OPERATING METRICS</t>
  </si>
  <si>
    <t>Starlink Subscribers (millions)</t>
  </si>
  <si>
    <t>Starlink ARPU ($/month)</t>
  </si>
  <si>
    <t>Launches (#)</t>
  </si>
  <si>
    <t>Mass to Orbit (metric tons)</t>
  </si>
  <si>
    <t>AI nameplate compute (gigawatts)</t>
  </si>
  <si>
    <t xml:space="preserve">  GROWTH RATES (YoY)</t>
  </si>
  <si>
    <t>Revenue growth</t>
  </si>
  <si>
    <t xml:space="preserve">  Space segment</t>
  </si>
  <si>
    <t xml:space="preserve">  Connectivity segment</t>
  </si>
  <si>
    <t xml:space="preserve">  AI segment</t>
  </si>
  <si>
    <t>Starlink sub growth</t>
  </si>
  <si>
    <t>CapEx growth</t>
  </si>
  <si>
    <t>CFO growth</t>
  </si>
  <si>
    <t>Backlog ($M)</t>
  </si>
  <si>
    <t>Deferred revenue ($M)</t>
  </si>
  <si>
    <t>Shares outstanding (basic, millions)</t>
  </si>
  <si>
    <t>CapEx /</t>
  </si>
  <si>
    <t xml:space="preserve">  INVESTMENT THESIS</t>
  </si>
  <si>
    <t>SpaceX is pursuing an IPO at $135/share, implying a fully diluted market cap of ~$1.75T. The company operates three segments:</t>
  </si>
  <si>
    <t xml:space="preserve">  (1) Connectivity (Starlink) — satellite broadband, ~60% of FY2025 revenue, highest margin segment growing 50%+ YoY</t>
  </si>
  <si>
    <t xml:space="preserve">  (2) Space (Launch + Starship) — launch services and government contracts, ~22% of revenue, steady growth anchored by Falcon 9 cadence</t>
  </si>
  <si>
    <t xml:space="preserve">  (3) AI (X / xAI / Grok) — social media and AI compute infrastructure, ~17% of revenue, pre-profit but scaling rapidly</t>
  </si>
  <si>
    <t>Our 3-segment SOTP DCF analysis uses 20-year explicit forecasts per segment with comp-driven WACCs and terminal values.</t>
  </si>
  <si>
    <t>Two methodologies are applied: (1) Gordon Growth / EV-Revenue and (2) Exit Multiple / Gordon cross-check.</t>
  </si>
  <si>
    <t xml:space="preserve">  VALUATION CONCLUSION</t>
  </si>
  <si>
    <t>Method 1 ¹</t>
  </si>
  <si>
    <t>Method 2 ²</t>
  </si>
  <si>
    <t>Notes</t>
  </si>
  <si>
    <t>Total Enterprise Value ($M)</t>
  </si>
  <si>
    <t>Implied Price / Share (fully diluted)</t>
  </si>
  <si>
    <t>IPO Reference Price</t>
  </si>
  <si>
    <t>Upside / (Downside) to IPO</t>
  </si>
  <si>
    <t>Shares Outstanding — Fully Diluted (M)</t>
  </si>
  <si>
    <t>¹ Gordon Growth (Conn/Space) + EV/Revenue (AI)</t>
  </si>
  <si>
    <t>² Exit Multiple (Conn/Space) + Gordon (AI cross-check)</t>
  </si>
  <si>
    <t>Fully diluted: 12,960M shares (preferred conversion + xAI merger + RSUs + IPO)</t>
  </si>
  <si>
    <t xml:space="preserve">  Exit EV/EBITDA Multiple</t>
  </si>
  <si>
    <t xml:space="preserve">  SEGMENT VALUATION BREAKDOWN</t>
  </si>
  <si>
    <t>Avg EV ($M)</t>
  </si>
  <si>
    <t>% of SOTP</t>
  </si>
  <si>
    <t>Tg</t>
  </si>
  <si>
    <t>Primary Methodology</t>
  </si>
  <si>
    <t>Gordon Growth perpetuity + EV/EBITDA exit cross-check</t>
  </si>
  <si>
    <t>EV/Revenue multiple (primary) — Gordon distorts on loss-making FCF</t>
  </si>
  <si>
    <t>Total SOTP</t>
  </si>
  <si>
    <t xml:space="preserve">  KEY ASSUMPTIONS  (Base Case)</t>
  </si>
  <si>
    <t>Forecast Horizon</t>
  </si>
  <si>
    <t>20 years</t>
  </si>
  <si>
    <t>DCF sheet assumptions</t>
  </si>
  <si>
    <t>Comp-driven; WACC sheet</t>
  </si>
  <si>
    <t>WACC sheet</t>
  </si>
  <si>
    <t>Risk-Free Rate</t>
  </si>
  <si>
    <t>10Y UST, Jun 2026</t>
  </si>
  <si>
    <t>Damodaran implied ERP, Jan 2026</t>
  </si>
  <si>
    <t>US statutory; large NOL carryforwards</t>
  </si>
  <si>
    <t xml:space="preserve">  FY2025 ACTUALS  (S-1 Source)</t>
  </si>
  <si>
    <t>YoY</t>
  </si>
  <si>
    <t>Consolidated — 3 segments</t>
  </si>
  <si>
    <t>60.9% of total; 63% EBITDA margin</t>
  </si>
  <si>
    <t>21.9% of total; Falcon 9 cadence + Starship</t>
  </si>
  <si>
    <t>17.1% of total; X ads + xAI compute</t>
  </si>
  <si>
    <t>Net Income ($M)</t>
  </si>
  <si>
    <t>AI segment losses dominate; R&amp;D $8.6B</t>
  </si>
  <si>
    <t>Cash-generative despite heavy capex cycle</t>
  </si>
  <si>
    <t>AI infra $12.7B = 61% of total capex</t>
  </si>
  <si>
    <t>Up from 46.2% in FY2024 — scale leverage</t>
  </si>
  <si>
    <t xml:space="preserve">  KEY RISKS &amp; SENSITIVITIES</t>
  </si>
  <si>
    <t>Sensitivity Range (SOTP, fully diluted):</t>
  </si>
  <si>
    <t xml:space="preserve">  Method 1 (Gordon + EV/Rev):</t>
  </si>
  <si>
    <t>per share</t>
  </si>
  <si>
    <t xml:space="preserve">  Method 2 (Exit Mult + Gordon):</t>
  </si>
  <si>
    <t xml:space="preserve">  WACC sensitivity range (±2% Conn WACC):</t>
  </si>
  <si>
    <t>per share (Method 1)</t>
  </si>
  <si>
    <t>Risk</t>
  </si>
  <si>
    <t>Impact</t>
  </si>
  <si>
    <t>AI capex burn exceeds forecasts; xAI margin ramp delayed</t>
  </si>
  <si>
    <t>High — AI is 45% of avg SOTP EV</t>
  </si>
  <si>
    <t>Starlink subscriber growth stalls; enterprise adoption slower than modelled</t>
  </si>
  <si>
    <t>High — Conn is 46% of avg SOTP EV</t>
  </si>
  <si>
    <t>Regulatory / spectrum risk; international market access restrictions</t>
  </si>
  <si>
    <t>Medium — affects both Conn &amp; Space</t>
  </si>
  <si>
    <t>Conn / Space</t>
  </si>
  <si>
    <t>Method 1 vs Method 2 divergence ($184 vs $56) flags terminal-value sensitivity</t>
  </si>
  <si>
    <t>High — 3.3x range in implied price</t>
  </si>
  <si>
    <t>All</t>
  </si>
  <si>
    <t>Dual-class + Musk governance concentration; key-person dependence</t>
  </si>
  <si>
    <t>Medium — discount to intrinsic value</t>
  </si>
  <si>
    <t>Starship development delays or cost overruns; launch cadence miss</t>
  </si>
  <si>
    <t>Medium — capex normalisation thesis</t>
  </si>
  <si>
    <t xml:space="preserve">  MODEL MAP</t>
  </si>
  <si>
    <t>Sheet</t>
  </si>
  <si>
    <t>Purpose</t>
  </si>
  <si>
    <t>COVER</t>
  </si>
  <si>
    <t>IPO price input, valuation summary dashboard, scenario selector, upside/downside</t>
  </si>
  <si>
    <t>SOTP</t>
  </si>
  <si>
    <t>Sum-of-the-parts roll-up, EV bridge, implied share price, WACC sensitivity tables</t>
  </si>
  <si>
    <t>Conn DCF</t>
  </si>
  <si>
    <t>Connectivity (Starlink) 20-year segment DCF — IS, FCF, Gordon + exit multiple</t>
  </si>
  <si>
    <t>Space DCF</t>
  </si>
  <si>
    <t>Space (Launch + Starship) 20-year segment DCF — IS, FCF, Gordon + exit multiple</t>
  </si>
  <si>
    <t>AI DCF</t>
  </si>
  <si>
    <t>AI (X/xAI/Grok) 20-year segment DCF — IS, FCF, EV/Revenue primary + Gordon cross-check</t>
  </si>
  <si>
    <t>Comp-driven betas, CAPM cost of equity, segment WACCs, capital structure</t>
  </si>
  <si>
    <t>Ratios</t>
  </si>
  <si>
    <t>Historical financial ratios — profitability, leverage, liquidity, efficiency</t>
  </si>
  <si>
    <t>Conn/Space/AI Comps</t>
  </si>
  <si>
    <t>Comparable company data for each segment — trading multiples, betas, benchmarking</t>
  </si>
  <si>
    <t>Actuals</t>
  </si>
  <si>
    <t>FY2023–FY2025 actual financials by segment (source: S-1)</t>
  </si>
  <si>
    <t>Historicals</t>
  </si>
  <si>
    <t>Extended historical data — balance sheet, cash flow, segment detail from S-1</t>
  </si>
  <si>
    <t>All financial data sourced from SpaceX S-1 (SEC EDGAR, filed 20-May-2026). Comparable company data from public filings.</t>
  </si>
  <si>
    <t>Space Exploration Technologies Corp. (SpaceX)  |  $SPCX  |  Pre-IPO Valuation Executive Summary</t>
  </si>
  <si>
    <t>Space Exploration Technologies Corp. (SpaceX)  |  $SPCX  |  Sum-of-the-Parts DCF Valuation</t>
  </si>
  <si>
    <t>SpaceX — Sum-of-the-Parts Valuation</t>
  </si>
  <si>
    <t>SpaceX — Connectivity Segment DCF  (Starlink)</t>
  </si>
  <si>
    <t>SpaceX — Space Segment DCF  (Launch &amp; Starship)</t>
  </si>
  <si>
    <t>SpaceX — AI Segment DCF  (X / xAI / Grok)</t>
  </si>
  <si>
    <t>SpaceX — Weighted Average Cost of Capital</t>
  </si>
  <si>
    <t>SpaceX — Financial Ratios &amp; Credit Metrics</t>
  </si>
  <si>
    <t>SpaceX — Exhibits &amp; Charts</t>
  </si>
  <si>
    <t>SpaceX — Connectivity Comparable Companies</t>
  </si>
  <si>
    <t>SpaceX — Space Comparable Companies</t>
  </si>
  <si>
    <t>SpaceX — AI Comparable Companies</t>
  </si>
  <si>
    <t>SpaceX — Segment Actuals &amp; Estimates</t>
  </si>
  <si>
    <t>SpaceX — Historical Financial Statements</t>
  </si>
  <si>
    <t>Comparable Public Companies by Maturity &amp; Industry  |  Satellite Broadband + Telecom Infrastructure  |  $ in Millions</t>
  </si>
  <si>
    <t>Current-stage anchor = Satellite / LEO Broadband  •  Mature-stage anchor = Telecom Infrastructure. Input cells (blue) to be populated from terminal (CapIQ/Bloomberg).</t>
  </si>
  <si>
    <t>Comparable Public Companies by Maturity &amp; Industry  |  Launch Services + Defense / Aerospace  |  $ in Millions</t>
  </si>
  <si>
    <t>Current-stage anchor = Launch Services / NewSpace  •  Mature-stage anchor = Big-5 Defense Primes. Input cells (blue) to be populated from terminal (CapIQ/Bloomberg).</t>
  </si>
  <si>
    <t>Segments: Connectivity (Starlink) + Space (Launch/Starship) + AI (X/xAI/Grok)  |  20-Year DCF with Gordon Growth &amp; Exit Multiple cross-check</t>
  </si>
  <si>
    <t>Phasing Weight (%)</t>
  </si>
  <si>
    <t>Target Mkt Val ($B)</t>
  </si>
  <si>
    <t>Meta Platforms, Inc.</t>
  </si>
  <si>
    <t>NasdaqGS:META</t>
  </si>
  <si>
    <t>Specific Risk Premium (Size / Illiquidity)</t>
  </si>
  <si>
    <t>Ke = Rf + βL × ERP + SRP</t>
  </si>
  <si>
    <t xml:space="preserve">  Exit EV/Revenue Multiple (= Tier 3 Social Media comp median, fallback 6.0x)</t>
  </si>
  <si>
    <t>Pre-IPO illiquidity + size/execution risk; 2–3% typical for late-stage private</t>
  </si>
  <si>
    <t>Comp Data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</si>
</sst>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0.0%"/>
    <numFmt numFmtId="166" formatCode="#,##0.0"/>
    <numFmt numFmtId="167" formatCode="_(* #,##0_);_(* \(#,##0\);_(* &quot;-&quot;??_);_(@_)"/>
    <numFmt numFmtId="168" formatCode="&quot;$&quot;#,##0.00"/>
    <numFmt numFmtId="169" formatCode="&quot;$&quot;#,##0"/>
    <numFmt numFmtId="170" formatCode="[&gt;=0]\+0.0%;[&lt;0]\(0.0%\);@"/>
    <numFmt numFmtId="171" formatCode="&quot;$&quot;#,##0.00;&quot;$&quot;#,##0.00;&quot;—&quot;"/>
    <numFmt numFmtId="172" formatCode="&quot;$&quot;#,##0;\(&quot;$&quot;#,##0\);&quot;-&quot;"/>
    <numFmt numFmtId="173" formatCode="0.0"/>
    <numFmt numFmtId="174" formatCode="0.0000"/>
    <numFmt numFmtId="175" formatCode="0.0&quot;x&quot;"/>
    <numFmt numFmtId="176" formatCode="&quot;$&quot;#,##0.00;\(&quot;$&quot;#,##0.00\);&quot;-&quot;"/>
    <numFmt numFmtId="177" formatCode="&quot;$&quot;0"/>
    <numFmt numFmtId="178" formatCode="&quot;$&quot;#,##0;\(&quot;$&quot;#,##0\)"/>
    <numFmt numFmtId="179" formatCode="#,##0;\(#,##0\)"/>
    <numFmt numFmtId="180" formatCode="0.0%;\(0.0%\)"/>
  </numFmts>
  <fonts count="7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1F4E79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rgb="FF843C0C"/>
      <name val="Calibri"/>
      <family val="2"/>
      <charset val="1"/>
    </font>
    <font>
      <i/>
      <sz val="11"/>
      <color rgb="FF843C0C"/>
      <name val="Calibri"/>
      <family val="2"/>
      <charset val="1"/>
    </font>
    <font>
      <b/>
      <sz val="11"/>
      <color rgb="FF375623"/>
      <name val="Calibri"/>
      <family val="2"/>
      <charset val="1"/>
    </font>
    <font>
      <i/>
      <sz val="9"/>
      <color rgb="FFFFFFFF"/>
      <name val="Calibri"/>
      <family val="2"/>
      <charset val="1"/>
    </font>
    <font>
      <i/>
      <sz val="9"/>
      <color rgb="FF7F7F7F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595959"/>
      <name val="Calibri"/>
      <family val="2"/>
      <charset val="1"/>
    </font>
    <font>
      <sz val="11"/>
      <color rgb="FF999999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rgb="FF595959"/>
      <name val="Calibri"/>
      <family val="2"/>
      <charset val="1"/>
    </font>
    <font>
      <sz val="9"/>
      <color indexed="81"/>
      <name val="Tahoma"/>
    </font>
    <font>
      <b/>
      <sz val="9"/>
      <color indexed="81"/>
      <name val="Tahoma"/>
    </font>
    <font>
      <i/>
      <sz val="8"/>
      <color rgb="FF595959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i/>
      <sz val="11"/>
      <color rgb="FF595959"/>
      <name val="Calibri"/>
      <family val="2"/>
    </font>
    <font>
      <b/>
      <i/>
      <sz val="11"/>
      <color rgb="FF595959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i/>
      <sz val="9"/>
      <color rgb="FF595959"/>
      <name val="Calibri"/>
      <family val="2"/>
      <charset val="1"/>
    </font>
    <font>
      <sz val="9"/>
      <color rgb="FF444444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4"/>
      <color rgb="FF008000"/>
      <name val="Calibri"/>
      <family val="2"/>
      <charset val="1"/>
    </font>
    <font>
      <i/>
      <sz val="9"/>
      <color rgb="FF808080"/>
      <name val="Calibri"/>
      <family val="2"/>
      <charset val="1"/>
    </font>
    <font>
      <i/>
      <sz val="9"/>
      <color rgb="FF808080"/>
      <name val="Calibri"/>
      <family val="2"/>
    </font>
    <font>
      <i/>
      <sz val="9"/>
      <color rgb="FF666666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1"/>
      <color rgb="FF000000"/>
      <name val="Calibri"/>
    </font>
    <font>
      <sz val="11"/>
      <name val="Calibri"/>
    </font>
    <font>
      <b/>
      <sz val="10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theme="1"/>
      <name val="Calibri"/>
    </font>
    <font>
      <sz val="11"/>
      <color rgb="FF808080"/>
      <name val="Calibri"/>
    </font>
    <font>
      <sz val="9"/>
      <color rgb="FF808080"/>
      <name val="Calibri"/>
    </font>
    <font>
      <b/>
      <sz val="10"/>
      <color rgb="FFFFFFFF"/>
      <name val="Calibri"/>
    </font>
    <font>
      <sz val="10"/>
      <color rgb="FF404040"/>
      <name val="Calibri"/>
    </font>
    <font>
      <b/>
      <sz val="10"/>
      <color theme="1"/>
      <name val="Calibri"/>
    </font>
    <font>
      <sz val="10"/>
      <color rgb="FF808080"/>
      <name val="Calibri"/>
    </font>
    <font>
      <b/>
      <sz val="11"/>
      <color theme="1"/>
      <name val="Calibri"/>
    </font>
    <font>
      <sz val="11"/>
      <color rgb="FF008000"/>
      <name val="Calibri"/>
    </font>
    <font>
      <b/>
      <sz val="12"/>
      <color theme="1"/>
      <name val="Calibri"/>
    </font>
    <font>
      <b/>
      <sz val="12"/>
      <color rgb="FF008000"/>
      <name val="Calibri"/>
    </font>
    <font>
      <sz val="10"/>
      <color theme="1"/>
      <name val="Calibri"/>
    </font>
    <font>
      <i/>
      <sz val="9"/>
      <color rgb="FF808080"/>
      <name val="Calibri"/>
    </font>
    <font>
      <sz val="11"/>
      <color rgb="FF404040"/>
      <name val="Calibri"/>
    </font>
    <font>
      <b/>
      <sz val="11"/>
      <color rgb="FF008000"/>
      <name val="Calibri"/>
    </font>
    <font>
      <sz val="10"/>
      <color rgb="FFC00000"/>
      <name val="Calibri"/>
    </font>
    <font>
      <sz val="10"/>
      <color rgb="FFED7D31"/>
      <name val="Calibri"/>
    </font>
    <font>
      <b/>
      <sz val="10"/>
      <color rgb="FF1F4E79"/>
      <name val="Calibri"/>
    </font>
    <font>
      <b/>
      <i/>
      <sz val="8"/>
      <color rgb="FF808080"/>
      <name val="Calibri"/>
    </font>
    <font>
      <b/>
      <sz val="15"/>
      <color rgb="FFFFFFFF"/>
      <name val="Calibri"/>
    </font>
    <font>
      <b/>
      <sz val="15"/>
      <color rgb="FF1F4E79"/>
      <name val="Calibri"/>
    </font>
    <font>
      <i/>
      <sz val="9"/>
      <color rgb="FF666666"/>
      <name val="Calibri"/>
    </font>
    <font>
      <sz val="11"/>
      <color rgb="FF0000FF"/>
      <name val="Calibri"/>
    </font>
    <font>
      <b/>
      <i/>
      <sz val="9"/>
      <color rgb="FF666666"/>
      <name val="Calibri"/>
    </font>
    <font>
      <b/>
      <i/>
      <sz val="9"/>
      <color rgb="FF0000FF"/>
      <name val="Calibri"/>
    </font>
    <font>
      <sz val="10"/>
      <color rgb="FF0000FF"/>
      <name val="Calibri"/>
    </font>
    <font>
      <b/>
      <sz val="9"/>
      <color rgb="FFFFFFFF"/>
      <name val="Calibri"/>
    </font>
    <font>
      <b/>
      <sz val="9"/>
      <color theme="1"/>
      <name val="Calibri"/>
    </font>
    <font>
      <sz val="9"/>
      <color rgb="FF008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000000"/>
      </bottom>
      <diagonal/>
    </border>
    <border>
      <left/>
      <right/>
      <top style="thick">
        <color rgb="FF1F4E79"/>
      </top>
      <bottom style="thin">
        <color rgb="FF1F4E79"/>
      </bottom>
      <diagonal/>
    </border>
    <border>
      <left/>
      <right/>
      <top style="thin">
        <color rgb="FFD9D9D9"/>
      </top>
      <bottom style="thick">
        <color rgb="FF000000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164" fontId="2" fillId="0" borderId="0" applyFont="0" applyFill="0" applyBorder="0" applyAlignment="0" applyProtection="0"/>
  </cellStyleXfs>
  <cellXfs count="35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7" fillId="3" borderId="2" xfId="0" applyFont="1" applyFill="1" applyBorder="1"/>
    <xf numFmtId="0" fontId="7" fillId="3" borderId="4" xfId="0" applyFont="1" applyFill="1" applyBorder="1"/>
    <xf numFmtId="0" fontId="3" fillId="4" borderId="5" xfId="0" applyFont="1" applyFill="1" applyBorder="1"/>
    <xf numFmtId="0" fontId="0" fillId="0" borderId="5" xfId="0" applyBorder="1"/>
    <xf numFmtId="0" fontId="0" fillId="0" borderId="6" xfId="0" applyBorder="1"/>
    <xf numFmtId="0" fontId="7" fillId="3" borderId="7" xfId="0" applyFont="1" applyFill="1" applyBorder="1"/>
    <xf numFmtId="0" fontId="3" fillId="4" borderId="8" xfId="0" applyFont="1" applyFill="1" applyBorder="1"/>
    <xf numFmtId="0" fontId="3" fillId="4" borderId="4" xfId="0" applyFont="1" applyFill="1" applyBorder="1"/>
    <xf numFmtId="0" fontId="3" fillId="0" borderId="5" xfId="0" applyFont="1" applyBorder="1"/>
    <xf numFmtId="0" fontId="3" fillId="4" borderId="7" xfId="0" applyFont="1" applyFill="1" applyBorder="1"/>
    <xf numFmtId="0" fontId="3" fillId="5" borderId="6" xfId="0" applyFont="1" applyFill="1" applyBorder="1"/>
    <xf numFmtId="0" fontId="3" fillId="6" borderId="0" xfId="0" applyFont="1" applyFill="1"/>
    <xf numFmtId="0" fontId="0" fillId="5" borderId="5" xfId="0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4" borderId="0" xfId="0" applyNumberFormat="1" applyFont="1" applyFill="1"/>
    <xf numFmtId="168" fontId="0" fillId="0" borderId="0" xfId="0" applyNumberFormat="1"/>
    <xf numFmtId="168" fontId="3" fillId="5" borderId="0" xfId="0" applyNumberFormat="1" applyFont="1" applyFill="1"/>
    <xf numFmtId="168" fontId="0" fillId="8" borderId="0" xfId="0" applyNumberFormat="1" applyFill="1"/>
    <xf numFmtId="168" fontId="11" fillId="10" borderId="1" xfId="0" applyNumberFormat="1" applyFont="1" applyFill="1" applyBorder="1"/>
    <xf numFmtId="10" fontId="0" fillId="0" borderId="0" xfId="0" applyNumberFormat="1"/>
    <xf numFmtId="0" fontId="3" fillId="4" borderId="0" xfId="0" applyFont="1" applyFill="1" applyAlignment="1">
      <alignment horizontal="center"/>
    </xf>
    <xf numFmtId="2" fontId="0" fillId="0" borderId="0" xfId="0" applyNumberFormat="1"/>
    <xf numFmtId="10" fontId="0" fillId="0" borderId="8" xfId="0" applyNumberFormat="1" applyBorder="1"/>
    <xf numFmtId="10" fontId="0" fillId="0" borderId="9" xfId="0" applyNumberFormat="1" applyBorder="1"/>
    <xf numFmtId="165" fontId="8" fillId="0" borderId="0" xfId="0" applyNumberFormat="1" applyFont="1"/>
    <xf numFmtId="165" fontId="9" fillId="0" borderId="0" xfId="0" applyNumberFormat="1" applyFont="1"/>
    <xf numFmtId="172" fontId="0" fillId="0" borderId="0" xfId="0" applyNumberFormat="1"/>
    <xf numFmtId="172" fontId="7" fillId="3" borderId="2" xfId="0" applyNumberFormat="1" applyFont="1" applyFill="1" applyBorder="1"/>
    <xf numFmtId="172" fontId="7" fillId="3" borderId="7" xfId="0" applyNumberFormat="1" applyFont="1" applyFill="1" applyBorder="1"/>
    <xf numFmtId="10" fontId="3" fillId="0" borderId="0" xfId="0" applyNumberFormat="1" applyFont="1"/>
    <xf numFmtId="172" fontId="3" fillId="5" borderId="0" xfId="0" applyNumberFormat="1" applyFont="1" applyFill="1"/>
    <xf numFmtId="175" fontId="3" fillId="0" borderId="0" xfId="0" applyNumberFormat="1" applyFont="1"/>
    <xf numFmtId="0" fontId="21" fillId="0" borderId="0" xfId="0" applyFont="1"/>
    <xf numFmtId="0" fontId="28" fillId="0" borderId="5" xfId="0" applyFont="1" applyBorder="1"/>
    <xf numFmtId="169" fontId="10" fillId="0" borderId="0" xfId="0" applyNumberFormat="1" applyFont="1"/>
    <xf numFmtId="168" fontId="10" fillId="0" borderId="0" xfId="0" applyNumberFormat="1" applyFont="1"/>
    <xf numFmtId="169" fontId="8" fillId="0" borderId="0" xfId="0" applyNumberFormat="1" applyFont="1"/>
    <xf numFmtId="2" fontId="8" fillId="0" borderId="0" xfId="0" applyNumberFormat="1" applyFont="1"/>
    <xf numFmtId="0" fontId="3" fillId="4" borderId="0" xfId="0" applyFont="1" applyFill="1" applyAlignment="1">
      <alignment horizontal="right"/>
    </xf>
    <xf numFmtId="10" fontId="8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8" fillId="0" borderId="0" xfId="0" applyNumberFormat="1" applyFont="1" applyAlignment="1">
      <alignment horizontal="right"/>
    </xf>
    <xf numFmtId="165" fontId="8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2" fontId="8" fillId="0" borderId="0" xfId="0" applyNumberFormat="1" applyFont="1" applyAlignment="1">
      <alignment horizontal="right"/>
    </xf>
    <xf numFmtId="2" fontId="8" fillId="0" borderId="3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0" fontId="9" fillId="0" borderId="3" xfId="0" applyNumberFormat="1" applyFont="1" applyBorder="1" applyAlignment="1">
      <alignment horizontal="right"/>
    </xf>
    <xf numFmtId="0" fontId="0" fillId="0" borderId="8" xfId="0" applyBorder="1" applyAlignment="1">
      <alignment horizontal="right"/>
    </xf>
    <xf numFmtId="2" fontId="9" fillId="0" borderId="3" xfId="0" applyNumberFormat="1" applyFont="1" applyBorder="1" applyAlignment="1">
      <alignment horizontal="right"/>
    </xf>
    <xf numFmtId="0" fontId="3" fillId="4" borderId="8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2" fillId="0" borderId="8" xfId="0" applyFont="1" applyBorder="1"/>
    <xf numFmtId="0" fontId="32" fillId="0" borderId="9" xfId="0" applyFont="1" applyBorder="1"/>
    <xf numFmtId="0" fontId="34" fillId="4" borderId="8" xfId="0" applyFont="1" applyFill="1" applyBorder="1"/>
    <xf numFmtId="0" fontId="34" fillId="0" borderId="8" xfId="0" applyFont="1" applyBorder="1"/>
    <xf numFmtId="0" fontId="33" fillId="5" borderId="9" xfId="0" applyFont="1" applyFill="1" applyBorder="1"/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172" fontId="7" fillId="2" borderId="0" xfId="0" applyNumberFormat="1" applyFont="1" applyFill="1"/>
    <xf numFmtId="172" fontId="3" fillId="2" borderId="0" xfId="0" applyNumberFormat="1" applyFont="1" applyFill="1"/>
    <xf numFmtId="165" fontId="9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10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7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172" fontId="8" fillId="7" borderId="0" xfId="0" applyNumberFormat="1" applyFont="1" applyFill="1" applyAlignment="1">
      <alignment horizontal="right"/>
    </xf>
    <xf numFmtId="172" fontId="0" fillId="0" borderId="0" xfId="0" applyNumberFormat="1" applyAlignment="1">
      <alignment horizontal="right"/>
    </xf>
    <xf numFmtId="165" fontId="0" fillId="7" borderId="0" xfId="0" applyNumberFormat="1" applyFill="1" applyAlignment="1">
      <alignment horizontal="right"/>
    </xf>
    <xf numFmtId="172" fontId="0" fillId="7" borderId="0" xfId="0" applyNumberFormat="1" applyFill="1" applyAlignment="1">
      <alignment horizontal="right"/>
    </xf>
    <xf numFmtId="172" fontId="3" fillId="6" borderId="0" xfId="0" applyNumberFormat="1" applyFont="1" applyFill="1" applyAlignment="1">
      <alignment horizontal="right"/>
    </xf>
    <xf numFmtId="173" fontId="7" fillId="3" borderId="0" xfId="0" applyNumberFormat="1" applyFont="1" applyFill="1" applyAlignment="1">
      <alignment horizontal="right"/>
    </xf>
    <xf numFmtId="173" fontId="6" fillId="3" borderId="0" xfId="0" applyNumberFormat="1" applyFont="1" applyFill="1" applyAlignment="1">
      <alignment horizontal="right"/>
    </xf>
    <xf numFmtId="174" fontId="30" fillId="4" borderId="0" xfId="0" applyNumberFormat="1" applyFont="1" applyFill="1" applyAlignment="1">
      <alignment horizontal="right"/>
    </xf>
    <xf numFmtId="173" fontId="8" fillId="0" borderId="0" xfId="0" applyNumberFormat="1" applyFont="1" applyAlignment="1">
      <alignment horizontal="right"/>
    </xf>
    <xf numFmtId="174" fontId="0" fillId="0" borderId="0" xfId="0" applyNumberFormat="1" applyAlignment="1">
      <alignment horizontal="right"/>
    </xf>
    <xf numFmtId="172" fontId="3" fillId="0" borderId="0" xfId="0" applyNumberFormat="1" applyFont="1" applyAlignment="1">
      <alignment horizontal="right"/>
    </xf>
    <xf numFmtId="172" fontId="31" fillId="0" borderId="0" xfId="0" applyNumberFormat="1" applyFont="1" applyAlignment="1">
      <alignment horizontal="right"/>
    </xf>
    <xf numFmtId="172" fontId="7" fillId="3" borderId="0" xfId="0" applyNumberFormat="1" applyFont="1" applyFill="1" applyAlignment="1">
      <alignment horizontal="right"/>
    </xf>
    <xf numFmtId="168" fontId="3" fillId="0" borderId="0" xfId="0" applyNumberFormat="1" applyFont="1" applyAlignment="1">
      <alignment horizontal="right"/>
    </xf>
    <xf numFmtId="175" fontId="8" fillId="0" borderId="0" xfId="0" applyNumberFormat="1" applyFont="1" applyAlignment="1">
      <alignment horizontal="right"/>
    </xf>
    <xf numFmtId="172" fontId="0" fillId="0" borderId="8" xfId="0" applyNumberFormat="1" applyBorder="1" applyAlignment="1">
      <alignment horizontal="right"/>
    </xf>
    <xf numFmtId="172" fontId="3" fillId="5" borderId="0" xfId="0" applyNumberFormat="1" applyFont="1" applyFill="1" applyAlignment="1">
      <alignment horizontal="right"/>
    </xf>
    <xf numFmtId="172" fontId="3" fillId="5" borderId="8" xfId="0" applyNumberFormat="1" applyFont="1" applyFill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72" fontId="3" fillId="4" borderId="0" xfId="0" applyNumberFormat="1" applyFont="1" applyFill="1" applyAlignment="1">
      <alignment horizontal="right"/>
    </xf>
    <xf numFmtId="172" fontId="3" fillId="4" borderId="8" xfId="0" applyNumberFormat="1" applyFont="1" applyFill="1" applyBorder="1" applyAlignment="1">
      <alignment horizontal="right"/>
    </xf>
    <xf numFmtId="10" fontId="3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9" fontId="8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0" fontId="32" fillId="0" borderId="0" xfId="0" applyFont="1" applyAlignment="1">
      <alignment horizontal="right"/>
    </xf>
    <xf numFmtId="10" fontId="3" fillId="5" borderId="3" xfId="0" applyNumberFormat="1" applyFont="1" applyFill="1" applyBorder="1" applyAlignment="1">
      <alignment horizontal="right"/>
    </xf>
    <xf numFmtId="0" fontId="33" fillId="5" borderId="3" xfId="0" applyFont="1" applyFill="1" applyBorder="1" applyAlignment="1">
      <alignment horizontal="right"/>
    </xf>
    <xf numFmtId="10" fontId="10" fillId="0" borderId="3" xfId="0" applyNumberFormat="1" applyFont="1" applyBorder="1" applyAlignment="1">
      <alignment horizontal="right"/>
    </xf>
    <xf numFmtId="10" fontId="8" fillId="0" borderId="3" xfId="0" applyNumberFormat="1" applyFont="1" applyBorder="1" applyAlignment="1">
      <alignment horizontal="right"/>
    </xf>
    <xf numFmtId="172" fontId="7" fillId="3" borderId="2" xfId="0" applyNumberFormat="1" applyFont="1" applyFill="1" applyBorder="1" applyAlignment="1">
      <alignment horizontal="right"/>
    </xf>
    <xf numFmtId="172" fontId="7" fillId="3" borderId="7" xfId="0" applyNumberFormat="1" applyFont="1" applyFill="1" applyBorder="1" applyAlignment="1">
      <alignment horizontal="right"/>
    </xf>
    <xf numFmtId="172" fontId="6" fillId="3" borderId="0" xfId="0" applyNumberFormat="1" applyFont="1" applyFill="1" applyAlignment="1">
      <alignment horizontal="right"/>
    </xf>
    <xf numFmtId="0" fontId="30" fillId="4" borderId="0" xfId="0" applyFont="1" applyFill="1" applyAlignment="1">
      <alignment horizontal="right"/>
    </xf>
    <xf numFmtId="0" fontId="7" fillId="3" borderId="7" xfId="0" applyFont="1" applyFill="1" applyBorder="1" applyAlignment="1">
      <alignment horizontal="right"/>
    </xf>
    <xf numFmtId="172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172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77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72" fontId="10" fillId="0" borderId="0" xfId="0" applyNumberFormat="1" applyFont="1" applyAlignment="1">
      <alignment horizontal="right"/>
    </xf>
    <xf numFmtId="172" fontId="8" fillId="0" borderId="0" xfId="0" applyNumberFormat="1" applyFont="1" applyAlignment="1">
      <alignment horizontal="right"/>
    </xf>
    <xf numFmtId="168" fontId="3" fillId="4" borderId="0" xfId="0" applyNumberFormat="1" applyFont="1" applyFill="1" applyAlignment="1">
      <alignment horizontal="right"/>
    </xf>
    <xf numFmtId="176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76" fontId="0" fillId="8" borderId="0" xfId="0" applyNumberFormat="1" applyFill="1" applyAlignment="1">
      <alignment horizontal="right"/>
    </xf>
    <xf numFmtId="176" fontId="3" fillId="5" borderId="0" xfId="0" applyNumberFormat="1" applyFont="1" applyFill="1" applyAlignment="1">
      <alignment horizontal="right"/>
    </xf>
    <xf numFmtId="168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0" fontId="3" fillId="5" borderId="0" xfId="0" applyNumberFormat="1" applyFont="1" applyFill="1" applyAlignment="1">
      <alignment horizontal="right"/>
    </xf>
    <xf numFmtId="0" fontId="11" fillId="10" borderId="0" xfId="0" applyFont="1" applyFill="1" applyAlignment="1">
      <alignment horizontal="right"/>
    </xf>
    <xf numFmtId="176" fontId="3" fillId="5" borderId="0" xfId="0" applyNumberFormat="1" applyFont="1" applyFill="1" applyAlignment="1">
      <alignment horizontal="left"/>
    </xf>
    <xf numFmtId="176" fontId="35" fillId="5" borderId="0" xfId="0" applyNumberFormat="1" applyFont="1" applyFill="1" applyAlignment="1">
      <alignment horizontal="left"/>
    </xf>
    <xf numFmtId="3" fontId="10" fillId="0" borderId="0" xfId="0" applyNumberFormat="1" applyFont="1"/>
    <xf numFmtId="178" fontId="8" fillId="0" borderId="0" xfId="0" applyNumberFormat="1" applyFont="1"/>
    <xf numFmtId="172" fontId="10" fillId="7" borderId="0" xfId="0" applyNumberFormat="1" applyFont="1" applyFill="1" applyAlignment="1">
      <alignment horizontal="right"/>
    </xf>
    <xf numFmtId="165" fontId="9" fillId="7" borderId="0" xfId="0" applyNumberFormat="1" applyFont="1" applyFill="1" applyAlignment="1">
      <alignment horizontal="right"/>
    </xf>
    <xf numFmtId="172" fontId="9" fillId="7" borderId="0" xfId="0" applyNumberFormat="1" applyFont="1" applyFill="1" applyAlignment="1">
      <alignment horizontal="right"/>
    </xf>
    <xf numFmtId="0" fontId="37" fillId="0" borderId="0" xfId="0" applyFont="1"/>
    <xf numFmtId="172" fontId="22" fillId="0" borderId="0" xfId="0" applyNumberFormat="1" applyFont="1" applyAlignment="1">
      <alignment horizontal="right"/>
    </xf>
    <xf numFmtId="178" fontId="8" fillId="0" borderId="0" xfId="0" applyNumberFormat="1" applyFont="1" applyAlignment="1">
      <alignment horizontal="right"/>
    </xf>
    <xf numFmtId="178" fontId="9" fillId="0" borderId="0" xfId="0" applyNumberFormat="1" applyFont="1" applyAlignment="1">
      <alignment horizontal="right"/>
    </xf>
    <xf numFmtId="178" fontId="38" fillId="0" borderId="0" xfId="0" applyNumberFormat="1" applyFont="1" applyAlignment="1">
      <alignment horizontal="right"/>
    </xf>
    <xf numFmtId="169" fontId="10" fillId="0" borderId="0" xfId="0" applyNumberFormat="1" applyFont="1" applyAlignment="1">
      <alignment horizontal="right"/>
    </xf>
    <xf numFmtId="175" fontId="0" fillId="0" borderId="0" xfId="0" applyNumberFormat="1" applyAlignment="1">
      <alignment horizontal="right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left"/>
    </xf>
    <xf numFmtId="173" fontId="0" fillId="0" borderId="0" xfId="0" applyNumberFormat="1"/>
    <xf numFmtId="167" fontId="0" fillId="0" borderId="0" xfId="2" applyNumberFormat="1" applyFont="1"/>
    <xf numFmtId="167" fontId="8" fillId="0" borderId="0" xfId="2" applyNumberFormat="1" applyFont="1"/>
    <xf numFmtId="0" fontId="39" fillId="0" borderId="0" xfId="0" applyFont="1"/>
    <xf numFmtId="0" fontId="40" fillId="0" borderId="0" xfId="0" applyFont="1"/>
    <xf numFmtId="176" fontId="41" fillId="5" borderId="0" xfId="0" applyNumberFormat="1" applyFont="1" applyFill="1" applyAlignment="1">
      <alignment horizontal="left"/>
    </xf>
    <xf numFmtId="178" fontId="10" fillId="0" borderId="0" xfId="0" applyNumberFormat="1" applyFont="1" applyAlignment="1">
      <alignment horizontal="right"/>
    </xf>
    <xf numFmtId="178" fontId="10" fillId="0" borderId="0" xfId="0" applyNumberFormat="1" applyFont="1"/>
    <xf numFmtId="169" fontId="0" fillId="8" borderId="0" xfId="0" applyNumberForma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/>
    <xf numFmtId="0" fontId="3" fillId="0" borderId="11" xfId="0" applyFont="1" applyBorder="1"/>
    <xf numFmtId="0" fontId="7" fillId="3" borderId="12" xfId="0" applyFont="1" applyFill="1" applyBorder="1"/>
    <xf numFmtId="0" fontId="7" fillId="3" borderId="13" xfId="0" applyFont="1" applyFill="1" applyBorder="1" applyAlignment="1">
      <alignment horizontal="right"/>
    </xf>
    <xf numFmtId="0" fontId="6" fillId="3" borderId="14" xfId="0" applyFont="1" applyFill="1" applyBorder="1" applyAlignment="1">
      <alignment horizontal="left"/>
    </xf>
    <xf numFmtId="0" fontId="3" fillId="5" borderId="15" xfId="0" applyFont="1" applyFill="1" applyBorder="1"/>
    <xf numFmtId="172" fontId="3" fillId="5" borderId="16" xfId="0" applyNumberFormat="1" applyFont="1" applyFill="1" applyBorder="1" applyAlignment="1">
      <alignment horizontal="right"/>
    </xf>
    <xf numFmtId="0" fontId="40" fillId="0" borderId="10" xfId="0" applyFont="1" applyBorder="1" applyAlignment="1">
      <alignment horizontal="left"/>
    </xf>
    <xf numFmtId="0" fontId="25" fillId="4" borderId="11" xfId="0" applyFont="1" applyFill="1" applyBorder="1"/>
    <xf numFmtId="0" fontId="0" fillId="0" borderId="11" xfId="0" applyBorder="1"/>
    <xf numFmtId="0" fontId="25" fillId="3" borderId="12" xfId="0" applyFont="1" applyFill="1" applyBorder="1"/>
    <xf numFmtId="0" fontId="3" fillId="5" borderId="11" xfId="0" applyFont="1" applyFill="1" applyBorder="1"/>
    <xf numFmtId="0" fontId="3" fillId="4" borderId="15" xfId="0" applyFont="1" applyFill="1" applyBorder="1"/>
    <xf numFmtId="176" fontId="3" fillId="4" borderId="16" xfId="0" applyNumberFormat="1" applyFont="1" applyFill="1" applyBorder="1" applyAlignment="1">
      <alignment horizontal="right"/>
    </xf>
    <xf numFmtId="0" fontId="7" fillId="3" borderId="14" xfId="0" applyFont="1" applyFill="1" applyBorder="1" applyAlignment="1">
      <alignment horizontal="left"/>
    </xf>
    <xf numFmtId="176" fontId="3" fillId="5" borderId="16" xfId="0" applyNumberFormat="1" applyFont="1" applyFill="1" applyBorder="1" applyAlignment="1">
      <alignment horizontal="right"/>
    </xf>
    <xf numFmtId="165" fontId="3" fillId="5" borderId="16" xfId="0" applyNumberFormat="1" applyFont="1" applyFill="1" applyBorder="1" applyAlignment="1">
      <alignment horizontal="right"/>
    </xf>
    <xf numFmtId="0" fontId="3" fillId="5" borderId="16" xfId="0" applyFont="1" applyFill="1" applyBorder="1" applyAlignment="1">
      <alignment horizontal="right"/>
    </xf>
    <xf numFmtId="0" fontId="3" fillId="5" borderId="17" xfId="0" applyFont="1" applyFill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0" fillId="0" borderId="15" xfId="0" applyBorder="1"/>
    <xf numFmtId="165" fontId="8" fillId="0" borderId="16" xfId="0" applyNumberFormat="1" applyFont="1" applyBorder="1" applyAlignment="1">
      <alignment horizontal="right"/>
    </xf>
    <xf numFmtId="0" fontId="40" fillId="0" borderId="17" xfId="0" applyFont="1" applyBorder="1" applyAlignment="1">
      <alignment horizontal="left"/>
    </xf>
    <xf numFmtId="165" fontId="0" fillId="0" borderId="10" xfId="0" applyNumberFormat="1" applyBorder="1" applyAlignment="1">
      <alignment horizontal="right"/>
    </xf>
    <xf numFmtId="0" fontId="7" fillId="3" borderId="14" xfId="0" applyFont="1" applyFill="1" applyBorder="1" applyAlignment="1">
      <alignment horizontal="right"/>
    </xf>
    <xf numFmtId="165" fontId="3" fillId="5" borderId="17" xfId="0" applyNumberFormat="1" applyFont="1" applyFill="1" applyBorder="1" applyAlignment="1">
      <alignment horizontal="right"/>
    </xf>
    <xf numFmtId="0" fontId="40" fillId="0" borderId="0" xfId="0" applyFont="1" applyAlignment="1">
      <alignment horizontal="left"/>
    </xf>
    <xf numFmtId="0" fontId="0" fillId="5" borderId="0" xfId="0" applyFill="1" applyAlignment="1">
      <alignment horizontal="right"/>
    </xf>
    <xf numFmtId="0" fontId="0" fillId="4" borderId="16" xfId="0" applyFill="1" applyBorder="1" applyAlignment="1">
      <alignment horizontal="right"/>
    </xf>
    <xf numFmtId="0" fontId="30" fillId="4" borderId="10" xfId="0" applyFont="1" applyFill="1" applyBorder="1"/>
    <xf numFmtId="0" fontId="0" fillId="0" borderId="10" xfId="0" applyBorder="1"/>
    <xf numFmtId="0" fontId="40" fillId="0" borderId="10" xfId="0" applyFont="1" applyBorder="1"/>
    <xf numFmtId="0" fontId="0" fillId="5" borderId="17" xfId="0" applyFill="1" applyBorder="1"/>
    <xf numFmtId="0" fontId="6" fillId="3" borderId="14" xfId="0" applyFont="1" applyFill="1" applyBorder="1"/>
    <xf numFmtId="0" fontId="0" fillId="5" borderId="10" xfId="0" applyFill="1" applyBorder="1"/>
    <xf numFmtId="0" fontId="0" fillId="4" borderId="17" xfId="0" applyFill="1" applyBorder="1"/>
    <xf numFmtId="175" fontId="9" fillId="0" borderId="0" xfId="0" applyNumberFormat="1" applyFont="1"/>
    <xf numFmtId="175" fontId="9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29" fillId="4" borderId="0" xfId="0" applyFont="1" applyFill="1"/>
    <xf numFmtId="0" fontId="29" fillId="4" borderId="0" xfId="0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0" fontId="42" fillId="0" borderId="0" xfId="0" applyFont="1"/>
    <xf numFmtId="9" fontId="8" fillId="0" borderId="0" xfId="0" applyNumberFormat="1" applyFont="1" applyAlignment="1">
      <alignment horizontal="right"/>
    </xf>
    <xf numFmtId="0" fontId="29" fillId="4" borderId="0" xfId="0" applyFont="1" applyFill="1" applyAlignment="1">
      <alignment horizontal="center"/>
    </xf>
    <xf numFmtId="169" fontId="9" fillId="0" borderId="0" xfId="0" applyNumberFormat="1" applyFont="1" applyAlignment="1">
      <alignment horizontal="right"/>
    </xf>
    <xf numFmtId="165" fontId="1" fillId="0" borderId="0" xfId="1" applyNumberFormat="1"/>
    <xf numFmtId="0" fontId="43" fillId="4" borderId="0" xfId="0" applyFont="1" applyFill="1" applyAlignment="1">
      <alignment horizontal="right"/>
    </xf>
    <xf numFmtId="173" fontId="9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9" fillId="0" borderId="0" xfId="0" applyNumberFormat="1" applyFont="1" applyAlignment="1">
      <alignment horizontal="right"/>
    </xf>
    <xf numFmtId="165" fontId="44" fillId="0" borderId="0" xfId="1" applyNumberFormat="1" applyFont="1" applyAlignment="1">
      <alignment horizontal="right"/>
    </xf>
    <xf numFmtId="175" fontId="44" fillId="0" borderId="0" xfId="0" applyNumberFormat="1" applyFont="1" applyAlignment="1">
      <alignment horizontal="right"/>
    </xf>
    <xf numFmtId="9" fontId="45" fillId="0" borderId="0" xfId="1" applyFont="1" applyAlignment="1">
      <alignment horizontal="right"/>
    </xf>
    <xf numFmtId="0" fontId="48" fillId="0" borderId="0" xfId="0" applyFont="1"/>
    <xf numFmtId="0" fontId="46" fillId="4" borderId="0" xfId="0" applyFont="1" applyFill="1" applyAlignment="1">
      <alignment horizontal="right"/>
    </xf>
    <xf numFmtId="0" fontId="46" fillId="11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179" fontId="8" fillId="0" borderId="0" xfId="0" applyNumberFormat="1" applyFont="1" applyAlignment="1">
      <alignment horizontal="right"/>
    </xf>
    <xf numFmtId="179" fontId="30" fillId="0" borderId="0" xfId="0" applyNumberFormat="1" applyFont="1" applyAlignment="1">
      <alignment horizontal="right"/>
    </xf>
    <xf numFmtId="165" fontId="4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0" fillId="3" borderId="0" xfId="0" applyFill="1"/>
    <xf numFmtId="172" fontId="11" fillId="0" borderId="0" xfId="0" applyNumberFormat="1" applyFont="1" applyAlignment="1">
      <alignment horizontal="right"/>
    </xf>
    <xf numFmtId="165" fontId="11" fillId="5" borderId="16" xfId="0" applyNumberFormat="1" applyFont="1" applyFill="1" applyBorder="1" applyAlignment="1">
      <alignment horizontal="right"/>
    </xf>
    <xf numFmtId="10" fontId="11" fillId="4" borderId="0" xfId="0" applyNumberFormat="1" applyFont="1" applyFill="1" applyAlignment="1">
      <alignment horizontal="right"/>
    </xf>
    <xf numFmtId="165" fontId="11" fillId="4" borderId="0" xfId="0" applyNumberFormat="1" applyFont="1" applyFill="1" applyAlignment="1">
      <alignment horizontal="right"/>
    </xf>
    <xf numFmtId="172" fontId="9" fillId="0" borderId="0" xfId="0" applyNumberFormat="1" applyFont="1" applyAlignment="1">
      <alignment horizontal="right"/>
    </xf>
    <xf numFmtId="175" fontId="10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2" fontId="10" fillId="0" borderId="3" xfId="0" applyNumberFormat="1" applyFont="1" applyBorder="1" applyAlignment="1">
      <alignment horizontal="right"/>
    </xf>
    <xf numFmtId="165" fontId="3" fillId="4" borderId="0" xfId="0" applyNumberFormat="1" applyFont="1" applyFill="1" applyAlignment="1">
      <alignment horizontal="right" indent="1"/>
    </xf>
    <xf numFmtId="0" fontId="49" fillId="0" borderId="0" xfId="0" applyFont="1"/>
    <xf numFmtId="0" fontId="52" fillId="3" borderId="0" xfId="0" applyFont="1" applyFill="1"/>
    <xf numFmtId="0" fontId="49" fillId="3" borderId="0" xfId="0" applyFont="1" applyFill="1"/>
    <xf numFmtId="0" fontId="53" fillId="0" borderId="0" xfId="0" applyFont="1"/>
    <xf numFmtId="0" fontId="54" fillId="4" borderId="0" xfId="0" applyFont="1" applyFill="1"/>
    <xf numFmtId="0" fontId="54" fillId="4" borderId="0" xfId="0" applyFont="1" applyFill="1" applyAlignment="1">
      <alignment horizontal="right"/>
    </xf>
    <xf numFmtId="0" fontId="54" fillId="4" borderId="0" xfId="0" applyFont="1" applyFill="1" applyAlignment="1">
      <alignment horizontal="left"/>
    </xf>
    <xf numFmtId="0" fontId="30" fillId="4" borderId="0" xfId="0" applyFont="1" applyFill="1"/>
    <xf numFmtId="0" fontId="6" fillId="3" borderId="13" xfId="0" applyFont="1" applyFill="1" applyBorder="1" applyAlignment="1">
      <alignment horizontal="left"/>
    </xf>
    <xf numFmtId="0" fontId="0" fillId="5" borderId="16" xfId="0" applyFill="1" applyBorder="1"/>
    <xf numFmtId="0" fontId="6" fillId="3" borderId="13" xfId="0" applyFont="1" applyFill="1" applyBorder="1"/>
    <xf numFmtId="0" fontId="0" fillId="5" borderId="0" xfId="0" applyFill="1"/>
    <xf numFmtId="0" fontId="0" fillId="4" borderId="16" xfId="0" applyFill="1" applyBorder="1"/>
    <xf numFmtId="0" fontId="7" fillId="3" borderId="13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40" fillId="0" borderId="16" xfId="0" applyFont="1" applyBorder="1" applyAlignment="1">
      <alignment horizontal="left"/>
    </xf>
    <xf numFmtId="0" fontId="54" fillId="4" borderId="18" xfId="0" applyFont="1" applyFill="1" applyBorder="1"/>
    <xf numFmtId="0" fontId="54" fillId="4" borderId="18" xfId="0" applyFont="1" applyFill="1" applyBorder="1" applyAlignment="1">
      <alignment horizontal="right"/>
    </xf>
    <xf numFmtId="0" fontId="56" fillId="0" borderId="19" xfId="0" applyFont="1" applyBorder="1"/>
    <xf numFmtId="169" fontId="57" fillId="0" borderId="19" xfId="0" applyNumberFormat="1" applyFont="1" applyBorder="1" applyAlignment="1">
      <alignment horizontal="right"/>
    </xf>
    <xf numFmtId="165" fontId="57" fillId="0" borderId="19" xfId="0" applyNumberFormat="1" applyFont="1" applyBorder="1" applyAlignment="1">
      <alignment horizontal="right"/>
    </xf>
    <xf numFmtId="10" fontId="57" fillId="0" borderId="19" xfId="0" applyNumberFormat="1" applyFont="1" applyBorder="1" applyAlignment="1">
      <alignment horizontal="right"/>
    </xf>
    <xf numFmtId="0" fontId="61" fillId="0" borderId="19" xfId="0" applyFont="1" applyBorder="1"/>
    <xf numFmtId="0" fontId="56" fillId="0" borderId="20" xfId="0" applyFont="1" applyBorder="1"/>
    <xf numFmtId="169" fontId="57" fillId="0" borderId="20" xfId="0" applyNumberFormat="1" applyFont="1" applyBorder="1" applyAlignment="1">
      <alignment horizontal="right"/>
    </xf>
    <xf numFmtId="165" fontId="57" fillId="0" borderId="20" xfId="0" applyNumberFormat="1" applyFont="1" applyBorder="1" applyAlignment="1">
      <alignment horizontal="right"/>
    </xf>
    <xf numFmtId="10" fontId="57" fillId="0" borderId="20" xfId="0" applyNumberFormat="1" applyFont="1" applyBorder="1" applyAlignment="1">
      <alignment horizontal="right"/>
    </xf>
    <xf numFmtId="0" fontId="61" fillId="0" borderId="20" xfId="0" applyFont="1" applyBorder="1"/>
    <xf numFmtId="0" fontId="56" fillId="5" borderId="21" xfId="0" applyFont="1" applyFill="1" applyBorder="1"/>
    <xf numFmtId="169" fontId="56" fillId="5" borderId="21" xfId="0" applyNumberFormat="1" applyFont="1" applyFill="1" applyBorder="1" applyAlignment="1">
      <alignment horizontal="right"/>
    </xf>
    <xf numFmtId="165" fontId="56" fillId="5" borderId="21" xfId="0" applyNumberFormat="1" applyFont="1" applyFill="1" applyBorder="1" applyAlignment="1">
      <alignment horizontal="right"/>
    </xf>
    <xf numFmtId="0" fontId="49" fillId="5" borderId="21" xfId="0" applyFont="1" applyFill="1" applyBorder="1"/>
    <xf numFmtId="0" fontId="49" fillId="4" borderId="18" xfId="0" applyFont="1" applyFill="1" applyBorder="1"/>
    <xf numFmtId="0" fontId="49" fillId="0" borderId="19" xfId="0" applyFont="1" applyBorder="1"/>
    <xf numFmtId="0" fontId="49" fillId="0" borderId="19" xfId="0" applyFont="1" applyBorder="1" applyAlignment="1">
      <alignment horizontal="right"/>
    </xf>
    <xf numFmtId="0" fontId="49" fillId="0" borderId="20" xfId="0" applyFont="1" applyBorder="1"/>
    <xf numFmtId="0" fontId="49" fillId="0" borderId="20" xfId="0" applyFont="1" applyBorder="1" applyAlignment="1">
      <alignment horizontal="right"/>
    </xf>
    <xf numFmtId="0" fontId="62" fillId="0" borderId="19" xfId="0" applyFont="1" applyBorder="1"/>
    <xf numFmtId="172" fontId="57" fillId="0" borderId="19" xfId="0" applyNumberFormat="1" applyFont="1" applyBorder="1" applyAlignment="1">
      <alignment horizontal="right"/>
    </xf>
    <xf numFmtId="0" fontId="0" fillId="0" borderId="20" xfId="0" applyBorder="1"/>
    <xf numFmtId="0" fontId="52" fillId="3" borderId="22" xfId="0" applyFont="1" applyFill="1" applyBorder="1"/>
    <xf numFmtId="0" fontId="49" fillId="3" borderId="22" xfId="0" applyFont="1" applyFill="1" applyBorder="1"/>
    <xf numFmtId="0" fontId="60" fillId="0" borderId="19" xfId="0" applyFont="1" applyBorder="1" applyAlignment="1">
      <alignment wrapText="1"/>
    </xf>
    <xf numFmtId="0" fontId="60" fillId="0" borderId="20" xfId="0" applyFont="1" applyBorder="1" applyAlignment="1">
      <alignment wrapText="1"/>
    </xf>
    <xf numFmtId="0" fontId="64" fillId="0" borderId="19" xfId="0" applyFont="1" applyBorder="1" applyAlignment="1">
      <alignment wrapText="1"/>
    </xf>
    <xf numFmtId="0" fontId="65" fillId="0" borderId="19" xfId="0" applyFont="1" applyBorder="1" applyAlignment="1">
      <alignment wrapText="1"/>
    </xf>
    <xf numFmtId="0" fontId="65" fillId="0" borderId="20" xfId="0" applyFont="1" applyBorder="1" applyAlignment="1">
      <alignment wrapText="1"/>
    </xf>
    <xf numFmtId="0" fontId="56" fillId="0" borderId="18" xfId="0" applyFont="1" applyBorder="1"/>
    <xf numFmtId="169" fontId="57" fillId="0" borderId="18" xfId="0" applyNumberFormat="1" applyFont="1" applyBorder="1" applyAlignment="1">
      <alignment horizontal="right"/>
    </xf>
    <xf numFmtId="0" fontId="49" fillId="0" borderId="18" xfId="0" applyFont="1" applyBorder="1"/>
    <xf numFmtId="0" fontId="51" fillId="0" borderId="18" xfId="0" applyFont="1" applyBorder="1"/>
    <xf numFmtId="0" fontId="51" fillId="0" borderId="19" xfId="0" applyFont="1" applyBorder="1"/>
    <xf numFmtId="0" fontId="58" fillId="0" borderId="19" xfId="0" applyFont="1" applyBorder="1"/>
    <xf numFmtId="168" fontId="59" fillId="0" borderId="19" xfId="0" applyNumberFormat="1" applyFont="1" applyBorder="1" applyAlignment="1">
      <alignment horizontal="right"/>
    </xf>
    <xf numFmtId="0" fontId="50" fillId="0" borderId="19" xfId="0" applyFont="1" applyBorder="1"/>
    <xf numFmtId="168" fontId="50" fillId="0" borderId="19" xfId="0" applyNumberFormat="1" applyFont="1" applyBorder="1" applyAlignment="1">
      <alignment horizontal="right"/>
    </xf>
    <xf numFmtId="180" fontId="56" fillId="0" borderId="19" xfId="0" applyNumberFormat="1" applyFont="1" applyBorder="1" applyAlignment="1">
      <alignment horizontal="right"/>
    </xf>
    <xf numFmtId="0" fontId="55" fillId="0" borderId="23" xfId="0" applyFont="1" applyBorder="1"/>
    <xf numFmtId="3" fontId="50" fillId="0" borderId="23" xfId="0" applyNumberFormat="1" applyFont="1" applyBorder="1" applyAlignment="1">
      <alignment horizontal="right"/>
    </xf>
    <xf numFmtId="0" fontId="49" fillId="0" borderId="23" xfId="0" applyFont="1" applyBorder="1"/>
    <xf numFmtId="0" fontId="62" fillId="0" borderId="19" xfId="0" applyFont="1" applyBorder="1" applyAlignment="1">
      <alignment horizontal="left"/>
    </xf>
    <xf numFmtId="0" fontId="62" fillId="0" borderId="20" xfId="0" applyFont="1" applyBorder="1" applyAlignment="1">
      <alignment horizontal="left"/>
    </xf>
    <xf numFmtId="0" fontId="0" fillId="4" borderId="18" xfId="0" applyFill="1" applyBorder="1"/>
    <xf numFmtId="0" fontId="54" fillId="4" borderId="18" xfId="0" applyFont="1" applyFill="1" applyBorder="1" applyAlignment="1">
      <alignment horizontal="left" wrapText="1"/>
    </xf>
    <xf numFmtId="0" fontId="64" fillId="0" borderId="19" xfId="0" applyFont="1" applyBorder="1" applyAlignment="1">
      <alignment horizontal="left"/>
    </xf>
    <xf numFmtId="0" fontId="65" fillId="0" borderId="19" xfId="0" applyFont="1" applyBorder="1" applyAlignment="1">
      <alignment horizontal="left"/>
    </xf>
    <xf numFmtId="0" fontId="65" fillId="0" borderId="20" xfId="0" applyFont="1" applyBorder="1" applyAlignment="1">
      <alignment horizontal="left"/>
    </xf>
    <xf numFmtId="168" fontId="63" fillId="0" borderId="19" xfId="0" applyNumberFormat="1" applyFont="1" applyBorder="1"/>
    <xf numFmtId="0" fontId="0" fillId="0" borderId="19" xfId="0" applyBorder="1"/>
    <xf numFmtId="0" fontId="62" fillId="0" borderId="20" xfId="0" applyFont="1" applyBorder="1"/>
    <xf numFmtId="0" fontId="63" fillId="0" borderId="20" xfId="0" applyFont="1" applyBorder="1" applyAlignment="1">
      <alignment horizontal="right"/>
    </xf>
    <xf numFmtId="0" fontId="69" fillId="0" borderId="0" xfId="0" applyFont="1" applyAlignment="1">
      <alignment vertical="center"/>
    </xf>
    <xf numFmtId="0" fontId="70" fillId="0" borderId="0" xfId="0" applyFont="1"/>
    <xf numFmtId="0" fontId="63" fillId="4" borderId="0" xfId="0" applyFont="1" applyFill="1" applyAlignment="1">
      <alignment horizontal="right"/>
    </xf>
    <xf numFmtId="9" fontId="71" fillId="0" borderId="0" xfId="0" applyNumberFormat="1" applyFont="1" applyAlignment="1">
      <alignment horizontal="right"/>
    </xf>
    <xf numFmtId="0" fontId="72" fillId="4" borderId="0" xfId="0" applyFont="1" applyFill="1"/>
    <xf numFmtId="169" fontId="73" fillId="10" borderId="0" xfId="0" applyNumberFormat="1" applyFont="1" applyFill="1"/>
    <xf numFmtId="0" fontId="60" fillId="0" borderId="5" xfId="0" applyFont="1" applyBorder="1"/>
    <xf numFmtId="10" fontId="74" fillId="0" borderId="0" xfId="0" applyNumberFormat="1" applyFont="1" applyAlignment="1">
      <alignment horizontal="right"/>
    </xf>
    <xf numFmtId="0" fontId="61" fillId="0" borderId="0" xfId="0" applyFont="1" applyAlignment="1">
      <alignment horizontal="right"/>
    </xf>
    <xf numFmtId="172" fontId="61" fillId="0" borderId="0" xfId="0" applyNumberFormat="1" applyFont="1" applyAlignment="1">
      <alignment horizontal="right"/>
    </xf>
    <xf numFmtId="0" fontId="41" fillId="0" borderId="9" xfId="0" applyFont="1" applyBorder="1"/>
    <xf numFmtId="0" fontId="77" fillId="0" borderId="0" xfId="0" applyFont="1" applyAlignment="1">
      <alignment horizontal="right"/>
    </xf>
    <xf numFmtId="0" fontId="75" fillId="2" borderId="0" xfId="0" applyFont="1" applyFill="1"/>
    <xf numFmtId="0" fontId="0" fillId="2" borderId="0" xfId="0" applyFill="1"/>
    <xf numFmtId="0" fontId="76" fillId="2" borderId="0" xfId="0" applyFont="1" applyFill="1"/>
    <xf numFmtId="0" fontId="76" fillId="2" borderId="0" xfId="0" applyFont="1" applyFill="1" applyAlignment="1">
      <alignment horizontal="right"/>
    </xf>
    <xf numFmtId="0" fontId="53" fillId="0" borderId="19" xfId="0" applyFont="1" applyBorder="1" applyAlignment="1">
      <alignment wrapText="1"/>
    </xf>
    <xf numFmtId="0" fontId="53" fillId="0" borderId="20" xfId="0" applyFont="1" applyBorder="1" applyAlignment="1">
      <alignment wrapText="1"/>
    </xf>
    <xf numFmtId="0" fontId="68" fillId="3" borderId="0" xfId="0" applyFont="1" applyFill="1" applyAlignment="1">
      <alignment vertical="center"/>
    </xf>
    <xf numFmtId="0" fontId="0" fillId="3" borderId="0" xfId="0" applyFill="1"/>
    <xf numFmtId="0" fontId="17" fillId="9" borderId="0" xfId="0" applyFont="1" applyFill="1"/>
    <xf numFmtId="0" fontId="0" fillId="9" borderId="0" xfId="0" applyFill="1"/>
    <xf numFmtId="0" fontId="66" fillId="0" borderId="19" xfId="0" applyFont="1" applyBorder="1"/>
    <xf numFmtId="0" fontId="66" fillId="0" borderId="20" xfId="0" applyFont="1" applyBorder="1"/>
    <xf numFmtId="0" fontId="67" fillId="0" borderId="0" xfId="0" applyFont="1" applyAlignment="1">
      <alignment wrapText="1"/>
    </xf>
    <xf numFmtId="0" fontId="54" fillId="4" borderId="18" xfId="0" applyFont="1" applyFill="1" applyBorder="1"/>
    <xf numFmtId="0" fontId="6" fillId="3" borderId="0" xfId="0" applyFont="1" applyFill="1"/>
    <xf numFmtId="0" fontId="0" fillId="0" borderId="0" xfId="0"/>
    <xf numFmtId="0" fontId="18" fillId="0" borderId="0" xfId="0" applyFont="1"/>
    <xf numFmtId="0" fontId="3" fillId="4" borderId="0" xfId="0" applyFont="1" applyFill="1" applyAlignment="1">
      <alignment horizontal="center"/>
    </xf>
    <xf numFmtId="0" fontId="40" fillId="0" borderId="0" xfId="0" applyFont="1"/>
    <xf numFmtId="0" fontId="6" fillId="3" borderId="0" xfId="0" applyFont="1" applyFill="1" applyAlignment="1">
      <alignment horizontal="left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b val="0"/>
        <i/>
        <color rgb="FFFF0000"/>
      </font>
    </dxf>
    <dxf>
      <font>
        <b val="0"/>
        <i/>
        <color rgb="FFFF0000"/>
      </font>
    </dxf>
  </dxfs>
  <tableStyles count="0" defaultTableStyle="TableStyleMedium2" defaultPivotStyle="PivotStyleLight16"/>
  <colors>
    <indexedColors>
      <rgbColor rgb="FF000000"/>
      <rgbColor rgb="FFF2F3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4E79"/>
      <color rgb="FFD9E1F2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EV Contribution ($B, 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Graphs!$U$4</c:f>
              <c:strCache>
                <c:ptCount val="1"/>
                <c:pt idx="0">
                  <c:v>Avg EV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Graphs!$T$5:$T$7</c:f>
              <c:strCache>
                <c:ptCount val="3"/>
                <c:pt idx="0">
                  <c:v>Connectivity</c:v>
                </c:pt>
                <c:pt idx="1">
                  <c:v>Space</c:v>
                </c:pt>
                <c:pt idx="2">
                  <c:v>AI</c:v>
                </c:pt>
              </c:strCache>
            </c:strRef>
          </c:cat>
          <c:val>
            <c:numRef>
              <c:f>Graphs!$U$5:$U$7</c:f>
              <c:numCache>
                <c:formatCode>0.0</c:formatCode>
                <c:ptCount val="3"/>
                <c:pt idx="0">
                  <c:v>436.04619546017983</c:v>
                </c:pt>
                <c:pt idx="1">
                  <c:v>91.383930985018466</c:v>
                </c:pt>
                <c:pt idx="2">
                  <c:v>47.276061632378152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2-4FCB-8896-6681E052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166752"/>
        <c:axId val="1241161952"/>
      </c:barChart>
      <c:catAx>
        <c:axId val="12411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1952"/>
        <c:crosses val="autoZero"/>
        <c:auto val="1"/>
        <c:lblAlgn val="ctr"/>
        <c:lblOffset val="100"/>
        <c:noMultiLvlLbl val="0"/>
      </c:catAx>
      <c:valAx>
        <c:axId val="12411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SpaceX Valuation — Rifat's Model vs Third-Party Sources ($B)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Graphs!$W$5:$W$10</c:f>
              <c:strCache>
                <c:ptCount val="6"/>
                <c:pt idx="0">
                  <c:v>IPO ($135)</c:v>
                </c:pt>
                <c:pt idx="1">
                  <c:v>ARK (2030 FV)</c:v>
                </c:pt>
                <c:pt idx="2">
                  <c:v>Morningstar</c:v>
                </c:pt>
                <c:pt idx="3">
                  <c:v>M&amp;I SOTP</c:v>
                </c:pt>
                <c:pt idx="4">
                  <c:v>Rifat's DCF (Gordon)</c:v>
                </c:pt>
                <c:pt idx="5">
                  <c:v>Rifat's DCF (Avg)</c:v>
                </c:pt>
              </c:strCache>
            </c:strRef>
          </c:cat>
          <c:val>
            <c:numRef>
              <c:f>Graphs!$X$5:$X$10</c:f>
              <c:numCache>
                <c:formatCode>_(* #,##0_);_(* \(#,##0\);_(* "-"??_);_(@_)</c:formatCode>
                <c:ptCount val="6"/>
                <c:pt idx="0">
                  <c:v>1750</c:v>
                </c:pt>
                <c:pt idx="1">
                  <c:v>2500</c:v>
                </c:pt>
                <c:pt idx="2">
                  <c:v>780</c:v>
                </c:pt>
                <c:pt idx="3">
                  <c:v>429</c:v>
                </c:pt>
                <c:pt idx="4">
                  <c:v>649.14863953638405</c:v>
                </c:pt>
                <c:pt idx="5">
                  <c:v>576.1671880775765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F-401D-A51D-24AC23291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587616"/>
        <c:axId val="1068602496"/>
      </c:barChart>
      <c:catAx>
        <c:axId val="106858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02496"/>
        <c:crosses val="autoZero"/>
        <c:auto val="1"/>
        <c:lblAlgn val="ctr"/>
        <c:lblOffset val="100"/>
        <c:noMultiLvlLbl val="0"/>
      </c:catAx>
      <c:valAx>
        <c:axId val="106860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8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22860</xdr:rowOff>
    </xdr:from>
    <xdr:to>
      <xdr:col>7</xdr:col>
      <xdr:colOff>297180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62282-4C36-4D4C-A44D-83C3B3091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349526</xdr:colOff>
      <xdr:row>2</xdr:row>
      <xdr:rowOff>21866</xdr:rowOff>
    </xdr:from>
    <xdr:to>
      <xdr:col>17</xdr:col>
      <xdr:colOff>17662</xdr:colOff>
      <xdr:row>22</xdr:row>
      <xdr:rowOff>21866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8A62AF-E0AF-E176-E6FB-0982AAD21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9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01FC91-6F3E-410D-925D-ED366143977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0124813-49a8-4f2c-8d4a-d493a2ebf09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E6C-B78C-4231-B166-FD77A910F76F}">
  <sheetPr>
    <tabColor rgb="FF1F4E79"/>
  </sheetPr>
  <dimension ref="A1:J82"/>
  <sheetViews>
    <sheetView showGridLines="0" tabSelected="1" zoomScaleNormal="100" workbookViewId="0">
      <pane ySplit="2" topLeftCell="A3" activePane="bottomLeft" state="frozen"/>
      <selection pane="bottomLeft" activeCell="B57" sqref="B57"/>
    </sheetView>
  </sheetViews>
  <sheetFormatPr defaultRowHeight="14.4" x14ac:dyDescent="0.3"/>
  <cols>
    <col min="1" max="1" width="48.109375" customWidth="1"/>
    <col min="2" max="2" width="20.33203125" customWidth="1"/>
    <col min="3" max="4" width="15.77734375" customWidth="1"/>
    <col min="5" max="5" width="11.109375" customWidth="1"/>
    <col min="6" max="6" width="43.77734375" customWidth="1"/>
    <col min="7" max="7" width="11.44140625" customWidth="1"/>
  </cols>
  <sheetData>
    <row r="1" spans="1:10" ht="30" customHeight="1" x14ac:dyDescent="0.3">
      <c r="A1" s="342" t="s">
        <v>763</v>
      </c>
      <c r="B1" s="343"/>
      <c r="C1" s="343"/>
      <c r="D1" s="343"/>
      <c r="E1" s="343"/>
      <c r="F1" s="343"/>
      <c r="G1" s="343"/>
      <c r="H1" s="343"/>
      <c r="I1" s="343"/>
      <c r="J1" s="343"/>
    </row>
    <row r="2" spans="1:10" x14ac:dyDescent="0.3">
      <c r="A2" s="344" t="str">
        <f ca="1">"Prepared: "&amp;TEXT(TODAY(),"d-mmm-yyyy")&amp;"  |  Source: SpaceX S-1 (Filed 20-May-2026) "</f>
        <v xml:space="preserve">Prepared: 11-Jun-2026  |  Source: SpaceX S-1 (Filed 20-May-2026) </v>
      </c>
      <c r="B2" s="345"/>
      <c r="C2" s="345"/>
      <c r="D2" s="345"/>
      <c r="E2" s="345"/>
      <c r="F2" s="345"/>
      <c r="G2" s="345"/>
      <c r="H2" s="345"/>
      <c r="I2" s="345"/>
      <c r="J2" s="345"/>
    </row>
    <row r="3" spans="1:10" x14ac:dyDescent="0.3">
      <c r="A3" s="252"/>
      <c r="B3" s="252"/>
      <c r="C3" s="252"/>
      <c r="D3" s="252"/>
      <c r="E3" s="252"/>
      <c r="F3" s="252"/>
    </row>
    <row r="4" spans="1:10" x14ac:dyDescent="0.3">
      <c r="A4" s="253" t="s">
        <v>668</v>
      </c>
      <c r="B4" s="254"/>
      <c r="C4" s="254"/>
      <c r="D4" s="254"/>
      <c r="E4" s="254"/>
      <c r="F4" s="254"/>
      <c r="G4" s="254"/>
      <c r="H4" s="254"/>
      <c r="I4" s="254"/>
      <c r="J4" s="254"/>
    </row>
    <row r="5" spans="1:10" x14ac:dyDescent="0.3">
      <c r="A5" s="252"/>
      <c r="B5" s="252"/>
      <c r="C5" s="252"/>
      <c r="D5" s="252"/>
      <c r="E5" s="252"/>
      <c r="F5" s="252"/>
    </row>
    <row r="6" spans="1:10" x14ac:dyDescent="0.3">
      <c r="A6" s="252" t="s">
        <v>669</v>
      </c>
      <c r="B6" s="252"/>
      <c r="C6" s="252"/>
      <c r="D6" s="252"/>
      <c r="E6" s="252"/>
      <c r="F6" s="252"/>
    </row>
    <row r="7" spans="1:10" x14ac:dyDescent="0.3">
      <c r="A7" s="255" t="s">
        <v>670</v>
      </c>
      <c r="B7" s="252"/>
      <c r="C7" s="252"/>
      <c r="D7" s="252"/>
      <c r="E7" s="252"/>
      <c r="F7" s="252"/>
    </row>
    <row r="8" spans="1:10" x14ac:dyDescent="0.3">
      <c r="A8" s="255" t="s">
        <v>671</v>
      </c>
      <c r="B8" s="252"/>
      <c r="C8" s="252"/>
      <c r="D8" s="252"/>
      <c r="E8" s="252"/>
      <c r="F8" s="252"/>
    </row>
    <row r="9" spans="1:10" x14ac:dyDescent="0.3">
      <c r="A9" s="255" t="s">
        <v>672</v>
      </c>
      <c r="B9" s="252"/>
      <c r="C9" s="252"/>
      <c r="D9" s="252"/>
      <c r="E9" s="252"/>
      <c r="F9" s="252"/>
    </row>
    <row r="10" spans="1:10" x14ac:dyDescent="0.3">
      <c r="A10" s="252"/>
      <c r="B10" s="252"/>
      <c r="C10" s="252"/>
      <c r="D10" s="252"/>
      <c r="E10" s="252"/>
      <c r="F10" s="252"/>
    </row>
    <row r="11" spans="1:10" x14ac:dyDescent="0.3">
      <c r="A11" s="252" t="s">
        <v>673</v>
      </c>
      <c r="B11" s="252"/>
      <c r="C11" s="252"/>
      <c r="D11" s="252"/>
      <c r="E11" s="252"/>
      <c r="F11" s="252"/>
    </row>
    <row r="12" spans="1:10" x14ac:dyDescent="0.3">
      <c r="A12" s="252" t="s">
        <v>674</v>
      </c>
      <c r="B12" s="252"/>
      <c r="C12" s="252"/>
      <c r="D12" s="252"/>
      <c r="E12" s="252"/>
      <c r="F12" s="252"/>
    </row>
    <row r="13" spans="1:10" x14ac:dyDescent="0.3">
      <c r="A13" s="252"/>
      <c r="B13" s="252"/>
      <c r="C13" s="252"/>
      <c r="D13" s="252"/>
      <c r="E13" s="252"/>
      <c r="F13" s="252"/>
    </row>
    <row r="14" spans="1:10" x14ac:dyDescent="0.3">
      <c r="A14" s="253" t="s">
        <v>675</v>
      </c>
      <c r="B14" s="254"/>
      <c r="C14" s="254"/>
      <c r="D14" s="254"/>
      <c r="E14" s="254"/>
      <c r="F14" s="254"/>
      <c r="G14" s="254"/>
      <c r="H14" s="254"/>
      <c r="I14" s="254"/>
      <c r="J14" s="254"/>
    </row>
    <row r="15" spans="1:10" x14ac:dyDescent="0.3">
      <c r="A15" s="256"/>
      <c r="B15" s="257" t="s">
        <v>676</v>
      </c>
      <c r="C15" s="257" t="s">
        <v>677</v>
      </c>
      <c r="D15" s="257" t="s">
        <v>155</v>
      </c>
      <c r="E15" s="257"/>
      <c r="F15" s="258" t="s">
        <v>678</v>
      </c>
      <c r="G15" s="258"/>
      <c r="H15" s="258"/>
      <c r="I15" s="258"/>
      <c r="J15" s="258"/>
    </row>
    <row r="16" spans="1:10" x14ac:dyDescent="0.3">
      <c r="A16" s="300" t="s">
        <v>679</v>
      </c>
      <c r="B16" s="301">
        <f>SOTP!B11</f>
        <v>647687.63953638403</v>
      </c>
      <c r="C16" s="301">
        <f>SOTP!C11</f>
        <v>501724.73661876889</v>
      </c>
      <c r="D16" s="301">
        <f>SOTP!D11</f>
        <v>574706.18807757646</v>
      </c>
      <c r="E16" s="302"/>
      <c r="F16" s="303" t="s">
        <v>684</v>
      </c>
      <c r="G16" s="303"/>
      <c r="H16" s="303"/>
      <c r="I16" s="303"/>
      <c r="J16" s="303"/>
    </row>
    <row r="17" spans="1:10" x14ac:dyDescent="0.3">
      <c r="A17" s="271" t="s">
        <v>205</v>
      </c>
      <c r="B17" s="272">
        <f>SOTP!B20</f>
        <v>649148.63953638403</v>
      </c>
      <c r="C17" s="272">
        <f>SOTP!C20</f>
        <v>503185.73661876889</v>
      </c>
      <c r="D17" s="272">
        <f>SOTP!D20</f>
        <v>576167.18807757646</v>
      </c>
      <c r="E17" s="286"/>
      <c r="F17" s="304" t="s">
        <v>685</v>
      </c>
      <c r="G17" s="304"/>
      <c r="H17" s="304"/>
      <c r="I17" s="304"/>
      <c r="J17" s="304"/>
    </row>
    <row r="18" spans="1:10" ht="15.6" x14ac:dyDescent="0.3">
      <c r="A18" s="305" t="s">
        <v>680</v>
      </c>
      <c r="B18" s="306">
        <f>B17/SOTP!B25</f>
        <v>50.088629593856794</v>
      </c>
      <c r="C18" s="306">
        <f>C17/SOTP!C25</f>
        <v>38.826059924287726</v>
      </c>
      <c r="D18" s="306">
        <f>D17/SOTP!D25</f>
        <v>44.457344759072257</v>
      </c>
      <c r="E18" s="286"/>
      <c r="F18" s="304" t="s">
        <v>686</v>
      </c>
      <c r="G18" s="304"/>
      <c r="H18" s="304"/>
      <c r="I18" s="304"/>
      <c r="J18" s="304"/>
    </row>
    <row r="19" spans="1:10" x14ac:dyDescent="0.3">
      <c r="A19" s="307" t="s">
        <v>681</v>
      </c>
      <c r="B19" s="308">
        <f>COVER!B5</f>
        <v>135</v>
      </c>
      <c r="C19" s="308">
        <f>B19</f>
        <v>135</v>
      </c>
      <c r="D19" s="308">
        <f>B19</f>
        <v>135</v>
      </c>
      <c r="E19" s="286"/>
      <c r="F19" s="286"/>
      <c r="G19" s="286"/>
      <c r="H19" s="286"/>
      <c r="I19" s="286"/>
      <c r="J19" s="286"/>
    </row>
    <row r="20" spans="1:10" x14ac:dyDescent="0.3">
      <c r="A20" s="271" t="s">
        <v>682</v>
      </c>
      <c r="B20" s="309">
        <f>B18/B19-1</f>
        <v>-0.62897311411957935</v>
      </c>
      <c r="C20" s="309">
        <f>C18/C19-1</f>
        <v>-0.71239955611638717</v>
      </c>
      <c r="D20" s="309">
        <f>D18/D19-1</f>
        <v>-0.67068633511798326</v>
      </c>
      <c r="E20" s="286"/>
      <c r="F20" s="286"/>
      <c r="G20" s="286"/>
      <c r="H20" s="286"/>
      <c r="I20" s="286"/>
      <c r="J20" s="286"/>
    </row>
    <row r="21" spans="1:10" ht="15" thickBot="1" x14ac:dyDescent="0.35">
      <c r="A21" s="310" t="s">
        <v>683</v>
      </c>
      <c r="B21" s="311">
        <f>SOTP!B25</f>
        <v>12960</v>
      </c>
      <c r="C21" s="312"/>
      <c r="D21" s="312"/>
      <c r="E21" s="312"/>
      <c r="F21" s="312"/>
      <c r="G21" s="312"/>
      <c r="H21" s="312"/>
      <c r="I21" s="312"/>
      <c r="J21" s="312"/>
    </row>
    <row r="22" spans="1:10" ht="6" customHeight="1" thickTop="1" thickBot="1" x14ac:dyDescent="0.35">
      <c r="A22" s="252"/>
      <c r="B22" s="252"/>
      <c r="C22" s="252"/>
      <c r="D22" s="252"/>
      <c r="E22" s="252"/>
      <c r="F22" s="252"/>
      <c r="G22" s="252"/>
      <c r="H22" s="252"/>
      <c r="I22" s="252"/>
      <c r="J22" s="252"/>
    </row>
    <row r="23" spans="1:10" ht="15" thickTop="1" x14ac:dyDescent="0.3">
      <c r="A23" s="293" t="s">
        <v>688</v>
      </c>
      <c r="B23" s="294"/>
      <c r="C23" s="294"/>
      <c r="D23" s="294"/>
      <c r="E23" s="294"/>
      <c r="F23" s="294"/>
      <c r="G23" s="242"/>
      <c r="H23" s="242"/>
      <c r="I23" s="242"/>
      <c r="J23" s="242"/>
    </row>
    <row r="24" spans="1:10" ht="6" customHeight="1" x14ac:dyDescent="0.3">
      <c r="A24" s="252"/>
      <c r="B24" s="252"/>
      <c r="C24" s="252"/>
      <c r="D24" s="252"/>
      <c r="E24" s="252"/>
      <c r="F24" s="252"/>
    </row>
    <row r="25" spans="1:10" x14ac:dyDescent="0.3">
      <c r="A25" s="269" t="s">
        <v>19</v>
      </c>
      <c r="B25" s="270" t="s">
        <v>689</v>
      </c>
      <c r="C25" s="270" t="s">
        <v>690</v>
      </c>
      <c r="D25" s="270" t="s">
        <v>57</v>
      </c>
      <c r="E25" s="270" t="s">
        <v>691</v>
      </c>
      <c r="F25" s="269" t="s">
        <v>692</v>
      </c>
      <c r="G25" s="269"/>
      <c r="H25" s="269"/>
      <c r="I25" s="269"/>
      <c r="J25" s="269"/>
    </row>
    <row r="26" spans="1:10" x14ac:dyDescent="0.3">
      <c r="A26" s="271" t="s">
        <v>35</v>
      </c>
      <c r="B26" s="272">
        <f>SOTP!D8</f>
        <v>436046.19546017982</v>
      </c>
      <c r="C26" s="273">
        <f>SOTP!E8</f>
        <v>0.75872890270901405</v>
      </c>
      <c r="D26" s="274">
        <f>WACC!B47</f>
        <v>7.544535256410255E-2</v>
      </c>
      <c r="E26" s="273">
        <f>WACC!C47</f>
        <v>0.03</v>
      </c>
      <c r="F26" s="275" t="s">
        <v>693</v>
      </c>
      <c r="G26" s="275"/>
      <c r="H26" s="275"/>
      <c r="I26" s="275"/>
      <c r="J26" s="275"/>
    </row>
    <row r="27" spans="1:10" x14ac:dyDescent="0.3">
      <c r="A27" s="271" t="s">
        <v>152</v>
      </c>
      <c r="B27" s="272">
        <f>SOTP!D9</f>
        <v>91383.930985018465</v>
      </c>
      <c r="C27" s="273">
        <f>SOTP!E9</f>
        <v>0.15900982603076314</v>
      </c>
      <c r="D27" s="274">
        <f>WACC!B48</f>
        <v>7.9328831862053625E-2</v>
      </c>
      <c r="E27" s="273">
        <f>WACC!C48</f>
        <v>2.5000000000000001E-2</v>
      </c>
      <c r="F27" s="275" t="s">
        <v>693</v>
      </c>
      <c r="G27" s="275"/>
      <c r="H27" s="275"/>
      <c r="I27" s="275"/>
      <c r="J27" s="275"/>
    </row>
    <row r="28" spans="1:10" x14ac:dyDescent="0.3">
      <c r="A28" s="276" t="s">
        <v>153</v>
      </c>
      <c r="B28" s="277">
        <f>SOTP!D10</f>
        <v>47276.061632378151</v>
      </c>
      <c r="C28" s="278">
        <f>SOTP!E10</f>
        <v>8.2261271260222812E-2</v>
      </c>
      <c r="D28" s="279">
        <f>WACC!B49</f>
        <v>0.11585357991614477</v>
      </c>
      <c r="E28" s="278">
        <f>WACC!C49</f>
        <v>3.5000000000000003E-2</v>
      </c>
      <c r="F28" s="280" t="s">
        <v>694</v>
      </c>
      <c r="G28" s="280"/>
      <c r="H28" s="280"/>
      <c r="I28" s="280"/>
      <c r="J28" s="280"/>
    </row>
    <row r="29" spans="1:10" x14ac:dyDescent="0.3">
      <c r="A29" s="281" t="s">
        <v>695</v>
      </c>
      <c r="B29" s="282">
        <f>SOTP!D11</f>
        <v>574706.18807757646</v>
      </c>
      <c r="C29" s="283">
        <f>SOTP!E11</f>
        <v>1</v>
      </c>
      <c r="D29" s="284"/>
      <c r="E29" s="284"/>
      <c r="F29" s="284"/>
      <c r="G29" s="284"/>
      <c r="H29" s="284"/>
      <c r="I29" s="284"/>
      <c r="J29" s="284"/>
    </row>
    <row r="30" spans="1:10" ht="6" customHeight="1" thickBot="1" x14ac:dyDescent="0.35">
      <c r="A30" s="252"/>
      <c r="B30" s="252"/>
      <c r="C30" s="252"/>
      <c r="D30" s="252"/>
      <c r="E30" s="252"/>
      <c r="F30" s="252"/>
    </row>
    <row r="31" spans="1:10" ht="15" thickTop="1" x14ac:dyDescent="0.3">
      <c r="A31" s="293" t="s">
        <v>696</v>
      </c>
      <c r="B31" s="294"/>
      <c r="C31" s="294"/>
      <c r="D31" s="294"/>
      <c r="E31" s="294"/>
      <c r="F31" s="294"/>
      <c r="G31" s="242"/>
      <c r="H31" s="242"/>
      <c r="I31" s="242"/>
      <c r="J31" s="242"/>
    </row>
    <row r="32" spans="1:10" ht="6" customHeight="1" x14ac:dyDescent="0.3">
      <c r="A32" s="252"/>
      <c r="B32" s="252"/>
      <c r="C32" s="252"/>
      <c r="D32" s="252"/>
      <c r="E32" s="252"/>
      <c r="F32" s="252"/>
    </row>
    <row r="33" spans="1:10" x14ac:dyDescent="0.3">
      <c r="A33" s="269" t="s">
        <v>6</v>
      </c>
      <c r="B33" s="270" t="s">
        <v>39</v>
      </c>
      <c r="C33" s="270" t="s">
        <v>24</v>
      </c>
      <c r="D33" s="270" t="s">
        <v>40</v>
      </c>
      <c r="E33" s="285"/>
      <c r="F33" s="269" t="s">
        <v>233</v>
      </c>
      <c r="G33" s="269"/>
      <c r="H33" s="269"/>
      <c r="I33" s="269"/>
      <c r="J33" s="269"/>
    </row>
    <row r="34" spans="1:10" x14ac:dyDescent="0.3">
      <c r="A34" s="286" t="s">
        <v>697</v>
      </c>
      <c r="B34" s="287" t="s">
        <v>698</v>
      </c>
      <c r="C34" s="287" t="s">
        <v>698</v>
      </c>
      <c r="D34" s="287" t="s">
        <v>698</v>
      </c>
      <c r="E34" s="286"/>
      <c r="F34" s="275" t="s">
        <v>699</v>
      </c>
      <c r="G34" s="275"/>
      <c r="H34" s="275"/>
      <c r="I34" s="275"/>
      <c r="J34" s="275"/>
    </row>
    <row r="35" spans="1:10" x14ac:dyDescent="0.3">
      <c r="A35" s="286" t="s">
        <v>57</v>
      </c>
      <c r="B35" s="274">
        <f>WACC!B47</f>
        <v>7.544535256410255E-2</v>
      </c>
      <c r="C35" s="274">
        <f>WACC!B48</f>
        <v>7.9328831862053625E-2</v>
      </c>
      <c r="D35" s="274">
        <f>WACC!B49</f>
        <v>0.11585357991614477</v>
      </c>
      <c r="E35" s="286"/>
      <c r="F35" s="275" t="s">
        <v>700</v>
      </c>
      <c r="G35" s="275"/>
      <c r="H35" s="275"/>
      <c r="I35" s="275"/>
      <c r="J35" s="275"/>
    </row>
    <row r="36" spans="1:10" x14ac:dyDescent="0.3">
      <c r="A36" s="286" t="s">
        <v>82</v>
      </c>
      <c r="B36" s="273">
        <f>WACC!C47</f>
        <v>0.03</v>
      </c>
      <c r="C36" s="273">
        <f>WACC!C48</f>
        <v>2.5000000000000001E-2</v>
      </c>
      <c r="D36" s="273">
        <f>WACC!C49</f>
        <v>3.5000000000000003E-2</v>
      </c>
      <c r="E36" s="286"/>
      <c r="F36" s="275" t="s">
        <v>701</v>
      </c>
      <c r="G36" s="275"/>
      <c r="H36" s="275"/>
      <c r="I36" s="275"/>
      <c r="J36" s="275"/>
    </row>
    <row r="37" spans="1:10" x14ac:dyDescent="0.3">
      <c r="A37" s="286" t="s">
        <v>702</v>
      </c>
      <c r="B37" s="274">
        <f>WACC!B6</f>
        <v>4.3499999999999997E-2</v>
      </c>
      <c r="C37" s="287"/>
      <c r="D37" s="287"/>
      <c r="E37" s="286"/>
      <c r="F37" s="275" t="s">
        <v>703</v>
      </c>
      <c r="G37" s="275"/>
      <c r="H37" s="275"/>
      <c r="I37" s="275"/>
      <c r="J37" s="275"/>
    </row>
    <row r="38" spans="1:10" x14ac:dyDescent="0.3">
      <c r="A38" s="286" t="s">
        <v>11</v>
      </c>
      <c r="B38" s="273">
        <f>WACC!B7</f>
        <v>5.5E-2</v>
      </c>
      <c r="C38" s="287"/>
      <c r="D38" s="287"/>
      <c r="E38" s="286"/>
      <c r="F38" s="275" t="s">
        <v>704</v>
      </c>
      <c r="G38" s="275"/>
      <c r="H38" s="275"/>
      <c r="I38" s="275"/>
      <c r="J38" s="275"/>
    </row>
    <row r="39" spans="1:10" x14ac:dyDescent="0.3">
      <c r="A39" s="288" t="s">
        <v>13</v>
      </c>
      <c r="B39" s="278">
        <f>WACC!B8</f>
        <v>0.21</v>
      </c>
      <c r="C39" s="289"/>
      <c r="D39" s="289"/>
      <c r="E39" s="288"/>
      <c r="F39" s="280" t="s">
        <v>705</v>
      </c>
      <c r="G39" s="280"/>
      <c r="H39" s="280"/>
      <c r="I39" s="280"/>
      <c r="J39" s="280"/>
    </row>
    <row r="40" spans="1:10" ht="6" customHeight="1" thickBot="1" x14ac:dyDescent="0.35">
      <c r="A40" s="252"/>
      <c r="B40" s="252"/>
      <c r="C40" s="252"/>
      <c r="D40" s="252"/>
      <c r="E40" s="252"/>
      <c r="F40" s="252"/>
    </row>
    <row r="41" spans="1:10" ht="15" thickTop="1" x14ac:dyDescent="0.3">
      <c r="A41" s="293" t="s">
        <v>706</v>
      </c>
      <c r="B41" s="294"/>
      <c r="C41" s="294"/>
      <c r="D41" s="294"/>
      <c r="E41" s="294"/>
      <c r="F41" s="294"/>
      <c r="G41" s="242"/>
      <c r="H41" s="242"/>
      <c r="I41" s="242"/>
      <c r="J41" s="242"/>
    </row>
    <row r="42" spans="1:10" ht="6" customHeight="1" x14ac:dyDescent="0.3">
      <c r="A42" s="252"/>
      <c r="B42" s="252"/>
      <c r="C42" s="252"/>
      <c r="D42" s="252"/>
      <c r="E42" s="252"/>
      <c r="F42" s="252"/>
    </row>
    <row r="43" spans="1:10" x14ac:dyDescent="0.3">
      <c r="A43" s="269" t="s">
        <v>174</v>
      </c>
      <c r="B43" s="270" t="s">
        <v>385</v>
      </c>
      <c r="C43" s="270" t="s">
        <v>707</v>
      </c>
      <c r="D43" s="285"/>
      <c r="E43" s="285"/>
      <c r="F43" s="269" t="s">
        <v>8</v>
      </c>
      <c r="G43" s="269"/>
      <c r="H43" s="269"/>
      <c r="I43" s="269"/>
      <c r="J43" s="269"/>
    </row>
    <row r="44" spans="1:10" x14ac:dyDescent="0.3">
      <c r="A44" s="271" t="s">
        <v>1</v>
      </c>
      <c r="B44" s="272">
        <f>SOTP!D38</f>
        <v>18674</v>
      </c>
      <c r="C44" s="273">
        <f>SOTP!D38/SOTP!C38-1</f>
        <v>0.3324295397788084</v>
      </c>
      <c r="D44" s="286"/>
      <c r="E44" s="286"/>
      <c r="F44" s="275" t="s">
        <v>708</v>
      </c>
      <c r="G44" s="275"/>
      <c r="H44" s="275"/>
      <c r="I44" s="275"/>
      <c r="J44" s="275"/>
    </row>
    <row r="45" spans="1:10" x14ac:dyDescent="0.3">
      <c r="A45" s="290" t="s">
        <v>620</v>
      </c>
      <c r="B45" s="272">
        <f>SOTP!D39</f>
        <v>11387</v>
      </c>
      <c r="C45" s="273">
        <f>SOTP!D39/SOTP!C39-1</f>
        <v>0.49848664297933931</v>
      </c>
      <c r="D45" s="286"/>
      <c r="E45" s="286"/>
      <c r="F45" s="275" t="s">
        <v>709</v>
      </c>
      <c r="G45" s="275"/>
      <c r="H45" s="275"/>
      <c r="I45" s="275"/>
      <c r="J45" s="275"/>
    </row>
    <row r="46" spans="1:10" x14ac:dyDescent="0.3">
      <c r="A46" s="290" t="s">
        <v>619</v>
      </c>
      <c r="B46" s="272">
        <f>SOTP!D40</f>
        <v>4086</v>
      </c>
      <c r="C46" s="273">
        <f>SOTP!D40/SOTP!C40-1</f>
        <v>7.6396206533192901E-2</v>
      </c>
      <c r="D46" s="286"/>
      <c r="E46" s="286"/>
      <c r="F46" s="275" t="s">
        <v>710</v>
      </c>
      <c r="G46" s="275"/>
      <c r="H46" s="275"/>
      <c r="I46" s="275"/>
      <c r="J46" s="275"/>
    </row>
    <row r="47" spans="1:10" x14ac:dyDescent="0.3">
      <c r="A47" s="290" t="s">
        <v>621</v>
      </c>
      <c r="B47" s="272">
        <f>SOTP!D41</f>
        <v>3201</v>
      </c>
      <c r="C47" s="273">
        <f>SOTP!D41/SOTP!C41-1</f>
        <v>0.22175572519083975</v>
      </c>
      <c r="D47" s="286"/>
      <c r="E47" s="286"/>
      <c r="F47" s="275" t="s">
        <v>711</v>
      </c>
      <c r="G47" s="275"/>
      <c r="H47" s="275"/>
      <c r="I47" s="275"/>
      <c r="J47" s="275"/>
    </row>
    <row r="48" spans="1:10" x14ac:dyDescent="0.3">
      <c r="A48" s="286" t="s">
        <v>712</v>
      </c>
      <c r="B48" s="291">
        <f>SOTP!D44</f>
        <v>-4937</v>
      </c>
      <c r="C48" s="287"/>
      <c r="D48" s="286"/>
      <c r="E48" s="286"/>
      <c r="F48" s="275" t="s">
        <v>713</v>
      </c>
      <c r="G48" s="275"/>
      <c r="H48" s="275"/>
      <c r="I48" s="275"/>
      <c r="J48" s="275"/>
    </row>
    <row r="49" spans="1:10" x14ac:dyDescent="0.3">
      <c r="A49" s="286" t="s">
        <v>185</v>
      </c>
      <c r="B49" s="291">
        <f>SOTP!D43</f>
        <v>6785</v>
      </c>
      <c r="C49" s="287"/>
      <c r="D49" s="286"/>
      <c r="E49" s="286"/>
      <c r="F49" s="275" t="s">
        <v>714</v>
      </c>
      <c r="G49" s="275"/>
      <c r="H49" s="275"/>
      <c r="I49" s="275"/>
      <c r="J49" s="275"/>
    </row>
    <row r="50" spans="1:10" x14ac:dyDescent="0.3">
      <c r="A50" s="286" t="s">
        <v>183</v>
      </c>
      <c r="B50" s="291">
        <f>SOTP!D42</f>
        <v>-20737</v>
      </c>
      <c r="C50" s="287"/>
      <c r="D50" s="286"/>
      <c r="E50" s="286"/>
      <c r="F50" s="275" t="s">
        <v>715</v>
      </c>
      <c r="G50" s="275"/>
      <c r="H50" s="275"/>
      <c r="I50" s="275"/>
      <c r="J50" s="275"/>
    </row>
    <row r="51" spans="1:10" x14ac:dyDescent="0.3">
      <c r="A51" s="288" t="s">
        <v>188</v>
      </c>
      <c r="B51" s="278">
        <f>SOTP!D45</f>
        <v>0.629</v>
      </c>
      <c r="C51" s="289"/>
      <c r="D51" s="288"/>
      <c r="E51" s="288"/>
      <c r="F51" s="280" t="s">
        <v>716</v>
      </c>
      <c r="G51" s="280"/>
      <c r="H51" s="280"/>
      <c r="I51" s="280"/>
      <c r="J51" s="280"/>
    </row>
    <row r="52" spans="1:10" ht="6" customHeight="1" thickBot="1" x14ac:dyDescent="0.35">
      <c r="A52" s="252"/>
      <c r="B52" s="252"/>
      <c r="C52" s="252"/>
      <c r="D52" s="252"/>
      <c r="E52" s="252"/>
      <c r="F52" s="252"/>
    </row>
    <row r="53" spans="1:10" ht="15" thickTop="1" x14ac:dyDescent="0.3">
      <c r="A53" s="293" t="s">
        <v>717</v>
      </c>
      <c r="B53" s="294"/>
      <c r="C53" s="294"/>
      <c r="D53" s="294"/>
      <c r="E53" s="294"/>
      <c r="F53" s="294"/>
      <c r="G53" s="242"/>
      <c r="H53" s="242"/>
      <c r="I53" s="242"/>
      <c r="J53" s="242"/>
    </row>
    <row r="54" spans="1:10" ht="6" customHeight="1" x14ac:dyDescent="0.3">
      <c r="A54" s="252"/>
      <c r="B54" s="252"/>
      <c r="C54" s="252"/>
      <c r="D54" s="252"/>
      <c r="E54" s="252"/>
      <c r="F54" s="252"/>
    </row>
    <row r="55" spans="1:10" x14ac:dyDescent="0.3">
      <c r="A55" s="269" t="s">
        <v>718</v>
      </c>
      <c r="B55" s="315"/>
      <c r="C55" s="316"/>
      <c r="D55" s="269"/>
      <c r="E55" s="269"/>
      <c r="F55" s="269"/>
      <c r="G55" s="269"/>
      <c r="H55" s="269"/>
      <c r="I55" s="269"/>
      <c r="J55" s="269"/>
    </row>
    <row r="56" spans="1:10" x14ac:dyDescent="0.3">
      <c r="A56" s="290" t="s">
        <v>719</v>
      </c>
      <c r="B56" s="320">
        <f>B18</f>
        <v>50.088629593856794</v>
      </c>
      <c r="C56" s="275" t="s">
        <v>720</v>
      </c>
      <c r="D56" s="321"/>
      <c r="E56" s="286"/>
      <c r="F56" s="286"/>
      <c r="G56" s="286"/>
      <c r="H56" s="286"/>
      <c r="I56" s="286"/>
      <c r="J56" s="286"/>
    </row>
    <row r="57" spans="1:10" x14ac:dyDescent="0.3">
      <c r="A57" s="290" t="s">
        <v>721</v>
      </c>
      <c r="B57" s="320">
        <f>C18</f>
        <v>38.826059924287726</v>
      </c>
      <c r="C57" s="275" t="s">
        <v>720</v>
      </c>
      <c r="D57" s="321"/>
      <c r="E57" s="286"/>
      <c r="F57" s="286"/>
      <c r="G57" s="286"/>
      <c r="H57" s="286"/>
      <c r="I57" s="286"/>
      <c r="J57" s="286"/>
    </row>
    <row r="58" spans="1:10" x14ac:dyDescent="0.3">
      <c r="A58" s="322" t="s">
        <v>722</v>
      </c>
      <c r="B58" s="323" t="str">
        <f>TEXT(MIN(SOTP!C52:E56),"$#,##0")&amp;" – "&amp;TEXT(MAX(SOTP!C52:E56),"$#,##0")</f>
        <v>$34 – $89</v>
      </c>
      <c r="C58" s="280" t="s">
        <v>723</v>
      </c>
      <c r="D58" s="292"/>
      <c r="E58" s="288"/>
      <c r="F58" s="288"/>
      <c r="G58" s="288"/>
      <c r="H58" s="288"/>
      <c r="I58" s="288"/>
      <c r="J58" s="288"/>
    </row>
    <row r="59" spans="1:10" ht="6" customHeight="1" x14ac:dyDescent="0.3">
      <c r="A59" s="252"/>
      <c r="B59" s="252"/>
      <c r="C59" s="252"/>
      <c r="D59" s="252"/>
      <c r="E59" s="252"/>
      <c r="F59" s="252"/>
    </row>
    <row r="60" spans="1:10" x14ac:dyDescent="0.3">
      <c r="A60" s="269" t="s">
        <v>724</v>
      </c>
      <c r="B60" s="315"/>
      <c r="C60" s="316" t="s">
        <v>725</v>
      </c>
      <c r="D60" s="269"/>
      <c r="E60" s="269" t="s">
        <v>19</v>
      </c>
      <c r="F60" s="269"/>
      <c r="G60" s="269"/>
      <c r="H60" s="269"/>
      <c r="I60" s="269"/>
      <c r="J60" s="269"/>
    </row>
    <row r="61" spans="1:10" ht="14.4" customHeight="1" x14ac:dyDescent="0.3">
      <c r="A61" s="313" t="s">
        <v>726</v>
      </c>
      <c r="B61" s="295"/>
      <c r="C61" s="317" t="s">
        <v>727</v>
      </c>
      <c r="D61" s="297"/>
      <c r="E61" s="295" t="s">
        <v>40</v>
      </c>
      <c r="F61" s="295"/>
      <c r="G61" s="295"/>
      <c r="H61" s="295"/>
      <c r="I61" s="295"/>
      <c r="J61" s="295"/>
    </row>
    <row r="62" spans="1:10" ht="14.4" customHeight="1" x14ac:dyDescent="0.3">
      <c r="A62" s="313" t="s">
        <v>728</v>
      </c>
      <c r="B62" s="295"/>
      <c r="C62" s="317" t="s">
        <v>729</v>
      </c>
      <c r="D62" s="297"/>
      <c r="E62" s="295" t="s">
        <v>39</v>
      </c>
      <c r="F62" s="295"/>
      <c r="G62" s="295"/>
      <c r="H62" s="295"/>
      <c r="I62" s="295"/>
      <c r="J62" s="295"/>
    </row>
    <row r="63" spans="1:10" ht="14.4" customHeight="1" x14ac:dyDescent="0.3">
      <c r="A63" s="313" t="s">
        <v>730</v>
      </c>
      <c r="B63" s="295"/>
      <c r="C63" s="318" t="s">
        <v>731</v>
      </c>
      <c r="D63" s="298"/>
      <c r="E63" s="295" t="s">
        <v>732</v>
      </c>
      <c r="F63" s="295"/>
      <c r="G63" s="295"/>
      <c r="H63" s="295"/>
      <c r="I63" s="295"/>
      <c r="J63" s="295"/>
    </row>
    <row r="64" spans="1:10" ht="14.4" customHeight="1" x14ac:dyDescent="0.3">
      <c r="A64" s="313" t="s">
        <v>733</v>
      </c>
      <c r="B64" s="295"/>
      <c r="C64" s="317" t="s">
        <v>734</v>
      </c>
      <c r="D64" s="297"/>
      <c r="E64" s="295" t="s">
        <v>735</v>
      </c>
      <c r="F64" s="295"/>
      <c r="G64" s="295"/>
      <c r="H64" s="295"/>
      <c r="I64" s="295"/>
      <c r="J64" s="295"/>
    </row>
    <row r="65" spans="1:10" ht="14.4" customHeight="1" x14ac:dyDescent="0.3">
      <c r="A65" s="313" t="s">
        <v>736</v>
      </c>
      <c r="B65" s="295"/>
      <c r="C65" s="318" t="s">
        <v>737</v>
      </c>
      <c r="D65" s="298"/>
      <c r="E65" s="295" t="s">
        <v>735</v>
      </c>
      <c r="F65" s="295"/>
      <c r="G65" s="295"/>
      <c r="H65" s="295"/>
      <c r="I65" s="295"/>
      <c r="J65" s="295"/>
    </row>
    <row r="66" spans="1:10" ht="14.4" customHeight="1" x14ac:dyDescent="0.3">
      <c r="A66" s="314" t="s">
        <v>738</v>
      </c>
      <c r="B66" s="296"/>
      <c r="C66" s="319" t="s">
        <v>739</v>
      </c>
      <c r="D66" s="299"/>
      <c r="E66" s="296" t="s">
        <v>24</v>
      </c>
      <c r="F66" s="296"/>
      <c r="G66" s="296"/>
      <c r="H66" s="296"/>
      <c r="I66" s="296"/>
      <c r="J66" s="296"/>
    </row>
    <row r="67" spans="1:10" ht="6" customHeight="1" thickBot="1" x14ac:dyDescent="0.35">
      <c r="A67" s="252"/>
      <c r="B67" s="252"/>
      <c r="C67" s="252"/>
      <c r="D67" s="252"/>
      <c r="E67" s="252"/>
      <c r="F67" s="252"/>
    </row>
    <row r="68" spans="1:10" ht="15" thickTop="1" x14ac:dyDescent="0.3">
      <c r="A68" s="293" t="s">
        <v>740</v>
      </c>
      <c r="B68" s="294"/>
      <c r="C68" s="294"/>
      <c r="D68" s="294"/>
      <c r="E68" s="294"/>
      <c r="F68" s="294"/>
      <c r="G68" s="242"/>
      <c r="H68" s="242"/>
      <c r="I68" s="242"/>
      <c r="J68" s="242"/>
    </row>
    <row r="69" spans="1:10" ht="6" customHeight="1" x14ac:dyDescent="0.3">
      <c r="A69" s="252"/>
      <c r="B69" s="252"/>
      <c r="C69" s="252"/>
      <c r="D69" s="252"/>
      <c r="E69" s="252"/>
      <c r="F69" s="252"/>
    </row>
    <row r="70" spans="1:10" x14ac:dyDescent="0.3">
      <c r="A70" s="349" t="s">
        <v>741</v>
      </c>
      <c r="B70" s="349"/>
      <c r="C70" s="349" t="s">
        <v>742</v>
      </c>
      <c r="D70" s="349"/>
      <c r="E70" s="349"/>
      <c r="F70" s="349"/>
      <c r="G70" s="349"/>
      <c r="H70" s="349"/>
      <c r="I70" s="349"/>
      <c r="J70" s="349"/>
    </row>
    <row r="71" spans="1:10" ht="14.4" customHeight="1" x14ac:dyDescent="0.3">
      <c r="A71" s="346" t="s">
        <v>743</v>
      </c>
      <c r="B71" s="346"/>
      <c r="C71" s="340" t="s">
        <v>744</v>
      </c>
      <c r="D71" s="340"/>
      <c r="E71" s="340"/>
      <c r="F71" s="340"/>
      <c r="G71" s="340"/>
      <c r="H71" s="340"/>
      <c r="I71" s="340"/>
      <c r="J71" s="340"/>
    </row>
    <row r="72" spans="1:10" ht="14.4" customHeight="1" x14ac:dyDescent="0.3">
      <c r="A72" s="346" t="s">
        <v>745</v>
      </c>
      <c r="B72" s="346"/>
      <c r="C72" s="340" t="s">
        <v>746</v>
      </c>
      <c r="D72" s="340"/>
      <c r="E72" s="340"/>
      <c r="F72" s="340"/>
      <c r="G72" s="340"/>
      <c r="H72" s="340"/>
      <c r="I72" s="340"/>
      <c r="J72" s="340"/>
    </row>
    <row r="73" spans="1:10" ht="14.4" customHeight="1" x14ac:dyDescent="0.3">
      <c r="A73" s="346" t="s">
        <v>747</v>
      </c>
      <c r="B73" s="346"/>
      <c r="C73" s="340" t="s">
        <v>748</v>
      </c>
      <c r="D73" s="340"/>
      <c r="E73" s="340"/>
      <c r="F73" s="340"/>
      <c r="G73" s="340"/>
      <c r="H73" s="340"/>
      <c r="I73" s="340"/>
      <c r="J73" s="340"/>
    </row>
    <row r="74" spans="1:10" ht="14.4" customHeight="1" x14ac:dyDescent="0.3">
      <c r="A74" s="346" t="s">
        <v>749</v>
      </c>
      <c r="B74" s="346"/>
      <c r="C74" s="340" t="s">
        <v>750</v>
      </c>
      <c r="D74" s="340"/>
      <c r="E74" s="340"/>
      <c r="F74" s="340"/>
      <c r="G74" s="340"/>
      <c r="H74" s="340"/>
      <c r="I74" s="340"/>
      <c r="J74" s="340"/>
    </row>
    <row r="75" spans="1:10" ht="14.4" customHeight="1" x14ac:dyDescent="0.3">
      <c r="A75" s="346" t="s">
        <v>751</v>
      </c>
      <c r="B75" s="346"/>
      <c r="C75" s="340" t="s">
        <v>752</v>
      </c>
      <c r="D75" s="340"/>
      <c r="E75" s="340"/>
      <c r="F75" s="340"/>
      <c r="G75" s="340"/>
      <c r="H75" s="340"/>
      <c r="I75" s="340"/>
      <c r="J75" s="340"/>
    </row>
    <row r="76" spans="1:10" ht="14.4" customHeight="1" x14ac:dyDescent="0.3">
      <c r="A76" s="346" t="s">
        <v>57</v>
      </c>
      <c r="B76" s="346"/>
      <c r="C76" s="340" t="s">
        <v>753</v>
      </c>
      <c r="D76" s="340"/>
      <c r="E76" s="340"/>
      <c r="F76" s="340"/>
      <c r="G76" s="340"/>
      <c r="H76" s="340"/>
      <c r="I76" s="340"/>
      <c r="J76" s="340"/>
    </row>
    <row r="77" spans="1:10" ht="14.4" customHeight="1" x14ac:dyDescent="0.3">
      <c r="A77" s="346" t="s">
        <v>754</v>
      </c>
      <c r="B77" s="346"/>
      <c r="C77" s="340" t="s">
        <v>755</v>
      </c>
      <c r="D77" s="340"/>
      <c r="E77" s="340"/>
      <c r="F77" s="340"/>
      <c r="G77" s="340"/>
      <c r="H77" s="340"/>
      <c r="I77" s="340"/>
      <c r="J77" s="340"/>
    </row>
    <row r="78" spans="1:10" ht="14.4" customHeight="1" x14ac:dyDescent="0.3">
      <c r="A78" s="346" t="s">
        <v>756</v>
      </c>
      <c r="B78" s="346"/>
      <c r="C78" s="340" t="s">
        <v>757</v>
      </c>
      <c r="D78" s="340"/>
      <c r="E78" s="340"/>
      <c r="F78" s="340"/>
      <c r="G78" s="340"/>
      <c r="H78" s="340"/>
      <c r="I78" s="340"/>
      <c r="J78" s="340"/>
    </row>
    <row r="79" spans="1:10" ht="14.4" customHeight="1" x14ac:dyDescent="0.3">
      <c r="A79" s="346" t="s">
        <v>758</v>
      </c>
      <c r="B79" s="346"/>
      <c r="C79" s="340" t="s">
        <v>759</v>
      </c>
      <c r="D79" s="340"/>
      <c r="E79" s="340"/>
      <c r="F79" s="340"/>
      <c r="G79" s="340"/>
      <c r="H79" s="340"/>
      <c r="I79" s="340"/>
      <c r="J79" s="340"/>
    </row>
    <row r="80" spans="1:10" ht="14.4" customHeight="1" x14ac:dyDescent="0.3">
      <c r="A80" s="347" t="s">
        <v>760</v>
      </c>
      <c r="B80" s="347"/>
      <c r="C80" s="341" t="s">
        <v>761</v>
      </c>
      <c r="D80" s="341"/>
      <c r="E80" s="341"/>
      <c r="F80" s="341"/>
      <c r="G80" s="341"/>
      <c r="H80" s="341"/>
      <c r="I80" s="341"/>
      <c r="J80" s="341"/>
    </row>
    <row r="81" spans="1:10" ht="14.4" customHeight="1" x14ac:dyDescent="0.3"/>
    <row r="82" spans="1:10" ht="21.6" customHeight="1" x14ac:dyDescent="0.3">
      <c r="A82" s="348" t="s">
        <v>762</v>
      </c>
      <c r="B82" s="348"/>
      <c r="C82" s="348"/>
      <c r="D82" s="348"/>
      <c r="E82" s="348"/>
      <c r="F82" s="348"/>
      <c r="G82" s="348"/>
      <c r="H82" s="348"/>
      <c r="I82" s="348"/>
      <c r="J82" s="348"/>
    </row>
  </sheetData>
  <mergeCells count="36">
    <mergeCell ref="C70:F70"/>
    <mergeCell ref="C71:F71"/>
    <mergeCell ref="C72:F72"/>
    <mergeCell ref="C73:F73"/>
    <mergeCell ref="A82:J82"/>
    <mergeCell ref="G70:J70"/>
    <mergeCell ref="G71:J71"/>
    <mergeCell ref="G72:J72"/>
    <mergeCell ref="G73:J73"/>
    <mergeCell ref="G74:J74"/>
    <mergeCell ref="G75:J75"/>
    <mergeCell ref="G76:J76"/>
    <mergeCell ref="C80:F80"/>
    <mergeCell ref="A70:B70"/>
    <mergeCell ref="A71:B71"/>
    <mergeCell ref="A72:B72"/>
    <mergeCell ref="A73:B73"/>
    <mergeCell ref="A74:B74"/>
    <mergeCell ref="A75:B75"/>
    <mergeCell ref="A76:B76"/>
    <mergeCell ref="G77:J77"/>
    <mergeCell ref="G78:J78"/>
    <mergeCell ref="G79:J79"/>
    <mergeCell ref="G80:J80"/>
    <mergeCell ref="A1:J1"/>
    <mergeCell ref="A2:J2"/>
    <mergeCell ref="A79:B79"/>
    <mergeCell ref="A80:B80"/>
    <mergeCell ref="A77:B77"/>
    <mergeCell ref="A78:B78"/>
    <mergeCell ref="C74:F74"/>
    <mergeCell ref="C75:F75"/>
    <mergeCell ref="C76:F76"/>
    <mergeCell ref="C77:F77"/>
    <mergeCell ref="C78:F78"/>
    <mergeCell ref="C79:F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9CAB-BF3A-4344-BCF4-DAF246BE9698}">
  <sheetPr>
    <tabColor rgb="FF1F4E79"/>
  </sheetPr>
  <dimension ref="A1:J70"/>
  <sheetViews>
    <sheetView showGridLines="0" zoomScaleNormal="100" workbookViewId="0">
      <pane ySplit="2" topLeftCell="A3" activePane="bottomLeft" state="frozen"/>
      <selection pane="bottomLeft" activeCell="B69" sqref="B69"/>
    </sheetView>
  </sheetViews>
  <sheetFormatPr defaultRowHeight="14.4" x14ac:dyDescent="0.3"/>
  <cols>
    <col min="1" max="1" width="51.88671875" customWidth="1"/>
    <col min="2" max="10" width="22.21875" customWidth="1"/>
  </cols>
  <sheetData>
    <row r="1" spans="1:10" ht="30" customHeight="1" x14ac:dyDescent="0.3">
      <c r="A1" s="342" t="s">
        <v>764</v>
      </c>
      <c r="B1" s="343"/>
      <c r="C1" s="343"/>
      <c r="D1" s="343"/>
      <c r="E1" s="343"/>
      <c r="F1" s="343"/>
      <c r="G1" s="343"/>
      <c r="H1" s="343"/>
      <c r="I1" s="343"/>
      <c r="J1" s="343"/>
    </row>
    <row r="2" spans="1:10" x14ac:dyDescent="0.3">
      <c r="A2" s="344" t="s">
        <v>193</v>
      </c>
      <c r="B2" s="345"/>
      <c r="C2" s="345"/>
      <c r="D2" s="345"/>
      <c r="E2" s="345"/>
      <c r="F2" s="345"/>
      <c r="G2" s="345"/>
      <c r="H2" s="345"/>
      <c r="I2" s="345"/>
      <c r="J2" s="345"/>
    </row>
    <row r="4" spans="1:10" ht="15" thickBot="1" x14ac:dyDescent="0.35">
      <c r="A4" s="350" t="s">
        <v>194</v>
      </c>
      <c r="B4" s="343"/>
      <c r="C4" s="343"/>
      <c r="D4" s="343"/>
      <c r="E4" s="343"/>
      <c r="F4" s="343"/>
      <c r="G4" s="343"/>
      <c r="H4" s="343"/>
      <c r="I4" s="343"/>
      <c r="J4" s="343"/>
    </row>
    <row r="5" spans="1:10" ht="15" thickBot="1" x14ac:dyDescent="0.35">
      <c r="A5" s="1" t="s">
        <v>195</v>
      </c>
      <c r="B5" s="32">
        <v>135</v>
      </c>
      <c r="C5" s="354" t="s">
        <v>196</v>
      </c>
      <c r="D5" s="351"/>
      <c r="E5" s="351"/>
      <c r="F5" s="351"/>
      <c r="G5" s="351"/>
      <c r="H5" s="351"/>
      <c r="I5" s="351"/>
      <c r="J5" s="351"/>
    </row>
    <row r="7" spans="1:10" x14ac:dyDescent="0.3">
      <c r="A7" s="350" t="s">
        <v>197</v>
      </c>
      <c r="B7" s="343"/>
      <c r="C7" s="343"/>
      <c r="D7" s="343"/>
      <c r="E7" s="343"/>
      <c r="F7" s="343"/>
      <c r="G7" s="343"/>
      <c r="H7" s="343"/>
      <c r="I7" s="343"/>
      <c r="J7" s="343"/>
    </row>
    <row r="8" spans="1:10" x14ac:dyDescent="0.3">
      <c r="A8" s="6"/>
      <c r="B8" s="52" t="s">
        <v>118</v>
      </c>
      <c r="C8" s="52" t="s">
        <v>119</v>
      </c>
      <c r="D8" s="52" t="s">
        <v>155</v>
      </c>
      <c r="E8" s="6"/>
      <c r="F8" s="6"/>
      <c r="G8" s="6"/>
      <c r="H8" s="6" t="s">
        <v>8</v>
      </c>
      <c r="I8" s="6"/>
      <c r="J8" s="6"/>
    </row>
    <row r="9" spans="1:10" x14ac:dyDescent="0.3">
      <c r="A9" s="1" t="s">
        <v>198</v>
      </c>
      <c r="B9" s="101">
        <f>SOTP!B11</f>
        <v>647687.63953638403</v>
      </c>
      <c r="C9" s="101">
        <f>SOTP!C11</f>
        <v>501724.73661876889</v>
      </c>
      <c r="D9" s="101">
        <f>SOTP!D11</f>
        <v>574706.18807757646</v>
      </c>
      <c r="E9" s="1"/>
      <c r="F9" s="1"/>
      <c r="H9" s="1"/>
    </row>
    <row r="10" spans="1:10" x14ac:dyDescent="0.3">
      <c r="A10" t="s">
        <v>426</v>
      </c>
      <c r="B10" s="118">
        <f>SOTP!B16+SOTP!B17</f>
        <v>1461</v>
      </c>
      <c r="C10" s="118">
        <f>SOTP!C16+SOTP!C17</f>
        <v>1461</v>
      </c>
      <c r="D10" s="118">
        <f>SOTP!D16+SOTP!D17</f>
        <v>1461</v>
      </c>
    </row>
    <row r="11" spans="1:10" x14ac:dyDescent="0.3">
      <c r="A11" t="s">
        <v>199</v>
      </c>
      <c r="B11" s="118">
        <f>SOTP!B8</f>
        <v>524537.58980651037</v>
      </c>
      <c r="C11" s="118">
        <f>SOTP!C8</f>
        <v>347554.80111384927</v>
      </c>
      <c r="D11" s="118">
        <f>SOTP!D8</f>
        <v>436046.19546017982</v>
      </c>
      <c r="F11" s="170"/>
      <c r="H11" s="170" t="s">
        <v>200</v>
      </c>
    </row>
    <row r="12" spans="1:10" x14ac:dyDescent="0.3">
      <c r="A12" t="s">
        <v>201</v>
      </c>
      <c r="B12" s="118">
        <f>SOTP!B9</f>
        <v>85853.059485337217</v>
      </c>
      <c r="C12" s="118">
        <f>SOTP!C9</f>
        <v>96914.8024846997</v>
      </c>
      <c r="D12" s="118">
        <f>SOTP!D9</f>
        <v>91383.930985018465</v>
      </c>
      <c r="F12" s="170"/>
      <c r="H12" s="170" t="s">
        <v>202</v>
      </c>
    </row>
    <row r="13" spans="1:10" x14ac:dyDescent="0.3">
      <c r="A13" t="s">
        <v>203</v>
      </c>
      <c r="B13" s="118">
        <f>SOTP!B10</f>
        <v>37296.99024453637</v>
      </c>
      <c r="C13" s="118">
        <f>SOTP!C10</f>
        <v>57255.133020219931</v>
      </c>
      <c r="D13" s="118">
        <f>SOTP!D10</f>
        <v>47276.061632378151</v>
      </c>
      <c r="F13" s="170"/>
      <c r="H13" s="170" t="s">
        <v>204</v>
      </c>
    </row>
    <row r="14" spans="1:10" x14ac:dyDescent="0.3">
      <c r="A14" s="1" t="s">
        <v>205</v>
      </c>
      <c r="B14" s="120">
        <f>SOTP!B20</f>
        <v>649148.63953638403</v>
      </c>
      <c r="C14" s="120">
        <f>SOTP!C20</f>
        <v>503185.73661876889</v>
      </c>
      <c r="D14" s="120">
        <f>SOTP!D20</f>
        <v>576167.18807757646</v>
      </c>
      <c r="E14" s="1"/>
      <c r="F14" s="170"/>
      <c r="H14" s="170" t="s">
        <v>206</v>
      </c>
    </row>
    <row r="15" spans="1:10" x14ac:dyDescent="0.3">
      <c r="B15" s="54"/>
      <c r="C15" s="54"/>
      <c r="D15" s="54"/>
    </row>
    <row r="16" spans="1:10" x14ac:dyDescent="0.3">
      <c r="A16" s="6" t="s">
        <v>207</v>
      </c>
      <c r="B16" s="52" t="s">
        <v>118</v>
      </c>
      <c r="C16" s="52" t="s">
        <v>119</v>
      </c>
      <c r="D16" s="52" t="s">
        <v>155</v>
      </c>
      <c r="E16" s="6"/>
      <c r="F16" s="6"/>
      <c r="G16" s="6"/>
      <c r="H16" s="6" t="s">
        <v>208</v>
      </c>
      <c r="I16" s="6"/>
      <c r="J16" s="6"/>
    </row>
    <row r="17" spans="1:10" x14ac:dyDescent="0.3">
      <c r="A17" s="7" t="s">
        <v>239</v>
      </c>
      <c r="B17" s="145">
        <f>SOTP!B26</f>
        <v>111.96078639813453</v>
      </c>
      <c r="C17" s="145">
        <f>SOTP!C26</f>
        <v>86.78608772314054</v>
      </c>
      <c r="D17" s="145">
        <f>SOTP!D26</f>
        <v>99.373437060637542</v>
      </c>
      <c r="E17" s="151"/>
      <c r="F17" s="171"/>
      <c r="G17" s="145"/>
      <c r="H17" s="171" t="s">
        <v>240</v>
      </c>
      <c r="I17" s="145"/>
      <c r="J17" s="145"/>
    </row>
    <row r="18" spans="1:10" x14ac:dyDescent="0.3">
      <c r="A18" s="7" t="s">
        <v>241</v>
      </c>
      <c r="B18" s="145">
        <f>SOTP!B27</f>
        <v>50.088629593856794</v>
      </c>
      <c r="C18" s="145">
        <f>SOTP!C27</f>
        <v>38.826059924287726</v>
      </c>
      <c r="D18" s="145">
        <f>SOTP!D27</f>
        <v>44.457344759072257</v>
      </c>
      <c r="E18" s="151"/>
      <c r="F18" s="171"/>
      <c r="G18" s="145"/>
      <c r="H18" s="171" t="s">
        <v>242</v>
      </c>
      <c r="I18" s="145"/>
      <c r="J18" s="145"/>
    </row>
    <row r="20" spans="1:10" x14ac:dyDescent="0.3">
      <c r="A20" s="350" t="s">
        <v>243</v>
      </c>
      <c r="B20" s="343"/>
      <c r="C20" s="343"/>
      <c r="D20" s="343"/>
      <c r="E20" s="343"/>
      <c r="F20" s="343"/>
      <c r="G20" s="343"/>
      <c r="H20" s="343"/>
      <c r="I20" s="343"/>
      <c r="J20" s="343"/>
    </row>
    <row r="21" spans="1:10" x14ac:dyDescent="0.3">
      <c r="A21" s="6"/>
      <c r="B21" s="52" t="s">
        <v>118</v>
      </c>
      <c r="C21" s="52" t="s">
        <v>119</v>
      </c>
      <c r="D21" s="52" t="s">
        <v>155</v>
      </c>
      <c r="E21" s="6"/>
      <c r="F21" s="6"/>
      <c r="G21" s="6"/>
      <c r="H21" s="6"/>
      <c r="I21" s="6"/>
      <c r="J21" s="6"/>
    </row>
    <row r="22" spans="1:10" x14ac:dyDescent="0.3">
      <c r="A22" t="s">
        <v>244</v>
      </c>
      <c r="B22" s="146">
        <f>B18</f>
        <v>50.088629593856794</v>
      </c>
      <c r="C22" s="146">
        <f>C18</f>
        <v>38.826059924287726</v>
      </c>
      <c r="D22" s="146">
        <f>D18</f>
        <v>44.457344759072257</v>
      </c>
    </row>
    <row r="23" spans="1:10" x14ac:dyDescent="0.3">
      <c r="A23" t="s">
        <v>209</v>
      </c>
      <c r="B23" s="147">
        <f>IF(B5="","—",B5)</f>
        <v>135</v>
      </c>
      <c r="C23" s="147">
        <f>IF(B5="","—",B5)</f>
        <v>135</v>
      </c>
      <c r="D23" s="147">
        <f>IF(B5="","—",B5)</f>
        <v>135</v>
      </c>
    </row>
    <row r="24" spans="1:10" x14ac:dyDescent="0.3">
      <c r="A24" s="7" t="s">
        <v>210</v>
      </c>
      <c r="B24" s="148">
        <f>IF(B5="","← Enter price",(B18/B5)-1)</f>
        <v>-0.62897311411957935</v>
      </c>
      <c r="C24" s="148">
        <f>IF(B5="","← Enter price",(C18/B5)-1)</f>
        <v>-0.71239955611638717</v>
      </c>
      <c r="D24" s="148">
        <f>IF(B5="","← Enter price",(D18/B5)-1)</f>
        <v>-0.67068633511798326</v>
      </c>
      <c r="E24" s="150"/>
      <c r="F24" s="150"/>
      <c r="G24" s="150"/>
      <c r="H24" s="150"/>
      <c r="I24" s="150"/>
      <c r="J24" s="150"/>
    </row>
    <row r="26" spans="1:10" x14ac:dyDescent="0.3">
      <c r="A26" s="350" t="s">
        <v>211</v>
      </c>
      <c r="B26" s="343"/>
      <c r="C26" s="343"/>
      <c r="D26" s="343"/>
      <c r="E26" s="343"/>
      <c r="F26" s="343"/>
      <c r="G26" s="343"/>
      <c r="H26" s="343"/>
      <c r="I26" s="343"/>
      <c r="J26" s="343"/>
    </row>
    <row r="27" spans="1:10" x14ac:dyDescent="0.3">
      <c r="A27" s="6" t="s">
        <v>19</v>
      </c>
      <c r="B27" s="52" t="s">
        <v>212</v>
      </c>
      <c r="C27" s="52" t="s">
        <v>213</v>
      </c>
      <c r="D27" s="52" t="s">
        <v>57</v>
      </c>
      <c r="E27" s="52" t="s">
        <v>60</v>
      </c>
      <c r="F27" s="6"/>
      <c r="G27" s="6"/>
      <c r="H27" s="6"/>
      <c r="I27" s="6"/>
      <c r="J27" s="6"/>
    </row>
    <row r="28" spans="1:10" x14ac:dyDescent="0.3">
      <c r="A28" t="s">
        <v>35</v>
      </c>
      <c r="B28" s="149">
        <v>2</v>
      </c>
      <c r="C28" s="54" t="str">
        <f>IF(B28=1,"◀ BEAR",IF(B28=2,"◀ BASE","◀ BULL"))</f>
        <v>◀ BASE</v>
      </c>
      <c r="D28" s="86">
        <f>WACC!B43</f>
        <v>7.544535256410255E-2</v>
      </c>
      <c r="E28" s="64">
        <f>WACC!C47</f>
        <v>0.03</v>
      </c>
    </row>
    <row r="29" spans="1:10" x14ac:dyDescent="0.3">
      <c r="A29" t="s">
        <v>152</v>
      </c>
      <c r="B29" s="149">
        <v>2</v>
      </c>
      <c r="C29" s="54" t="str">
        <f>IF(B29=1,"◀ BEAR",IF(B29=2,"◀ BASE","◀ BULL"))</f>
        <v>◀ BASE</v>
      </c>
      <c r="D29" s="86">
        <f>WACC!C43</f>
        <v>7.9328831862053625E-2</v>
      </c>
      <c r="E29" s="64">
        <f>WACC!C48</f>
        <v>2.5000000000000001E-2</v>
      </c>
    </row>
    <row r="30" spans="1:10" x14ac:dyDescent="0.3">
      <c r="A30" t="s">
        <v>153</v>
      </c>
      <c r="B30" s="149">
        <v>2</v>
      </c>
      <c r="C30" s="54" t="str">
        <f>IF(B30=1,"◀ BEAR",IF(B30=2,"◀ BASE","◀ BULL"))</f>
        <v>◀ BASE</v>
      </c>
      <c r="D30" s="86">
        <f>WACC!D43</f>
        <v>0.11585357991614477</v>
      </c>
      <c r="E30" s="64">
        <f>WACC!C49</f>
        <v>3.5000000000000003E-2</v>
      </c>
    </row>
    <row r="31" spans="1:10" x14ac:dyDescent="0.3">
      <c r="A31" s="352" t="s">
        <v>413</v>
      </c>
      <c r="B31" s="351"/>
      <c r="C31" s="351"/>
      <c r="D31" s="351"/>
      <c r="E31" s="351"/>
      <c r="F31" s="351"/>
      <c r="G31" s="351"/>
      <c r="H31" s="351"/>
      <c r="I31" s="351"/>
      <c r="J31" s="351"/>
    </row>
    <row r="33" spans="1:10" x14ac:dyDescent="0.3">
      <c r="A33" s="350" t="s">
        <v>232</v>
      </c>
      <c r="B33" s="343"/>
      <c r="C33" s="343"/>
      <c r="D33" s="343"/>
      <c r="E33" s="343"/>
      <c r="F33" s="343"/>
      <c r="G33" s="343"/>
      <c r="H33" s="343"/>
      <c r="I33" s="343"/>
      <c r="J33" s="343"/>
    </row>
    <row r="34" spans="1:10" x14ac:dyDescent="0.3">
      <c r="A34" s="6" t="s">
        <v>214</v>
      </c>
      <c r="B34" s="353" t="s">
        <v>164</v>
      </c>
      <c r="C34" s="353"/>
      <c r="D34" s="353"/>
      <c r="E34" s="6"/>
      <c r="F34" s="6"/>
      <c r="G34" s="6"/>
      <c r="H34" s="6" t="s">
        <v>8</v>
      </c>
      <c r="I34" s="6"/>
      <c r="J34" s="6"/>
    </row>
    <row r="35" spans="1:10" x14ac:dyDescent="0.3">
      <c r="A35" t="s">
        <v>215</v>
      </c>
      <c r="B35" s="29">
        <f>SOTP!B26</f>
        <v>111.96078639813453</v>
      </c>
      <c r="C35" s="29">
        <f>SOTP!B26</f>
        <v>111.96078639813453</v>
      </c>
      <c r="D35" s="29">
        <f>SOTP!B26</f>
        <v>111.96078639813453</v>
      </c>
      <c r="F35" s="170"/>
      <c r="G35" s="170"/>
      <c r="H35" s="170" t="s">
        <v>216</v>
      </c>
    </row>
    <row r="36" spans="1:10" x14ac:dyDescent="0.3">
      <c r="A36" t="s">
        <v>119</v>
      </c>
      <c r="B36" s="29">
        <f>SOTP!C26</f>
        <v>86.78608772314054</v>
      </c>
      <c r="C36" s="29">
        <f>SOTP!C26</f>
        <v>86.78608772314054</v>
      </c>
      <c r="D36" s="29">
        <f>SOTP!C26</f>
        <v>86.78608772314054</v>
      </c>
    </row>
    <row r="37" spans="1:10" x14ac:dyDescent="0.3">
      <c r="A37" s="7" t="s">
        <v>217</v>
      </c>
      <c r="B37" s="30">
        <f>SOTP!D26</f>
        <v>99.373437060637542</v>
      </c>
      <c r="C37" s="30">
        <f>SOTP!D26</f>
        <v>99.373437060637542</v>
      </c>
      <c r="D37" s="30">
        <f>SOTP!D26</f>
        <v>99.373437060637542</v>
      </c>
      <c r="E37" s="150"/>
      <c r="F37" s="150"/>
      <c r="G37" s="150"/>
      <c r="H37" s="150"/>
      <c r="I37" s="150"/>
      <c r="J37" s="150"/>
    </row>
    <row r="39" spans="1:10" x14ac:dyDescent="0.3">
      <c r="A39" s="350" t="s">
        <v>425</v>
      </c>
      <c r="B39" s="343"/>
      <c r="C39" s="343"/>
      <c r="D39" s="343"/>
      <c r="E39" s="343"/>
      <c r="F39" s="343"/>
      <c r="G39" s="343"/>
      <c r="H39" s="343"/>
      <c r="I39" s="343"/>
      <c r="J39" s="343"/>
    </row>
    <row r="40" spans="1:10" x14ac:dyDescent="0.3">
      <c r="A40" s="6" t="s">
        <v>218</v>
      </c>
      <c r="B40" s="28">
        <f>SOTP!C51</f>
        <v>0.02</v>
      </c>
      <c r="C40" s="28">
        <f>SOTP!D51</f>
        <v>2.5000000000000001E-2</v>
      </c>
      <c r="D40" s="28">
        <f>SOTP!E51</f>
        <v>0.03</v>
      </c>
      <c r="E40" s="28">
        <f>SOTP!F51</f>
        <v>3.5000000000000003E-2</v>
      </c>
      <c r="F40" s="28">
        <f>SOTP!G51</f>
        <v>0.04</v>
      </c>
      <c r="G40" s="6"/>
      <c r="H40" s="6"/>
      <c r="I40" s="6"/>
      <c r="J40" s="6"/>
    </row>
    <row r="41" spans="1:10" x14ac:dyDescent="0.3">
      <c r="A41" s="28">
        <f>SOTP!B52</f>
        <v>5.5445352564102546E-2</v>
      </c>
      <c r="B41" s="31">
        <f>SOTP!C52</f>
        <v>72.539150973457126</v>
      </c>
      <c r="C41" s="31">
        <f>SOTP!D52</f>
        <v>79.2667284644387</v>
      </c>
      <c r="D41" s="31">
        <f>SOTP!E52</f>
        <v>88.638237680883066</v>
      </c>
      <c r="E41" s="31">
        <f>SOTP!F52</f>
        <v>102.59343367262842</v>
      </c>
      <c r="F41" s="31">
        <f>SOTP!G52</f>
        <v>125.58383681411505</v>
      </c>
    </row>
    <row r="42" spans="1:10" x14ac:dyDescent="0.3">
      <c r="A42" s="28">
        <f>SOTP!B53</f>
        <v>6.5445352564102555E-2</v>
      </c>
      <c r="B42" s="31">
        <f>SOTP!C53</f>
        <v>56.245371645149206</v>
      </c>
      <c r="C42" s="30">
        <f>SOTP!D53</f>
        <v>59.562906594077475</v>
      </c>
      <c r="D42" s="31">
        <f>SOTP!E53</f>
        <v>63.8163992099322</v>
      </c>
      <c r="E42" s="31">
        <f>SOTP!F53</f>
        <v>69.466982763360718</v>
      </c>
      <c r="F42" s="31">
        <f>SOTP!G53</f>
        <v>77.338240421890944</v>
      </c>
    </row>
    <row r="43" spans="1:10" x14ac:dyDescent="0.3">
      <c r="A43" s="28">
        <f>SOTP!B54</f>
        <v>7.544535256410255E-2</v>
      </c>
      <c r="B43" s="31">
        <f>SOTP!C54</f>
        <v>46.016783311934859</v>
      </c>
      <c r="C43" s="31">
        <f>SOTP!D54</f>
        <v>47.850911536468779</v>
      </c>
      <c r="D43" s="30">
        <f>SOTP!E54</f>
        <v>50.088629593856794</v>
      </c>
      <c r="E43" s="31">
        <f>SOTP!F54</f>
        <v>52.879617165669551</v>
      </c>
      <c r="F43" s="31">
        <f>SOTP!G54</f>
        <v>56.458010524112666</v>
      </c>
    </row>
    <row r="44" spans="1:10" x14ac:dyDescent="0.3">
      <c r="A44" s="28">
        <f>SOTP!B55</f>
        <v>8.5445352564102545E-2</v>
      </c>
      <c r="B44" s="31">
        <f>SOTP!C55</f>
        <v>39.054599570488392</v>
      </c>
      <c r="C44" s="31">
        <f>SOTP!D55</f>
        <v>40.147325819508353</v>
      </c>
      <c r="D44" s="31">
        <f>SOTP!E55</f>
        <v>41.437133735157929</v>
      </c>
      <c r="E44" s="31">
        <f>SOTP!F55</f>
        <v>42.982625841736784</v>
      </c>
      <c r="F44" s="31">
        <f>SOTP!G55</f>
        <v>44.868194990164753</v>
      </c>
    </row>
    <row r="45" spans="1:10" x14ac:dyDescent="0.3">
      <c r="A45" s="28">
        <f>SOTP!B56</f>
        <v>9.5445352564102554E-2</v>
      </c>
      <c r="B45" s="31">
        <f>SOTP!C56</f>
        <v>34.046067726199347</v>
      </c>
      <c r="C45" s="31">
        <f>SOTP!D56</f>
        <v>34.732483602114826</v>
      </c>
      <c r="D45" s="31">
        <f>SOTP!E56</f>
        <v>35.523783300795735</v>
      </c>
      <c r="E45" s="31">
        <f>SOTP!F56</f>
        <v>36.445994585746526</v>
      </c>
      <c r="F45" s="31">
        <f>SOTP!G56</f>
        <v>37.534533839102714</v>
      </c>
    </row>
    <row r="48" spans="1:10" x14ac:dyDescent="0.3">
      <c r="A48" s="350" t="s">
        <v>219</v>
      </c>
      <c r="B48" s="343"/>
      <c r="C48" s="343"/>
      <c r="D48" s="343"/>
      <c r="E48" s="343"/>
      <c r="F48" s="343"/>
      <c r="G48" s="343"/>
      <c r="H48" s="343"/>
      <c r="I48" s="343"/>
      <c r="J48" s="343"/>
    </row>
    <row r="49" spans="1:10" x14ac:dyDescent="0.3">
      <c r="A49" s="6" t="s">
        <v>220</v>
      </c>
      <c r="B49" s="52" t="s">
        <v>64</v>
      </c>
      <c r="C49" s="52" t="s">
        <v>65</v>
      </c>
      <c r="D49" s="52" t="s">
        <v>66</v>
      </c>
      <c r="E49" s="52" t="s">
        <v>221</v>
      </c>
      <c r="F49" s="6"/>
      <c r="G49" s="6"/>
      <c r="H49" s="6"/>
      <c r="I49" s="6"/>
      <c r="J49" s="6"/>
    </row>
    <row r="50" spans="1:10" x14ac:dyDescent="0.3">
      <c r="A50" s="1" t="s">
        <v>222</v>
      </c>
      <c r="B50" s="92"/>
      <c r="C50" s="243">
        <v>14015</v>
      </c>
      <c r="D50" s="243">
        <v>18674</v>
      </c>
      <c r="E50" s="243">
        <v>4694</v>
      </c>
    </row>
    <row r="51" spans="1:10" x14ac:dyDescent="0.3">
      <c r="A51" t="s">
        <v>223</v>
      </c>
      <c r="B51" s="140">
        <v>3869</v>
      </c>
      <c r="C51" s="140">
        <v>7599</v>
      </c>
      <c r="D51" s="140">
        <v>11387</v>
      </c>
      <c r="E51" s="140">
        <v>3257</v>
      </c>
    </row>
    <row r="52" spans="1:10" x14ac:dyDescent="0.3">
      <c r="A52" t="s">
        <v>224</v>
      </c>
      <c r="B52" s="140">
        <v>3557</v>
      </c>
      <c r="C52" s="140">
        <v>3796</v>
      </c>
      <c r="D52" s="140">
        <v>4086</v>
      </c>
      <c r="E52" s="140">
        <v>619</v>
      </c>
    </row>
    <row r="53" spans="1:10" x14ac:dyDescent="0.3">
      <c r="A53" t="s">
        <v>225</v>
      </c>
      <c r="B53" s="140">
        <v>2961</v>
      </c>
      <c r="C53" s="140">
        <v>2620</v>
      </c>
      <c r="D53" s="140">
        <v>3201</v>
      </c>
      <c r="E53" s="140">
        <v>818</v>
      </c>
    </row>
    <row r="54" spans="1:10" x14ac:dyDescent="0.3">
      <c r="A54" t="s">
        <v>226</v>
      </c>
      <c r="B54" s="140">
        <v>469</v>
      </c>
      <c r="C54" s="140">
        <v>2006</v>
      </c>
      <c r="D54" s="140">
        <v>4423</v>
      </c>
      <c r="E54" s="140">
        <v>1188</v>
      </c>
    </row>
    <row r="55" spans="1:10" x14ac:dyDescent="0.3">
      <c r="A55" t="s">
        <v>227</v>
      </c>
      <c r="B55" s="140">
        <v>-1</v>
      </c>
      <c r="C55" s="140">
        <v>21</v>
      </c>
      <c r="D55" s="140">
        <v>-657</v>
      </c>
      <c r="E55" s="140">
        <v>-662</v>
      </c>
    </row>
    <row r="56" spans="1:10" x14ac:dyDescent="0.3">
      <c r="A56" t="s">
        <v>228</v>
      </c>
      <c r="B56" s="140">
        <v>-3973</v>
      </c>
      <c r="C56" s="140">
        <v>-1561</v>
      </c>
      <c r="D56" s="140">
        <v>-6355</v>
      </c>
      <c r="E56" s="140">
        <v>-2469</v>
      </c>
    </row>
    <row r="57" spans="1:10" x14ac:dyDescent="0.3">
      <c r="A57" t="s">
        <v>229</v>
      </c>
      <c r="B57" s="140">
        <v>4520</v>
      </c>
      <c r="C57" s="140">
        <v>5776</v>
      </c>
      <c r="D57" s="140">
        <v>6785</v>
      </c>
      <c r="E57" s="92"/>
    </row>
    <row r="58" spans="1:10" x14ac:dyDescent="0.3">
      <c r="A58" s="1" t="s">
        <v>230</v>
      </c>
      <c r="B58" s="243">
        <v>-4415</v>
      </c>
      <c r="C58" s="243">
        <v>-11163</v>
      </c>
      <c r="D58" s="243">
        <v>-20737</v>
      </c>
      <c r="E58" s="243">
        <v>-10107</v>
      </c>
    </row>
    <row r="59" spans="1:10" x14ac:dyDescent="0.3">
      <c r="A59" t="s">
        <v>231</v>
      </c>
      <c r="B59" s="140">
        <v>-4628</v>
      </c>
      <c r="C59" s="140">
        <v>791</v>
      </c>
      <c r="D59" s="140">
        <v>-4937</v>
      </c>
      <c r="E59" s="140">
        <v>-4276</v>
      </c>
    </row>
    <row r="62" spans="1:10" x14ac:dyDescent="0.3">
      <c r="A62" s="350" t="s">
        <v>311</v>
      </c>
      <c r="B62" s="351"/>
      <c r="C62" s="351"/>
      <c r="D62" s="351"/>
      <c r="E62" s="351"/>
      <c r="F62" s="351"/>
      <c r="G62" s="351"/>
      <c r="H62" s="351"/>
      <c r="I62" s="351"/>
      <c r="J62" s="351"/>
    </row>
    <row r="63" spans="1:10" x14ac:dyDescent="0.3">
      <c r="A63" s="6" t="s">
        <v>299</v>
      </c>
      <c r="B63" s="52" t="s">
        <v>300</v>
      </c>
      <c r="C63" s="52" t="s">
        <v>301</v>
      </c>
      <c r="D63" s="328" t="s">
        <v>783</v>
      </c>
      <c r="E63" s="6"/>
      <c r="F63" s="6"/>
      <c r="G63" s="6"/>
      <c r="H63" s="6" t="s">
        <v>8</v>
      </c>
      <c r="I63" s="6"/>
      <c r="J63" s="6"/>
    </row>
    <row r="64" spans="1:10" x14ac:dyDescent="0.3">
      <c r="A64" t="s">
        <v>302</v>
      </c>
      <c r="B64" s="118">
        <f>SOTP!D20/1000</f>
        <v>576.1671880775765</v>
      </c>
      <c r="C64" s="118">
        <f>B64</f>
        <v>576.1671880775765</v>
      </c>
      <c r="D64" s="329">
        <v>1750</v>
      </c>
      <c r="H64" s="170" t="s">
        <v>303</v>
      </c>
    </row>
    <row r="65" spans="1:8" x14ac:dyDescent="0.3">
      <c r="A65" t="s">
        <v>312</v>
      </c>
      <c r="B65" s="119">
        <v>210</v>
      </c>
      <c r="C65" s="118">
        <f>C64+B65</f>
        <v>786.1671880775765</v>
      </c>
      <c r="D65" s="170"/>
      <c r="H65" s="170" t="s">
        <v>304</v>
      </c>
    </row>
    <row r="66" spans="1:8" x14ac:dyDescent="0.3">
      <c r="A66" t="s">
        <v>313</v>
      </c>
      <c r="B66" s="119">
        <v>350</v>
      </c>
      <c r="C66" s="118">
        <f>C65+B66</f>
        <v>1136.1671880775766</v>
      </c>
      <c r="D66" s="170"/>
      <c r="H66" s="170" t="s">
        <v>305</v>
      </c>
    </row>
    <row r="67" spans="1:8" x14ac:dyDescent="0.3">
      <c r="A67" t="s">
        <v>314</v>
      </c>
      <c r="B67" s="119">
        <v>250</v>
      </c>
      <c r="C67" s="118">
        <f>C66+B67</f>
        <v>1386.1671880775766</v>
      </c>
      <c r="D67" s="170"/>
      <c r="H67" s="170" t="s">
        <v>306</v>
      </c>
    </row>
    <row r="68" spans="1:8" x14ac:dyDescent="0.3">
      <c r="A68" t="s">
        <v>315</v>
      </c>
      <c r="B68" s="119">
        <v>120</v>
      </c>
      <c r="C68" s="118">
        <f>C67+B68</f>
        <v>1506.1671880775766</v>
      </c>
      <c r="D68" s="170"/>
      <c r="H68" s="170" t="s">
        <v>307</v>
      </c>
    </row>
    <row r="69" spans="1:8" x14ac:dyDescent="0.3">
      <c r="A69" t="s">
        <v>316</v>
      </c>
      <c r="B69" s="118">
        <f>$D$64-C68</f>
        <v>243.83281192242339</v>
      </c>
      <c r="C69" s="118">
        <f>C68+B69</f>
        <v>1750</v>
      </c>
      <c r="D69" s="170"/>
      <c r="H69" s="170" t="s">
        <v>308</v>
      </c>
    </row>
    <row r="70" spans="1:8" x14ac:dyDescent="0.3">
      <c r="A70" t="s">
        <v>310</v>
      </c>
      <c r="B70" s="118">
        <f>$D$64</f>
        <v>1750</v>
      </c>
      <c r="C70" s="118">
        <f>$D$64</f>
        <v>1750</v>
      </c>
      <c r="D70" s="170"/>
      <c r="H70" s="170" t="s">
        <v>309</v>
      </c>
    </row>
  </sheetData>
  <mergeCells count="13">
    <mergeCell ref="A20:J20"/>
    <mergeCell ref="A1:J1"/>
    <mergeCell ref="A2:J2"/>
    <mergeCell ref="A4:J4"/>
    <mergeCell ref="C5:J5"/>
    <mergeCell ref="A7:J7"/>
    <mergeCell ref="A62:J62"/>
    <mergeCell ref="A26:J26"/>
    <mergeCell ref="A31:J31"/>
    <mergeCell ref="A33:J33"/>
    <mergeCell ref="A39:J39"/>
    <mergeCell ref="A48:J48"/>
    <mergeCell ref="B34:D3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23B7-8A6A-4BA9-A428-8055B17EF7D3}">
  <sheetPr>
    <tabColor rgb="FF1F4E79"/>
  </sheetPr>
  <dimension ref="A1:I66"/>
  <sheetViews>
    <sheetView showGridLines="0" workbookViewId="0">
      <pane ySplit="4" topLeftCell="A5" activePane="bottomLeft" state="frozen"/>
      <selection pane="bottomLeft" activeCell="J13" sqref="J13"/>
    </sheetView>
  </sheetViews>
  <sheetFormatPr defaultRowHeight="14.4" x14ac:dyDescent="0.3"/>
  <cols>
    <col min="1" max="1" width="42.5546875" customWidth="1"/>
    <col min="2" max="7" width="22.21875" customWidth="1"/>
    <col min="8" max="14" width="15.77734375" customWidth="1"/>
  </cols>
  <sheetData>
    <row r="1" spans="1:9" ht="30" customHeight="1" x14ac:dyDescent="0.3">
      <c r="A1" s="324" t="s">
        <v>765</v>
      </c>
    </row>
    <row r="2" spans="1:9" x14ac:dyDescent="0.3">
      <c r="A2" s="3" t="s">
        <v>148</v>
      </c>
    </row>
    <row r="3" spans="1:9" x14ac:dyDescent="0.3">
      <c r="A3" s="3" t="s">
        <v>781</v>
      </c>
    </row>
    <row r="4" spans="1:9" x14ac:dyDescent="0.3">
      <c r="A4" s="3"/>
      <c r="H4" s="336"/>
      <c r="I4" s="337"/>
    </row>
    <row r="5" spans="1:9" ht="15" thickBot="1" x14ac:dyDescent="0.35">
      <c r="A5" s="170" t="s">
        <v>417</v>
      </c>
      <c r="H5" s="338"/>
      <c r="I5" s="337"/>
    </row>
    <row r="6" spans="1:9" ht="15" thickTop="1" x14ac:dyDescent="0.3">
      <c r="A6" s="179" t="s">
        <v>149</v>
      </c>
      <c r="B6" s="180"/>
      <c r="C6" s="180"/>
      <c r="D6" s="180"/>
      <c r="E6" s="180"/>
      <c r="F6" s="180"/>
      <c r="G6" s="201"/>
      <c r="H6" s="338"/>
      <c r="I6" s="337"/>
    </row>
    <row r="7" spans="1:9" x14ac:dyDescent="0.3">
      <c r="A7" s="177" t="s">
        <v>19</v>
      </c>
      <c r="B7" s="52" t="s">
        <v>261</v>
      </c>
      <c r="C7" s="52" t="s">
        <v>262</v>
      </c>
      <c r="D7" s="52" t="s">
        <v>150</v>
      </c>
      <c r="E7" s="52" t="s">
        <v>151</v>
      </c>
      <c r="F7" s="129" t="s">
        <v>790</v>
      </c>
      <c r="G7" s="206"/>
      <c r="H7" s="339"/>
      <c r="I7" s="337"/>
    </row>
    <row r="8" spans="1:9" x14ac:dyDescent="0.3">
      <c r="A8" s="178" t="s">
        <v>35</v>
      </c>
      <c r="B8" s="139">
        <f>'Conn DCF'!B88</f>
        <v>524537.58980651037</v>
      </c>
      <c r="C8" s="139">
        <f>'Conn DCF'!C88</f>
        <v>347554.80111384927</v>
      </c>
      <c r="D8" s="139">
        <f>(B8+C8)/2</f>
        <v>436046.19546017982</v>
      </c>
      <c r="E8" s="64">
        <f>D8/$D$11</f>
        <v>0.75872890270901405</v>
      </c>
      <c r="F8" s="335" t="str">
        <f>IF(N('Conn Comps'!K57)&gt;0,"✓ LIVE "&amp;TEXT('Conn Comps'!K57,"0.0x")&amp;" EV/EBITDA","⚠ FALLBACK")</f>
        <v>✓ LIVE 5.9x EV/EBITDA</v>
      </c>
      <c r="G8" s="200"/>
    </row>
    <row r="9" spans="1:9" x14ac:dyDescent="0.3">
      <c r="A9" s="178" t="s">
        <v>152</v>
      </c>
      <c r="B9" s="139">
        <f>'Space DCF'!B88</f>
        <v>85853.059485337217</v>
      </c>
      <c r="C9" s="139">
        <f>'Space DCF'!C88</f>
        <v>96914.8024846997</v>
      </c>
      <c r="D9" s="139">
        <f>(B9+C9)/2</f>
        <v>91383.930985018465</v>
      </c>
      <c r="E9" s="64">
        <f>D9/$D$11</f>
        <v>0.15900982603076314</v>
      </c>
      <c r="F9" s="335" t="str">
        <f>IF(N('Space Comps'!K37)&gt;0,"✓ LIVE "&amp;TEXT('Space Comps'!K37,"0.0x")&amp;" EV/EBITDA","⚠ FALLBACK")</f>
        <v>✓ LIVE 15.1x EV/EBITDA</v>
      </c>
      <c r="G9" s="200"/>
    </row>
    <row r="10" spans="1:9" x14ac:dyDescent="0.3">
      <c r="A10" s="178" t="s">
        <v>153</v>
      </c>
      <c r="B10" s="139">
        <f>'AI DCF'!B88</f>
        <v>37296.99024453637</v>
      </c>
      <c r="C10" s="139">
        <f>'AI DCF'!C88</f>
        <v>57255.133020219931</v>
      </c>
      <c r="D10" s="139">
        <f>(B10+C10)/2</f>
        <v>47276.061632378151</v>
      </c>
      <c r="E10" s="64">
        <f>D10/$D$11</f>
        <v>8.2261271260222812E-2</v>
      </c>
      <c r="F10" s="335" t="str">
        <f>IF(N('AI Comps'!J47)&gt;0,"✓ LIVE "&amp;TEXT('AI Comps'!J47,"0.0x")&amp;" EV/Rev (Tier 3)","⚠ FALLBACK")</f>
        <v>✓ LIVE 3.2x EV/Rev (Tier 3)</v>
      </c>
      <c r="G10" s="200"/>
    </row>
    <row r="11" spans="1:9" ht="15" thickBot="1" x14ac:dyDescent="0.35">
      <c r="A11" s="182" t="s">
        <v>154</v>
      </c>
      <c r="B11" s="183">
        <f>B8+B9+B10</f>
        <v>647687.63953638403</v>
      </c>
      <c r="C11" s="183">
        <f>C8+C9+C10</f>
        <v>501724.73661876889</v>
      </c>
      <c r="D11" s="183">
        <f>D8+D9+D10</f>
        <v>574706.18807757646</v>
      </c>
      <c r="E11" s="193">
        <f>D11/$D$11</f>
        <v>1</v>
      </c>
      <c r="F11" s="193"/>
      <c r="G11" s="202"/>
    </row>
    <row r="12" spans="1:9" ht="15.6" thickTop="1" thickBot="1" x14ac:dyDescent="0.35">
      <c r="B12" s="54"/>
      <c r="C12" s="54"/>
      <c r="D12" s="54"/>
      <c r="E12" s="54"/>
      <c r="F12" s="81"/>
    </row>
    <row r="13" spans="1:9" ht="15" thickTop="1" x14ac:dyDescent="0.3">
      <c r="A13" s="187"/>
      <c r="B13" s="180"/>
      <c r="C13" s="180"/>
      <c r="D13" s="180"/>
      <c r="E13" s="180"/>
      <c r="F13" s="260"/>
      <c r="G13" s="181"/>
    </row>
    <row r="14" spans="1:9" x14ac:dyDescent="0.3">
      <c r="A14" s="185"/>
      <c r="B14" s="52" t="s">
        <v>118</v>
      </c>
      <c r="C14" s="52" t="s">
        <v>119</v>
      </c>
      <c r="D14" s="52" t="s">
        <v>155</v>
      </c>
      <c r="E14" s="52"/>
      <c r="F14" s="259" t="s">
        <v>8</v>
      </c>
      <c r="G14" s="206"/>
    </row>
    <row r="15" spans="1:9" x14ac:dyDescent="0.3">
      <c r="A15" s="186" t="s">
        <v>154</v>
      </c>
      <c r="B15" s="92">
        <f>B11</f>
        <v>647687.63953638403</v>
      </c>
      <c r="C15" s="92">
        <f>C11</f>
        <v>501724.73661876889</v>
      </c>
      <c r="D15" s="92">
        <f>D11</f>
        <v>574706.18807757646</v>
      </c>
      <c r="E15" s="54"/>
      <c r="G15" s="207"/>
    </row>
    <row r="16" spans="1:9" x14ac:dyDescent="0.3">
      <c r="A16" s="186" t="s">
        <v>156</v>
      </c>
      <c r="B16" s="140">
        <v>-23286</v>
      </c>
      <c r="C16" s="247">
        <f>$B$16</f>
        <v>-23286</v>
      </c>
      <c r="D16" s="247">
        <f>$B$16</f>
        <v>-23286</v>
      </c>
      <c r="E16" s="203"/>
      <c r="F16" s="170" t="s">
        <v>418</v>
      </c>
      <c r="G16" s="208"/>
    </row>
    <row r="17" spans="1:7" x14ac:dyDescent="0.3">
      <c r="A17" s="186" t="s">
        <v>157</v>
      </c>
      <c r="B17" s="140">
        <v>24747</v>
      </c>
      <c r="C17" s="247">
        <f>$B$17</f>
        <v>24747</v>
      </c>
      <c r="D17" s="247">
        <f>$B$17</f>
        <v>24747</v>
      </c>
      <c r="E17" s="203"/>
      <c r="F17" s="170" t="s">
        <v>418</v>
      </c>
      <c r="G17" s="208"/>
    </row>
    <row r="18" spans="1:7" x14ac:dyDescent="0.3">
      <c r="A18" s="186" t="s">
        <v>158</v>
      </c>
      <c r="B18" s="140">
        <v>-38752</v>
      </c>
      <c r="C18" s="247">
        <f>$B$18</f>
        <v>-38752</v>
      </c>
      <c r="D18" s="247">
        <f>$B$18</f>
        <v>-38752</v>
      </c>
      <c r="E18" s="203"/>
      <c r="F18" s="170" t="s">
        <v>419</v>
      </c>
      <c r="G18" s="208"/>
    </row>
    <row r="19" spans="1:7" x14ac:dyDescent="0.3">
      <c r="A19" s="186" t="s">
        <v>159</v>
      </c>
      <c r="B19" s="140">
        <v>38752</v>
      </c>
      <c r="C19" s="247">
        <f>$B$19</f>
        <v>38752</v>
      </c>
      <c r="D19" s="247">
        <f>$B$19</f>
        <v>38752</v>
      </c>
      <c r="E19" s="54"/>
      <c r="G19" s="207"/>
    </row>
    <row r="20" spans="1:7" ht="15" thickBot="1" x14ac:dyDescent="0.35">
      <c r="A20" s="182" t="s">
        <v>160</v>
      </c>
      <c r="B20" s="183">
        <f>B15+B16+B17+B18+B19</f>
        <v>649148.63953638403</v>
      </c>
      <c r="C20" s="183">
        <f>C15+C16+C17+C18+C19</f>
        <v>503185.73661876889</v>
      </c>
      <c r="D20" s="183">
        <f>D15+D16+D17+D18+D19</f>
        <v>576167.18807757646</v>
      </c>
      <c r="E20" s="194"/>
      <c r="F20" s="261"/>
      <c r="G20" s="209"/>
    </row>
    <row r="21" spans="1:7" ht="15.6" thickTop="1" thickBot="1" x14ac:dyDescent="0.35">
      <c r="B21" s="54"/>
      <c r="C21" s="54"/>
      <c r="D21" s="54"/>
      <c r="E21" s="54"/>
    </row>
    <row r="22" spans="1:7" ht="15" thickTop="1" x14ac:dyDescent="0.3">
      <c r="A22" s="179" t="s">
        <v>161</v>
      </c>
      <c r="B22" s="180"/>
      <c r="C22" s="180"/>
      <c r="D22" s="180"/>
      <c r="E22" s="180"/>
      <c r="F22" s="262"/>
      <c r="G22" s="210"/>
    </row>
    <row r="23" spans="1:7" x14ac:dyDescent="0.3">
      <c r="A23" s="177" t="s">
        <v>6</v>
      </c>
      <c r="B23" s="52" t="s">
        <v>118</v>
      </c>
      <c r="C23" s="52" t="s">
        <v>119</v>
      </c>
      <c r="D23" s="52" t="s">
        <v>155</v>
      </c>
      <c r="E23" s="52"/>
      <c r="F23" s="259" t="s">
        <v>8</v>
      </c>
      <c r="G23" s="206"/>
    </row>
    <row r="24" spans="1:7" x14ac:dyDescent="0.3">
      <c r="A24" s="186" t="s">
        <v>235</v>
      </c>
      <c r="B24" s="137">
        <v>5798</v>
      </c>
      <c r="C24" s="218">
        <f>$B$24</f>
        <v>5798</v>
      </c>
      <c r="D24" s="218">
        <f>$B$24</f>
        <v>5798</v>
      </c>
      <c r="E24" s="203"/>
      <c r="F24" s="170" t="s">
        <v>420</v>
      </c>
      <c r="G24" s="208"/>
    </row>
    <row r="25" spans="1:7" x14ac:dyDescent="0.3">
      <c r="A25" s="186" t="s">
        <v>236</v>
      </c>
      <c r="B25" s="137">
        <v>12960</v>
      </c>
      <c r="C25" s="218">
        <f>$B$25</f>
        <v>12960</v>
      </c>
      <c r="D25" s="218">
        <f>$B$25</f>
        <v>12960</v>
      </c>
      <c r="E25" s="203"/>
      <c r="F25" s="170" t="s">
        <v>421</v>
      </c>
      <c r="G25" s="208"/>
    </row>
    <row r="26" spans="1:7" x14ac:dyDescent="0.3">
      <c r="A26" s="188" t="s">
        <v>237</v>
      </c>
      <c r="B26" s="145">
        <f>B20/$B$24</f>
        <v>111.96078639813453</v>
      </c>
      <c r="C26" s="145">
        <f>C20/$B$24</f>
        <v>86.78608772314054</v>
      </c>
      <c r="D26" s="145">
        <f>D20/$B$24</f>
        <v>99.373437060637542</v>
      </c>
      <c r="E26" s="204"/>
      <c r="F26" s="263"/>
      <c r="G26" s="211"/>
    </row>
    <row r="27" spans="1:7" ht="15" thickBot="1" x14ac:dyDescent="0.35">
      <c r="A27" s="189" t="s">
        <v>238</v>
      </c>
      <c r="B27" s="190">
        <f>B20/$B$25</f>
        <v>50.088629593856794</v>
      </c>
      <c r="C27" s="190">
        <f>C20/$B$25</f>
        <v>38.826059924287726</v>
      </c>
      <c r="D27" s="190">
        <f>D20/$B$25</f>
        <v>44.457344759072257</v>
      </c>
      <c r="E27" s="205"/>
      <c r="F27" s="264"/>
      <c r="G27" s="212"/>
    </row>
    <row r="28" spans="1:7" ht="15.6" thickTop="1" thickBot="1" x14ac:dyDescent="0.35">
      <c r="B28" s="54"/>
      <c r="C28" s="54"/>
      <c r="D28" s="54"/>
      <c r="E28" s="54"/>
      <c r="F28" s="81"/>
    </row>
    <row r="29" spans="1:7" ht="15" thickTop="1" x14ac:dyDescent="0.3">
      <c r="A29" s="187" t="s">
        <v>162</v>
      </c>
      <c r="B29" s="180"/>
      <c r="C29" s="180"/>
      <c r="D29" s="180"/>
      <c r="E29" s="180"/>
      <c r="F29" s="265"/>
      <c r="G29" s="191"/>
    </row>
    <row r="30" spans="1:7" x14ac:dyDescent="0.3">
      <c r="A30" s="185" t="s">
        <v>19</v>
      </c>
      <c r="B30" s="52" t="s">
        <v>163</v>
      </c>
      <c r="C30" s="141" t="s">
        <v>164</v>
      </c>
      <c r="D30" s="60" t="s">
        <v>165</v>
      </c>
      <c r="E30" s="52" t="s">
        <v>166</v>
      </c>
      <c r="F30" s="80" t="s">
        <v>167</v>
      </c>
      <c r="G30" s="176"/>
    </row>
    <row r="31" spans="1:7" x14ac:dyDescent="0.3">
      <c r="A31" s="186" t="s">
        <v>35</v>
      </c>
      <c r="B31" s="139">
        <f>D8</f>
        <v>436046.19546017982</v>
      </c>
      <c r="C31" s="142">
        <f>B31/$B$24</f>
        <v>75.206311738561539</v>
      </c>
      <c r="D31" s="143">
        <f>B31/$B$34</f>
        <v>0.75872890270901405</v>
      </c>
      <c r="E31" s="87">
        <f>'Conn DCF'!B45</f>
        <v>7.544535256410255E-2</v>
      </c>
      <c r="F31" s="203" t="s">
        <v>168</v>
      </c>
      <c r="G31" s="184"/>
    </row>
    <row r="32" spans="1:7" x14ac:dyDescent="0.3">
      <c r="A32" s="186" t="s">
        <v>152</v>
      </c>
      <c r="B32" s="139">
        <f>D9</f>
        <v>91383.930985018465</v>
      </c>
      <c r="C32" s="142">
        <f>B32/$B$24</f>
        <v>15.761285095725848</v>
      </c>
      <c r="D32" s="143">
        <f>B32/$B$34</f>
        <v>0.15900982603076314</v>
      </c>
      <c r="E32" s="87">
        <f>'Space DCF'!B45</f>
        <v>7.9328831862053625E-2</v>
      </c>
      <c r="F32" s="203" t="s">
        <v>169</v>
      </c>
      <c r="G32" s="184"/>
    </row>
    <row r="33" spans="1:7" x14ac:dyDescent="0.3">
      <c r="A33" s="186" t="s">
        <v>170</v>
      </c>
      <c r="B33" s="139">
        <f>D10</f>
        <v>47276.061632378151</v>
      </c>
      <c r="C33" s="142">
        <f>B33/$B$24</f>
        <v>8.1538567837837448</v>
      </c>
      <c r="D33" s="143">
        <f>B33/$B$34</f>
        <v>8.2261271260222812E-2</v>
      </c>
      <c r="E33" s="87">
        <f>'AI DCF'!B45</f>
        <v>0.11585357991614477</v>
      </c>
      <c r="F33" s="203" t="s">
        <v>171</v>
      </c>
      <c r="G33" s="184"/>
    </row>
    <row r="34" spans="1:7" ht="15" thickBot="1" x14ac:dyDescent="0.35">
      <c r="A34" s="182" t="s">
        <v>172</v>
      </c>
      <c r="B34" s="183">
        <f>D11</f>
        <v>574706.18807757646</v>
      </c>
      <c r="C34" s="192">
        <f>B34/$B$24</f>
        <v>99.121453618071143</v>
      </c>
      <c r="D34" s="244">
        <v>1</v>
      </c>
      <c r="E34" s="194"/>
      <c r="F34" s="266"/>
      <c r="G34" s="195"/>
    </row>
    <row r="35" spans="1:7" ht="15.6" thickTop="1" thickBot="1" x14ac:dyDescent="0.35">
      <c r="B35" s="54"/>
      <c r="C35" s="54"/>
      <c r="D35" s="54"/>
      <c r="E35" s="54"/>
      <c r="F35" s="81"/>
    </row>
    <row r="36" spans="1:7" ht="15" thickTop="1" x14ac:dyDescent="0.3">
      <c r="A36" s="179" t="s">
        <v>173</v>
      </c>
      <c r="B36" s="180"/>
      <c r="C36" s="180"/>
      <c r="D36" s="180"/>
      <c r="E36" s="180"/>
      <c r="F36" s="265"/>
      <c r="G36" s="191"/>
    </row>
    <row r="37" spans="1:7" x14ac:dyDescent="0.3">
      <c r="A37" s="177" t="s">
        <v>174</v>
      </c>
      <c r="B37" s="52" t="s">
        <v>64</v>
      </c>
      <c r="C37" s="52" t="s">
        <v>65</v>
      </c>
      <c r="D37" s="52" t="s">
        <v>66</v>
      </c>
      <c r="E37" s="52" t="s">
        <v>175</v>
      </c>
      <c r="F37" s="80" t="s">
        <v>8</v>
      </c>
      <c r="G37" s="176"/>
    </row>
    <row r="38" spans="1:7" x14ac:dyDescent="0.3">
      <c r="A38" s="186" t="s">
        <v>1</v>
      </c>
      <c r="B38" s="140">
        <v>10387</v>
      </c>
      <c r="C38" s="140">
        <v>14015</v>
      </c>
      <c r="D38" s="140">
        <v>18674</v>
      </c>
      <c r="E38" s="140">
        <v>4694</v>
      </c>
      <c r="F38" s="203" t="s">
        <v>176</v>
      </c>
      <c r="G38" s="184"/>
    </row>
    <row r="39" spans="1:7" x14ac:dyDescent="0.3">
      <c r="A39" s="186" t="s">
        <v>177</v>
      </c>
      <c r="B39" s="140">
        <v>3869</v>
      </c>
      <c r="C39" s="140">
        <v>7599</v>
      </c>
      <c r="D39" s="140">
        <v>11387</v>
      </c>
      <c r="E39" s="140">
        <v>3257</v>
      </c>
      <c r="F39" s="203" t="s">
        <v>178</v>
      </c>
      <c r="G39" s="184"/>
    </row>
    <row r="40" spans="1:7" x14ac:dyDescent="0.3">
      <c r="A40" s="186" t="s">
        <v>179</v>
      </c>
      <c r="B40" s="140">
        <v>3557</v>
      </c>
      <c r="C40" s="140">
        <v>3796</v>
      </c>
      <c r="D40" s="140">
        <v>4086</v>
      </c>
      <c r="E40" s="140">
        <v>619</v>
      </c>
      <c r="F40" s="203" t="s">
        <v>180</v>
      </c>
      <c r="G40" s="184"/>
    </row>
    <row r="41" spans="1:7" x14ac:dyDescent="0.3">
      <c r="A41" s="186" t="s">
        <v>181</v>
      </c>
      <c r="B41" s="140">
        <v>2961</v>
      </c>
      <c r="C41" s="140">
        <v>2620</v>
      </c>
      <c r="D41" s="140">
        <v>3201</v>
      </c>
      <c r="E41" s="140">
        <v>818</v>
      </c>
      <c r="F41" s="203" t="s">
        <v>182</v>
      </c>
      <c r="G41" s="184"/>
    </row>
    <row r="42" spans="1:7" x14ac:dyDescent="0.3">
      <c r="A42" s="186" t="s">
        <v>183</v>
      </c>
      <c r="B42" s="140">
        <v>-4415</v>
      </c>
      <c r="C42" s="140">
        <v>-11163</v>
      </c>
      <c r="D42" s="140">
        <v>-20737</v>
      </c>
      <c r="E42" s="140">
        <v>-10107</v>
      </c>
      <c r="F42" s="203" t="s">
        <v>184</v>
      </c>
      <c r="G42" s="184"/>
    </row>
    <row r="43" spans="1:7" x14ac:dyDescent="0.3">
      <c r="A43" s="186" t="s">
        <v>185</v>
      </c>
      <c r="B43" s="140">
        <v>4520</v>
      </c>
      <c r="C43" s="140">
        <v>5776</v>
      </c>
      <c r="D43" s="140">
        <v>6785</v>
      </c>
      <c r="E43" s="140"/>
      <c r="F43" s="267"/>
      <c r="G43" s="196"/>
    </row>
    <row r="44" spans="1:7" x14ac:dyDescent="0.3">
      <c r="A44" s="186" t="s">
        <v>186</v>
      </c>
      <c r="B44" s="140">
        <v>-4628</v>
      </c>
      <c r="C44" s="140">
        <v>791</v>
      </c>
      <c r="D44" s="140">
        <v>-4937</v>
      </c>
      <c r="E44" s="140">
        <v>-4276</v>
      </c>
      <c r="F44" s="203" t="s">
        <v>187</v>
      </c>
      <c r="G44" s="184"/>
    </row>
    <row r="45" spans="1:7" ht="15" thickBot="1" x14ac:dyDescent="0.35">
      <c r="A45" s="197" t="s">
        <v>188</v>
      </c>
      <c r="B45" s="198">
        <v>0.5</v>
      </c>
      <c r="C45" s="198">
        <v>0.46200000000000002</v>
      </c>
      <c r="D45" s="198">
        <v>0.629</v>
      </c>
      <c r="E45" s="198">
        <v>0.64100000000000001</v>
      </c>
      <c r="F45" s="268" t="s">
        <v>189</v>
      </c>
      <c r="G45" s="199"/>
    </row>
    <row r="46" spans="1:7" ht="15" thickTop="1" x14ac:dyDescent="0.3">
      <c r="A46" s="47" t="s">
        <v>264</v>
      </c>
    </row>
    <row r="47" spans="1:7" x14ac:dyDescent="0.3">
      <c r="A47" s="47" t="s">
        <v>263</v>
      </c>
    </row>
    <row r="48" spans="1:7" x14ac:dyDescent="0.3">
      <c r="A48" s="350" t="s">
        <v>423</v>
      </c>
      <c r="B48" s="350"/>
      <c r="C48" s="350"/>
      <c r="D48" s="350"/>
      <c r="E48" s="350"/>
      <c r="F48" s="350"/>
      <c r="G48" s="350"/>
    </row>
    <row r="50" spans="1:7" x14ac:dyDescent="0.3">
      <c r="A50" s="22" t="s">
        <v>424</v>
      </c>
    </row>
    <row r="51" spans="1:7" x14ac:dyDescent="0.3">
      <c r="A51" s="22"/>
      <c r="B51" s="138" t="s">
        <v>190</v>
      </c>
      <c r="C51" s="245">
        <v>0.02</v>
      </c>
      <c r="D51" s="245">
        <v>2.5000000000000001E-2</v>
      </c>
      <c r="E51" s="245">
        <v>0.03</v>
      </c>
      <c r="F51" s="245">
        <v>3.5000000000000003E-2</v>
      </c>
      <c r="G51" s="245">
        <v>0.04</v>
      </c>
    </row>
    <row r="52" spans="1:7" x14ac:dyDescent="0.3">
      <c r="A52" s="22" t="s">
        <v>191</v>
      </c>
      <c r="B52" s="251">
        <f>'Conn DCF'!B45-0.02</f>
        <v>5.5445352564102546E-2</v>
      </c>
      <c r="C52" s="144">
        <f>((SUMPRODUCT('Conn DCF'!$E$61:$X$61,1/(1+$B52)^'Conn DCF'!$E$66:$X$66)+'Conn DCF'!$X$61*(1+C$51)/($B52-C$51)/(1+$B52)^19.5)+'Space DCF'!$B$88+'AI DCF'!$B$88+$B$16+$B$17+$B$18+$B$19)/$B$25</f>
        <v>72.539150973457126</v>
      </c>
      <c r="D52" s="144">
        <f>((SUMPRODUCT('Conn DCF'!$E$61:$X$61,1/(1+$B52)^'Conn DCF'!$E$66:$X$66)+'Conn DCF'!$X$61*(1+D$51)/($B52-D$51)/(1+$B52)^19.5)+'Space DCF'!$B$88+'AI DCF'!$B$88+$B$16+$B$17+$B$18+$B$19)/$B$25</f>
        <v>79.2667284644387</v>
      </c>
      <c r="E52" s="144">
        <f>((SUMPRODUCT('Conn DCF'!$E$61:$X$61,1/(1+$B52)^'Conn DCF'!$E$66:$X$66)+'Conn DCF'!$X$61*(1+E$51)/($B52-E$51)/(1+$B52)^19.5)+'Space DCF'!$B$88+'AI DCF'!$B$88+$B$16+$B$17+$B$18+$B$19)/$B$25</f>
        <v>88.638237680883066</v>
      </c>
      <c r="F52" s="144">
        <f>((SUMPRODUCT('Conn DCF'!$E$61:$X$61,1/(1+$B52)^'Conn DCF'!$E$66:$X$66)+'Conn DCF'!$X$61*(1+F$51)/($B52-F$51)/(1+$B52)^19.5)+'Space DCF'!$B$88+'AI DCF'!$B$88+$B$16+$B$17+$B$18+$B$19)/$B$25</f>
        <v>102.59343367262842</v>
      </c>
      <c r="G52" s="144">
        <f>((SUMPRODUCT('Conn DCF'!$E$61:$X$61,1/(1+$B52)^'Conn DCF'!$E$66:$X$66)+'Conn DCF'!$X$61*(1+G$51)/($B52-G$51)/(1+$B52)^19.5)+'Space DCF'!$B$88+'AI DCF'!$B$88+$B$16+$B$17+$B$18+$B$19)/$B$25</f>
        <v>125.58383681411505</v>
      </c>
    </row>
    <row r="53" spans="1:7" x14ac:dyDescent="0.3">
      <c r="B53" s="251">
        <f>'Conn DCF'!B45-0.01</f>
        <v>6.5445352564102555E-2</v>
      </c>
      <c r="C53" s="144">
        <f>((SUMPRODUCT('Conn DCF'!$E$61:$X$61,1/(1+$B53)^'Conn DCF'!$E$66:$X$66)+'Conn DCF'!$X$61*(1+C$51)/($B53-C$51)/(1+$B53)^19.5)+'Space DCF'!$B$88+'AI DCF'!$B$88+$B$16+$B$17+$B$18+$B$19)/$B$25</f>
        <v>56.245371645149206</v>
      </c>
      <c r="D53" s="145">
        <f>((SUMPRODUCT('Conn DCF'!$E$61:$X$61,1/(1+$B53)^'Conn DCF'!$E$66:$X$66)+'Conn DCF'!$X$61*(1+D$51)/($B53-D$51)/(1+$B53)^19.5)+'Space DCF'!$B$88+'AI DCF'!$B$88+$B$16+$B$17+$B$18+$B$19)/$B$25</f>
        <v>59.562906594077475</v>
      </c>
      <c r="E53" s="144">
        <f>((SUMPRODUCT('Conn DCF'!$E$61:$X$61,1/(1+$B53)^'Conn DCF'!$E$66:$X$66)+'Conn DCF'!$X$61*(1+E$51)/($B53-E$51)/(1+$B53)^19.5)+'Space DCF'!$B$88+'AI DCF'!$B$88+$B$16+$B$17+$B$18+$B$19)/$B$25</f>
        <v>63.8163992099322</v>
      </c>
      <c r="F53" s="144">
        <f>((SUMPRODUCT('Conn DCF'!$E$61:$X$61,1/(1+$B53)^'Conn DCF'!$E$66:$X$66)+'Conn DCF'!$X$61*(1+F$51)/($B53-F$51)/(1+$B53)^19.5)+'Space DCF'!$B$88+'AI DCF'!$B$88+$B$16+$B$17+$B$18+$B$19)/$B$25</f>
        <v>69.466982763360718</v>
      </c>
      <c r="G53" s="144">
        <f>((SUMPRODUCT('Conn DCF'!$E$61:$X$61,1/(1+$B53)^'Conn DCF'!$E$66:$X$66)+'Conn DCF'!$X$61*(1+G$51)/($B53-G$51)/(1+$B53)^19.5)+'Space DCF'!$B$88+'AI DCF'!$B$88+$B$16+$B$17+$B$18+$B$19)/$B$25</f>
        <v>77.338240421890944</v>
      </c>
    </row>
    <row r="54" spans="1:7" x14ac:dyDescent="0.3">
      <c r="B54" s="251">
        <f>'Conn DCF'!B45</f>
        <v>7.544535256410255E-2</v>
      </c>
      <c r="C54" s="144">
        <f>((SUMPRODUCT('Conn DCF'!$E$61:$X$61,1/(1+$B54)^'Conn DCF'!$E$66:$X$66)+'Conn DCF'!$X$61*(1+C$51)/($B54-C$51)/(1+$B54)^19.5)+'Space DCF'!$B$88+'AI DCF'!$B$88+$B$16+$B$17+$B$18+$B$19)/$B$25</f>
        <v>46.016783311934859</v>
      </c>
      <c r="D54" s="144">
        <f>((SUMPRODUCT('Conn DCF'!$E$61:$X$61,1/(1+$B54)^'Conn DCF'!$E$66:$X$66)+'Conn DCF'!$X$61*(1+D$51)/($B54-D$51)/(1+$B54)^19.5)+'Space DCF'!$B$88+'AI DCF'!$B$88+$B$16+$B$17+$B$18+$B$19)/$B$25</f>
        <v>47.850911536468779</v>
      </c>
      <c r="E54" s="145">
        <f>((SUMPRODUCT('Conn DCF'!$E$61:$X$61,1/(1+$B54)^'Conn DCF'!$E$66:$X$66)+'Conn DCF'!$X$61*(1+E$51)/($B54-E$51)/(1+$B54)^19.5)+'Space DCF'!$B$88+'AI DCF'!$B$88+$B$16+$B$17+$B$18+$B$19)/$B$25</f>
        <v>50.088629593856794</v>
      </c>
      <c r="F54" s="144">
        <f>((SUMPRODUCT('Conn DCF'!$E$61:$X$61,1/(1+$B54)^'Conn DCF'!$E$66:$X$66)+'Conn DCF'!$X$61*(1+F$51)/($B54-F$51)/(1+$B54)^19.5)+'Space DCF'!$B$88+'AI DCF'!$B$88+$B$16+$B$17+$B$18+$B$19)/$B$25</f>
        <v>52.879617165669551</v>
      </c>
      <c r="G54" s="144">
        <f>((SUMPRODUCT('Conn DCF'!$E$61:$X$61,1/(1+$B54)^'Conn DCF'!$E$66:$X$66)+'Conn DCF'!$X$61*(1+G$51)/($B54-G$51)/(1+$B54)^19.5)+'Space DCF'!$B$88+'AI DCF'!$B$88+$B$16+$B$17+$B$18+$B$19)/$B$25</f>
        <v>56.458010524112666</v>
      </c>
    </row>
    <row r="55" spans="1:7" x14ac:dyDescent="0.3">
      <c r="B55" s="251">
        <f>'Conn DCF'!B45+0.01</f>
        <v>8.5445352564102545E-2</v>
      </c>
      <c r="C55" s="144">
        <f>((SUMPRODUCT('Conn DCF'!$E$61:$X$61,1/(1+$B55)^'Conn DCF'!$E$66:$X$66)+'Conn DCF'!$X$61*(1+C$51)/($B55-C$51)/(1+$B55)^19.5)+'Space DCF'!$B$88+'AI DCF'!$B$88+$B$16+$B$17+$B$18+$B$19)/$B$25</f>
        <v>39.054599570488392</v>
      </c>
      <c r="D55" s="144">
        <f>((SUMPRODUCT('Conn DCF'!$E$61:$X$61,1/(1+$B55)^'Conn DCF'!$E$66:$X$66)+'Conn DCF'!$X$61*(1+D$51)/($B55-D$51)/(1+$B55)^19.5)+'Space DCF'!$B$88+'AI DCF'!$B$88+$B$16+$B$17+$B$18+$B$19)/$B$25</f>
        <v>40.147325819508353</v>
      </c>
      <c r="E55" s="144">
        <f>((SUMPRODUCT('Conn DCF'!$E$61:$X$61,1/(1+$B55)^'Conn DCF'!$E$66:$X$66)+'Conn DCF'!$X$61*(1+E$51)/($B55-E$51)/(1+$B55)^19.5)+'Space DCF'!$B$88+'AI DCF'!$B$88+$B$16+$B$17+$B$18+$B$19)/$B$25</f>
        <v>41.437133735157929</v>
      </c>
      <c r="F55" s="144">
        <f>((SUMPRODUCT('Conn DCF'!$E$61:$X$61,1/(1+$B55)^'Conn DCF'!$E$66:$X$66)+'Conn DCF'!$X$61*(1+F$51)/($B55-F$51)/(1+$B55)^19.5)+'Space DCF'!$B$88+'AI DCF'!$B$88+$B$16+$B$17+$B$18+$B$19)/$B$25</f>
        <v>42.982625841736784</v>
      </c>
      <c r="G55" s="144">
        <f>((SUMPRODUCT('Conn DCF'!$E$61:$X$61,1/(1+$B55)^'Conn DCF'!$E$66:$X$66)+'Conn DCF'!$X$61*(1+G$51)/($B55-G$51)/(1+$B55)^19.5)+'Space DCF'!$B$88+'AI DCF'!$B$88+$B$16+$B$17+$B$18+$B$19)/$B$25</f>
        <v>44.868194990164753</v>
      </c>
    </row>
    <row r="56" spans="1:7" x14ac:dyDescent="0.3">
      <c r="B56" s="251">
        <f>'Conn DCF'!B45+0.02</f>
        <v>9.5445352564102554E-2</v>
      </c>
      <c r="C56" s="144">
        <f>((SUMPRODUCT('Conn DCF'!$E$61:$X$61,1/(1+$B56)^'Conn DCF'!$E$66:$X$66)+'Conn DCF'!$X$61*(1+C$51)/($B56-C$51)/(1+$B56)^19.5)+'Space DCF'!$B$88+'AI DCF'!$B$88+$B$16+$B$17+$B$18+$B$19)/$B$25</f>
        <v>34.046067726199347</v>
      </c>
      <c r="D56" s="144">
        <f>((SUMPRODUCT('Conn DCF'!$E$61:$X$61,1/(1+$B56)^'Conn DCF'!$E$66:$X$66)+'Conn DCF'!$X$61*(1+D$51)/($B56-D$51)/(1+$B56)^19.5)+'Space DCF'!$B$88+'AI DCF'!$B$88+$B$16+$B$17+$B$18+$B$19)/$B$25</f>
        <v>34.732483602114826</v>
      </c>
      <c r="E56" s="144">
        <f>((SUMPRODUCT('Conn DCF'!$E$61:$X$61,1/(1+$B56)^'Conn DCF'!$E$66:$X$66)+'Conn DCF'!$X$61*(1+E$51)/($B56-E$51)/(1+$B56)^19.5)+'Space DCF'!$B$88+'AI DCF'!$B$88+$B$16+$B$17+$B$18+$B$19)/$B$25</f>
        <v>35.523783300795735</v>
      </c>
      <c r="F56" s="144">
        <f>((SUMPRODUCT('Conn DCF'!$E$61:$X$61,1/(1+$B56)^'Conn DCF'!$E$66:$X$66)+'Conn DCF'!$X$61*(1+F$51)/($B56-F$51)/(1+$B56)^19.5)+'Space DCF'!$B$88+'AI DCF'!$B$88+$B$16+$B$17+$B$18+$B$19)/$B$25</f>
        <v>36.445994585746526</v>
      </c>
      <c r="G56" s="144">
        <f>((SUMPRODUCT('Conn DCF'!$E$61:$X$61,1/(1+$B56)^'Conn DCF'!$E$66:$X$66)+'Conn DCF'!$X$61*(1+G$51)/($B56-G$51)/(1+$B56)^19.5)+'Space DCF'!$B$88+'AI DCF'!$B$88+$B$16+$B$17+$B$18+$B$19)/$B$25</f>
        <v>37.534533839102714</v>
      </c>
    </row>
    <row r="57" spans="1:7" x14ac:dyDescent="0.3">
      <c r="C57" s="54"/>
      <c r="D57" s="54"/>
      <c r="E57" s="54"/>
      <c r="F57" s="54"/>
      <c r="G57" s="54"/>
    </row>
    <row r="58" spans="1:7" x14ac:dyDescent="0.3">
      <c r="C58" s="54"/>
      <c r="D58" s="54"/>
      <c r="E58" s="54"/>
      <c r="F58" s="54"/>
      <c r="G58" s="54"/>
    </row>
    <row r="59" spans="1:7" x14ac:dyDescent="0.3">
      <c r="C59" s="54"/>
      <c r="D59" s="54"/>
      <c r="E59" s="54"/>
      <c r="F59" s="54"/>
      <c r="G59" s="54"/>
    </row>
    <row r="60" spans="1:7" x14ac:dyDescent="0.3">
      <c r="A60" s="22" t="s">
        <v>192</v>
      </c>
      <c r="C60" s="54"/>
      <c r="D60" s="54"/>
      <c r="E60" s="54"/>
      <c r="F60" s="54"/>
      <c r="G60" s="54"/>
    </row>
    <row r="61" spans="1:7" x14ac:dyDescent="0.3">
      <c r="B61" s="66" t="s">
        <v>190</v>
      </c>
      <c r="C61" s="246">
        <v>0.02</v>
      </c>
      <c r="D61" s="246">
        <v>2.5000000000000001E-2</v>
      </c>
      <c r="E61" s="246">
        <v>0.03</v>
      </c>
      <c r="F61" s="246">
        <v>3.5000000000000003E-2</v>
      </c>
      <c r="G61" s="246">
        <v>0.04</v>
      </c>
    </row>
    <row r="62" spans="1:7" x14ac:dyDescent="0.3">
      <c r="A62" s="1" t="s">
        <v>191</v>
      </c>
      <c r="B62" s="60">
        <f>'Conn DCF'!B45-0.02</f>
        <v>5.5445352564102546E-2</v>
      </c>
      <c r="C62" s="174">
        <f>(SUMPRODUCT('Conn DCF'!$E$61:$X$61,1/(1+$B62)^'Conn DCF'!$E$66:$X$66)+'Conn DCF'!$X$61*(1+C$61)/($B62-C$61)/(1+$B62)^19.5)+'Space DCF'!$B$88+'AI DCF'!$B$88</f>
        <v>938646.39661600441</v>
      </c>
      <c r="D62" s="174">
        <f>(SUMPRODUCT('Conn DCF'!$E$61:$X$61,1/(1+$B62)^'Conn DCF'!$E$66:$X$66)+'Conn DCF'!$X$61*(1+D$61)/($B62-D$61)/(1+$B62)^19.5)+'Space DCF'!$B$88+'AI DCF'!$B$88</f>
        <v>1025835.8008991256</v>
      </c>
      <c r="E62" s="174">
        <f>(SUMPRODUCT('Conn DCF'!$E$61:$X$61,1/(1+$B62)^'Conn DCF'!$E$66:$X$66)+'Conn DCF'!$X$61*(1+E$61)/($B62-E$61)/(1+$B62)^19.5)+'Space DCF'!$B$88+'AI DCF'!$B$88</f>
        <v>1147290.5603442446</v>
      </c>
      <c r="F62" s="174">
        <f>(SUMPRODUCT('Conn DCF'!$E$61:$X$61,1/(1+$B62)^'Conn DCF'!$E$66:$X$66)+'Conn DCF'!$X$61*(1+F$61)/($B62-F$61)/(1+$B62)^19.5)+'Space DCF'!$B$88+'AI DCF'!$B$88</f>
        <v>1328149.9003972644</v>
      </c>
      <c r="G62" s="174">
        <f>(SUMPRODUCT('Conn DCF'!$E$61:$X$61,1/(1+$B62)^'Conn DCF'!$E$66:$X$66)+'Conn DCF'!$X$61*(1+G$61)/($B62-G$61)/(1+$B62)^19.5)+'Space DCF'!$B$88+'AI DCF'!$B$88</f>
        <v>1626105.5251109309</v>
      </c>
    </row>
    <row r="63" spans="1:7" x14ac:dyDescent="0.3">
      <c r="B63" s="60">
        <f>'Conn DCF'!B45-0.01</f>
        <v>6.5445352564102555E-2</v>
      </c>
      <c r="C63" s="174">
        <f>(SUMPRODUCT('Conn DCF'!$E$61:$X$61,1/(1+$B63)^'Conn DCF'!$E$66:$X$66)+'Conn DCF'!$X$61*(1+C$61)/($B63-C$61)/(1+$B63)^19.5)+'Space DCF'!$B$88+'AI DCF'!$B$88</f>
        <v>727479.01652113372</v>
      </c>
      <c r="D63" s="175">
        <f>(SUMPRODUCT('Conn DCF'!$E$61:$X$61,1/(1+$B63)^'Conn DCF'!$E$66:$X$66)+'Conn DCF'!$X$61*(1+D$61)/($B63-D$61)/(1+$B63)^19.5)+'Space DCF'!$B$88+'AI DCF'!$B$88</f>
        <v>770474.2694592441</v>
      </c>
      <c r="E63" s="174">
        <f>(SUMPRODUCT('Conn DCF'!$E$61:$X$61,1/(1+$B63)^'Conn DCF'!$E$66:$X$66)+'Conn DCF'!$X$61*(1+E$61)/($B63-E$61)/(1+$B63)^19.5)+'Space DCF'!$B$88+'AI DCF'!$B$88</f>
        <v>825599.53376072133</v>
      </c>
      <c r="F63" s="174">
        <f>(SUMPRODUCT('Conn DCF'!$E$61:$X$61,1/(1+$B63)^'Conn DCF'!$E$66:$X$66)+'Conn DCF'!$X$61*(1+F$61)/($B63-F$61)/(1+$B63)^19.5)+'Space DCF'!$B$88+'AI DCF'!$B$88</f>
        <v>898831.09661315498</v>
      </c>
      <c r="G63" s="174">
        <f>(SUMPRODUCT('Conn DCF'!$E$61:$X$61,1/(1+$B63)^'Conn DCF'!$E$66:$X$66)+'Conn DCF'!$X$61*(1+G$61)/($B63-G$61)/(1+$B63)^19.5)+'Space DCF'!$B$88+'AI DCF'!$B$88</f>
        <v>1000842.5958677067</v>
      </c>
    </row>
    <row r="64" spans="1:7" x14ac:dyDescent="0.3">
      <c r="B64" s="60">
        <f>'Conn DCF'!B45</f>
        <v>7.544535256410255E-2</v>
      </c>
      <c r="C64" s="174">
        <f>(SUMPRODUCT('Conn DCF'!$E$61:$X$61,1/(1+$B64)^'Conn DCF'!$E$66:$X$66)+'Conn DCF'!$X$61*(1+C$61)/($B64-C$61)/(1+$B64)^19.5)+'Space DCF'!$B$88+'AI DCF'!$B$88</f>
        <v>594916.51172267576</v>
      </c>
      <c r="D64" s="174">
        <f>(SUMPRODUCT('Conn DCF'!$E$61:$X$61,1/(1+$B64)^'Conn DCF'!$E$66:$X$66)+'Conn DCF'!$X$61*(1+D$61)/($B64-D$61)/(1+$B64)^19.5)+'Space DCF'!$B$88+'AI DCF'!$B$88</f>
        <v>618686.81351263542</v>
      </c>
      <c r="E64" s="175">
        <f>(SUMPRODUCT('Conn DCF'!$E$61:$X$61,1/(1+$B64)^'Conn DCF'!$E$66:$X$66)+'Conn DCF'!$X$61*(1+E$61)/($B64-E$61)/(1+$B64)^19.5)+'Space DCF'!$B$88+'AI DCF'!$B$88</f>
        <v>647687.63953638403</v>
      </c>
      <c r="F64" s="174">
        <f>(SUMPRODUCT('Conn DCF'!$E$61:$X$61,1/(1+$B64)^'Conn DCF'!$E$66:$X$66)+'Conn DCF'!$X$61*(1+F$61)/($B64-F$61)/(1+$B64)^19.5)+'Space DCF'!$B$88+'AI DCF'!$B$88</f>
        <v>683858.83846707735</v>
      </c>
      <c r="G64" s="174">
        <f>(SUMPRODUCT('Conn DCF'!$E$61:$X$61,1/(1+$B64)^'Conn DCF'!$E$66:$X$66)+'Conn DCF'!$X$61*(1+G$61)/($B64-G$61)/(1+$B64)^19.5)+'Space DCF'!$B$88+'AI DCF'!$B$88</f>
        <v>730234.81639250019</v>
      </c>
    </row>
    <row r="65" spans="2:7" x14ac:dyDescent="0.3">
      <c r="B65" s="60">
        <f>'Conn DCF'!B45+0.01</f>
        <v>8.5445352564102545E-2</v>
      </c>
      <c r="C65" s="174">
        <f>(SUMPRODUCT('Conn DCF'!$E$61:$X$61,1/(1+$B65)^'Conn DCF'!$E$66:$X$66)+'Conn DCF'!$X$61*(1+C$61)/($B65-C$61)/(1+$B65)^19.5)+'Space DCF'!$B$88+'AI DCF'!$B$88</f>
        <v>504686.61043352954</v>
      </c>
      <c r="D65" s="174">
        <f>(SUMPRODUCT('Conn DCF'!$E$61:$X$61,1/(1+$B65)^'Conn DCF'!$E$66:$X$66)+'Conn DCF'!$X$61*(1+D$61)/($B65-D$61)/(1+$B65)^19.5)+'Space DCF'!$B$88+'AI DCF'!$B$88</f>
        <v>518848.34262082825</v>
      </c>
      <c r="E65" s="174">
        <f>(SUMPRODUCT('Conn DCF'!$E$61:$X$61,1/(1+$B65)^'Conn DCF'!$E$66:$X$66)+'Conn DCF'!$X$61*(1+E$61)/($B65-E$61)/(1+$B65)^19.5)+'Space DCF'!$B$88+'AI DCF'!$B$88</f>
        <v>535564.25320764678</v>
      </c>
      <c r="F65" s="174">
        <f>(SUMPRODUCT('Conn DCF'!$E$61:$X$61,1/(1+$B65)^'Conn DCF'!$E$66:$X$66)+'Conn DCF'!$X$61*(1+F$61)/($B65-F$61)/(1+$B65)^19.5)+'Space DCF'!$B$88+'AI DCF'!$B$88</f>
        <v>555593.83090890874</v>
      </c>
      <c r="G65" s="174">
        <f>(SUMPRODUCT('Conn DCF'!$E$61:$X$61,1/(1+$B65)^'Conn DCF'!$E$66:$X$66)+'Conn DCF'!$X$61*(1+G$61)/($B65-G$61)/(1+$B65)^19.5)+'Space DCF'!$B$88+'AI DCF'!$B$88</f>
        <v>580030.80707253516</v>
      </c>
    </row>
    <row r="66" spans="2:7" x14ac:dyDescent="0.3">
      <c r="B66" s="60">
        <f>'Conn DCF'!B45+0.02</f>
        <v>9.5445352564102554E-2</v>
      </c>
      <c r="C66" s="174">
        <f>(SUMPRODUCT('Conn DCF'!$E$61:$X$61,1/(1+$B66)^'Conn DCF'!$E$66:$X$66)+'Conn DCF'!$X$61*(1+C$61)/($B66-C$61)/(1+$B66)^19.5)+'Space DCF'!$B$88+'AI DCF'!$B$88</f>
        <v>439776.03773154353</v>
      </c>
      <c r="D66" s="174">
        <f>(SUMPRODUCT('Conn DCF'!$E$61:$X$61,1/(1+$B66)^'Conn DCF'!$E$66:$X$66)+'Conn DCF'!$X$61*(1+D$61)/($B66-D$61)/(1+$B66)^19.5)+'Space DCF'!$B$88+'AI DCF'!$B$88</f>
        <v>448671.98748340813</v>
      </c>
      <c r="E66" s="174">
        <f>(SUMPRODUCT('Conn DCF'!$E$61:$X$61,1/(1+$B66)^'Conn DCF'!$E$66:$X$66)+'Conn DCF'!$X$61*(1+E$61)/($B66-E$61)/(1+$B66)^19.5)+'Space DCF'!$B$88+'AI DCF'!$B$88</f>
        <v>458927.2315783127</v>
      </c>
      <c r="F66" s="174">
        <f>(SUMPRODUCT('Conn DCF'!$E$61:$X$61,1/(1+$B66)^'Conn DCF'!$E$66:$X$66)+'Conn DCF'!$X$61*(1+F$61)/($B66-F$61)/(1+$B66)^19.5)+'Space DCF'!$B$88+'AI DCF'!$B$88</f>
        <v>470879.08983127499</v>
      </c>
      <c r="G66" s="174">
        <f>(SUMPRODUCT('Conn DCF'!$E$61:$X$61,1/(1+$B66)^'Conn DCF'!$E$66:$X$66)+'Conn DCF'!$X$61*(1+G$61)/($B66-G$61)/(1+$B66)^19.5)+'Space DCF'!$B$88+'AI DCF'!$B$88</f>
        <v>484986.55855477118</v>
      </c>
    </row>
  </sheetData>
  <mergeCells count="1">
    <mergeCell ref="A48:G48"/>
  </mergeCells>
  <conditionalFormatting sqref="C52:G56">
    <cfRule type="cellIs" dxfId="1" priority="1" operator="lessThan">
      <formula>0</formula>
    </cfRule>
  </conditionalFormatting>
  <conditionalFormatting sqref="C62:G66">
    <cfRule type="cellIs" dxfId="0" priority="2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D785-3A8C-46FB-8EC8-CF323C9C9BEF}">
  <sheetPr>
    <tabColor rgb="FFFFFFFF"/>
  </sheetPr>
  <dimension ref="A1:X135"/>
  <sheetViews>
    <sheetView showGridLines="0" workbookViewId="0">
      <pane ySplit="5" topLeftCell="A6" activePane="bottomLeft" state="frozen"/>
      <selection pane="bottomLeft" activeCell="H5" sqref="H5"/>
    </sheetView>
  </sheetViews>
  <sheetFormatPr defaultRowHeight="14.4" x14ac:dyDescent="0.3"/>
  <cols>
    <col min="1" max="1" width="42.5546875" customWidth="1"/>
    <col min="2" max="3" width="20" customWidth="1"/>
    <col min="4" max="24" width="11.109375" customWidth="1"/>
  </cols>
  <sheetData>
    <row r="1" spans="1:24" ht="30" customHeight="1" x14ac:dyDescent="0.3">
      <c r="A1" s="324" t="s">
        <v>766</v>
      </c>
    </row>
    <row r="2" spans="1:24" x14ac:dyDescent="0.3">
      <c r="A2" s="3" t="s">
        <v>258</v>
      </c>
    </row>
    <row r="3" spans="1:24" x14ac:dyDescent="0.3">
      <c r="A3" s="3"/>
    </row>
    <row r="5" spans="1:24" ht="18" x14ac:dyDescent="0.35">
      <c r="A5" s="1" t="s">
        <v>61</v>
      </c>
      <c r="B5" s="169">
        <f>COVER!B28</f>
        <v>2</v>
      </c>
      <c r="C5" s="23" t="str">
        <f>IF(B5=1,"◀  BEAR",IF(B5=2,"◀  BASE","◀  BULL"))</f>
        <v>◀  BASE</v>
      </c>
      <c r="D5" s="3" t="s">
        <v>62</v>
      </c>
    </row>
    <row r="7" spans="1:24" x14ac:dyDescent="0.3">
      <c r="A7" s="5" t="s">
        <v>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6"/>
      <c r="B8" s="52" t="s">
        <v>64</v>
      </c>
      <c r="C8" s="52" t="s">
        <v>65</v>
      </c>
      <c r="D8" s="52" t="s">
        <v>66</v>
      </c>
      <c r="E8" s="52" t="s">
        <v>67</v>
      </c>
      <c r="F8" s="52" t="s">
        <v>68</v>
      </c>
      <c r="G8" s="52" t="s">
        <v>69</v>
      </c>
      <c r="H8" s="52" t="s">
        <v>70</v>
      </c>
      <c r="I8" s="52" t="s">
        <v>71</v>
      </c>
      <c r="J8" s="52" t="s">
        <v>72</v>
      </c>
      <c r="K8" s="52" t="s">
        <v>73</v>
      </c>
      <c r="L8" s="52" t="s">
        <v>74</v>
      </c>
      <c r="M8" s="52" t="s">
        <v>75</v>
      </c>
      <c r="N8" s="52" t="s">
        <v>76</v>
      </c>
      <c r="O8" s="52" t="s">
        <v>245</v>
      </c>
      <c r="P8" s="52" t="s">
        <v>246</v>
      </c>
      <c r="Q8" s="52" t="s">
        <v>247</v>
      </c>
      <c r="R8" s="52" t="s">
        <v>248</v>
      </c>
      <c r="S8" s="52" t="s">
        <v>249</v>
      </c>
      <c r="T8" s="52" t="s">
        <v>250</v>
      </c>
      <c r="U8" s="52" t="s">
        <v>251</v>
      </c>
      <c r="V8" s="52" t="s">
        <v>252</v>
      </c>
      <c r="W8" s="52" t="s">
        <v>253</v>
      </c>
      <c r="X8" s="52" t="s">
        <v>254</v>
      </c>
    </row>
    <row r="9" spans="1:24" x14ac:dyDescent="0.3">
      <c r="A9" t="s">
        <v>77</v>
      </c>
      <c r="B9" s="88"/>
      <c r="C9" s="88"/>
      <c r="D9" s="88"/>
      <c r="E9" s="55">
        <v>0.28000000000000003</v>
      </c>
      <c r="F9" s="55">
        <v>0.24</v>
      </c>
      <c r="G9" s="55">
        <v>0.2</v>
      </c>
      <c r="H9" s="55">
        <v>0.18</v>
      </c>
      <c r="I9" s="55">
        <v>0.15</v>
      </c>
      <c r="J9" s="55">
        <v>0.13</v>
      </c>
      <c r="K9" s="55">
        <v>0.11</v>
      </c>
      <c r="L9" s="55">
        <v>0.09</v>
      </c>
      <c r="M9" s="55">
        <v>0.08</v>
      </c>
      <c r="N9" s="55">
        <v>7.0000000000000007E-2</v>
      </c>
      <c r="O9" s="55">
        <v>0.06</v>
      </c>
      <c r="P9" s="55">
        <v>5.5E-2</v>
      </c>
      <c r="Q9" s="55">
        <v>0.05</v>
      </c>
      <c r="R9" s="55">
        <v>4.4999999999999998E-2</v>
      </c>
      <c r="S9" s="55">
        <v>0.04</v>
      </c>
      <c r="T9" s="55">
        <v>3.7999999999999999E-2</v>
      </c>
      <c r="U9" s="55">
        <v>3.5000000000000003E-2</v>
      </c>
      <c r="V9" s="55">
        <v>3.2000000000000001E-2</v>
      </c>
      <c r="W9" s="55">
        <v>0.03</v>
      </c>
      <c r="X9" s="55">
        <v>2.5000000000000001E-2</v>
      </c>
    </row>
    <row r="10" spans="1:24" x14ac:dyDescent="0.3">
      <c r="A10" t="s">
        <v>78</v>
      </c>
      <c r="B10" s="88"/>
      <c r="C10" s="88"/>
      <c r="D10" s="88"/>
      <c r="E10" s="55">
        <v>0.6</v>
      </c>
      <c r="F10" s="55">
        <v>0.61</v>
      </c>
      <c r="G10" s="55">
        <v>0.62</v>
      </c>
      <c r="H10" s="55">
        <v>0.63</v>
      </c>
      <c r="I10" s="55">
        <v>0.64</v>
      </c>
      <c r="J10" s="55">
        <v>0.64</v>
      </c>
      <c r="K10" s="55">
        <v>0.65</v>
      </c>
      <c r="L10" s="55">
        <v>0.65</v>
      </c>
      <c r="M10" s="55">
        <v>0.65</v>
      </c>
      <c r="N10" s="55">
        <v>0.65</v>
      </c>
      <c r="O10" s="55">
        <v>0.65500000000000003</v>
      </c>
      <c r="P10" s="55">
        <v>0.65500000000000003</v>
      </c>
      <c r="Q10" s="55">
        <v>0.66</v>
      </c>
      <c r="R10" s="55">
        <v>0.66</v>
      </c>
      <c r="S10" s="55">
        <v>0.66</v>
      </c>
      <c r="T10" s="55">
        <v>0.66500000000000004</v>
      </c>
      <c r="U10" s="55">
        <v>0.66500000000000004</v>
      </c>
      <c r="V10" s="55">
        <v>0.67</v>
      </c>
      <c r="W10" s="55">
        <v>0.67</v>
      </c>
      <c r="X10" s="55">
        <v>0.67</v>
      </c>
    </row>
    <row r="11" spans="1:24" x14ac:dyDescent="0.3">
      <c r="A11" t="s">
        <v>79</v>
      </c>
      <c r="B11" s="88"/>
      <c r="C11" s="88"/>
      <c r="D11" s="88"/>
      <c r="E11" s="55">
        <v>0.19500000000000001</v>
      </c>
      <c r="F11" s="55">
        <v>0.185</v>
      </c>
      <c r="G11" s="55">
        <v>0.17499999999999999</v>
      </c>
      <c r="H11" s="55">
        <v>0.16500000000000001</v>
      </c>
      <c r="I11" s="55">
        <v>0.155</v>
      </c>
      <c r="J11" s="55">
        <v>0.15</v>
      </c>
      <c r="K11" s="55">
        <v>0.14499999999999999</v>
      </c>
      <c r="L11" s="55">
        <v>0.14000000000000001</v>
      </c>
      <c r="M11" s="55">
        <v>0.13500000000000001</v>
      </c>
      <c r="N11" s="55">
        <v>0.13</v>
      </c>
      <c r="O11" s="55">
        <v>0.13</v>
      </c>
      <c r="P11" s="55">
        <v>0.13</v>
      </c>
      <c r="Q11" s="55">
        <v>0.125</v>
      </c>
      <c r="R11" s="55">
        <v>0.125</v>
      </c>
      <c r="S11" s="55">
        <v>0.12</v>
      </c>
      <c r="T11" s="55">
        <v>0.12</v>
      </c>
      <c r="U11" s="55">
        <v>0.12</v>
      </c>
      <c r="V11" s="55">
        <v>0.12</v>
      </c>
      <c r="W11" s="55">
        <v>0.12</v>
      </c>
      <c r="X11" s="55">
        <v>0.12</v>
      </c>
    </row>
    <row r="12" spans="1:24" x14ac:dyDescent="0.3">
      <c r="A12" t="s">
        <v>80</v>
      </c>
      <c r="B12" s="88"/>
      <c r="C12" s="88"/>
      <c r="D12" s="88"/>
      <c r="E12" s="55">
        <v>0.34</v>
      </c>
      <c r="F12" s="55">
        <v>0.3</v>
      </c>
      <c r="G12" s="55">
        <v>0.26</v>
      </c>
      <c r="H12" s="55">
        <v>0.23</v>
      </c>
      <c r="I12" s="55">
        <v>0.2</v>
      </c>
      <c r="J12" s="55">
        <v>0.18</v>
      </c>
      <c r="K12" s="55">
        <v>0.16</v>
      </c>
      <c r="L12" s="55">
        <v>0.14000000000000001</v>
      </c>
      <c r="M12" s="55">
        <v>0.12</v>
      </c>
      <c r="N12" s="55">
        <v>0.11</v>
      </c>
      <c r="O12" s="55">
        <v>0.105</v>
      </c>
      <c r="P12" s="55">
        <v>0.1</v>
      </c>
      <c r="Q12" s="55">
        <v>0.1</v>
      </c>
      <c r="R12" s="55">
        <v>9.5000000000000001E-2</v>
      </c>
      <c r="S12" s="55">
        <v>9.5000000000000001E-2</v>
      </c>
      <c r="T12" s="55">
        <v>0.09</v>
      </c>
      <c r="U12" s="55">
        <v>0.09</v>
      </c>
      <c r="V12" s="55">
        <v>0.09</v>
      </c>
      <c r="W12" s="55">
        <v>0.09</v>
      </c>
      <c r="X12" s="55">
        <v>0.09</v>
      </c>
    </row>
    <row r="13" spans="1:24" x14ac:dyDescent="0.3">
      <c r="A13" t="s">
        <v>81</v>
      </c>
      <c r="B13" s="88"/>
      <c r="C13" s="88"/>
      <c r="D13" s="88"/>
      <c r="E13" s="55">
        <v>0.05</v>
      </c>
      <c r="F13" s="55">
        <v>0.05</v>
      </c>
      <c r="G13" s="55">
        <v>0.05</v>
      </c>
      <c r="H13" s="55">
        <v>0.05</v>
      </c>
      <c r="I13" s="55">
        <v>0.04</v>
      </c>
      <c r="J13" s="55">
        <v>0.04</v>
      </c>
      <c r="K13" s="55">
        <v>0.04</v>
      </c>
      <c r="L13" s="55">
        <v>0.03</v>
      </c>
      <c r="M13" s="55">
        <v>0.03</v>
      </c>
      <c r="N13" s="55">
        <v>0.03</v>
      </c>
      <c r="O13" s="55">
        <v>0.03</v>
      </c>
      <c r="P13" s="55">
        <v>0.03</v>
      </c>
      <c r="Q13" s="55">
        <v>0.03</v>
      </c>
      <c r="R13" s="55">
        <v>2.5000000000000001E-2</v>
      </c>
      <c r="S13" s="55">
        <v>2.5000000000000001E-2</v>
      </c>
      <c r="T13" s="55">
        <v>2.5000000000000001E-2</v>
      </c>
      <c r="U13" s="55">
        <v>2.5000000000000001E-2</v>
      </c>
      <c r="V13" s="55">
        <v>2.5000000000000001E-2</v>
      </c>
      <c r="W13" s="55">
        <v>2.5000000000000001E-2</v>
      </c>
      <c r="X13" s="55">
        <v>2.5000000000000001E-2</v>
      </c>
    </row>
    <row r="14" spans="1:24" x14ac:dyDescent="0.3">
      <c r="A14" t="s">
        <v>82</v>
      </c>
      <c r="B14" s="143">
        <f>WACC!D47</f>
        <v>2.5000000000000001E-2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 spans="1:24" x14ac:dyDescent="0.3">
      <c r="A15" t="s">
        <v>57</v>
      </c>
      <c r="B15" s="87">
        <f>WACC!B47</f>
        <v>7.544535256410255E-2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 spans="1:24" x14ac:dyDescent="0.3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 spans="1:24" x14ac:dyDescent="0.3">
      <c r="A17" s="5" t="s">
        <v>83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 spans="1:24" x14ac:dyDescent="0.3">
      <c r="A18" s="6"/>
      <c r="B18" s="52" t="s">
        <v>64</v>
      </c>
      <c r="C18" s="52" t="s">
        <v>65</v>
      </c>
      <c r="D18" s="52" t="s">
        <v>66</v>
      </c>
      <c r="E18" s="52" t="s">
        <v>67</v>
      </c>
      <c r="F18" s="52" t="s">
        <v>68</v>
      </c>
      <c r="G18" s="52" t="s">
        <v>69</v>
      </c>
      <c r="H18" s="52" t="s">
        <v>70</v>
      </c>
      <c r="I18" s="52" t="s">
        <v>71</v>
      </c>
      <c r="J18" s="52" t="s">
        <v>72</v>
      </c>
      <c r="K18" s="52" t="s">
        <v>73</v>
      </c>
      <c r="L18" s="52" t="s">
        <v>74</v>
      </c>
      <c r="M18" s="52" t="s">
        <v>75</v>
      </c>
      <c r="N18" s="52" t="s">
        <v>76</v>
      </c>
      <c r="O18" s="52" t="s">
        <v>245</v>
      </c>
      <c r="P18" s="52" t="s">
        <v>246</v>
      </c>
      <c r="Q18" s="52" t="s">
        <v>247</v>
      </c>
      <c r="R18" s="52" t="s">
        <v>248</v>
      </c>
      <c r="S18" s="52" t="s">
        <v>249</v>
      </c>
      <c r="T18" s="52" t="s">
        <v>250</v>
      </c>
      <c r="U18" s="52" t="s">
        <v>251</v>
      </c>
      <c r="V18" s="52" t="s">
        <v>252</v>
      </c>
      <c r="W18" s="52" t="s">
        <v>253</v>
      </c>
      <c r="X18" s="52" t="s">
        <v>254</v>
      </c>
    </row>
    <row r="19" spans="1:24" x14ac:dyDescent="0.3">
      <c r="A19" t="s">
        <v>77</v>
      </c>
      <c r="B19" s="88"/>
      <c r="C19" s="88"/>
      <c r="D19" s="88"/>
      <c r="E19" s="55">
        <v>0.38</v>
      </c>
      <c r="F19" s="55">
        <v>0.32</v>
      </c>
      <c r="G19" s="55">
        <v>0.26</v>
      </c>
      <c r="H19" s="55">
        <v>0.22</v>
      </c>
      <c r="I19" s="55">
        <v>0.18</v>
      </c>
      <c r="J19" s="55">
        <v>0.15</v>
      </c>
      <c r="K19" s="55">
        <v>0.13</v>
      </c>
      <c r="L19" s="55">
        <v>0.11</v>
      </c>
      <c r="M19" s="55">
        <v>0.09</v>
      </c>
      <c r="N19" s="55">
        <v>0.08</v>
      </c>
      <c r="O19" s="55">
        <v>7.0000000000000007E-2</v>
      </c>
      <c r="P19" s="55">
        <v>6.5000000000000002E-2</v>
      </c>
      <c r="Q19" s="55">
        <v>0.06</v>
      </c>
      <c r="R19" s="55">
        <v>5.5E-2</v>
      </c>
      <c r="S19" s="55">
        <v>0.05</v>
      </c>
      <c r="T19" s="55">
        <v>4.4999999999999998E-2</v>
      </c>
      <c r="U19" s="55">
        <v>0.04</v>
      </c>
      <c r="V19" s="55">
        <v>3.7999999999999999E-2</v>
      </c>
      <c r="W19" s="55">
        <v>3.5000000000000003E-2</v>
      </c>
      <c r="X19" s="55">
        <v>0.03</v>
      </c>
    </row>
    <row r="20" spans="1:24" x14ac:dyDescent="0.3">
      <c r="A20" t="s">
        <v>78</v>
      </c>
      <c r="B20" s="88"/>
      <c r="C20" s="88"/>
      <c r="D20" s="88"/>
      <c r="E20" s="55">
        <v>0.63</v>
      </c>
      <c r="F20" s="55">
        <v>0.65</v>
      </c>
      <c r="G20" s="55">
        <v>0.66</v>
      </c>
      <c r="H20" s="55">
        <v>0.67</v>
      </c>
      <c r="I20" s="55">
        <v>0.68</v>
      </c>
      <c r="J20" s="55">
        <v>0.68</v>
      </c>
      <c r="K20" s="55">
        <v>0.68</v>
      </c>
      <c r="L20" s="55">
        <v>0.68</v>
      </c>
      <c r="M20" s="55">
        <v>0.68</v>
      </c>
      <c r="N20" s="55">
        <v>0.68</v>
      </c>
      <c r="O20" s="55">
        <v>0.68500000000000005</v>
      </c>
      <c r="P20" s="55">
        <v>0.68500000000000005</v>
      </c>
      <c r="Q20" s="55">
        <v>0.69</v>
      </c>
      <c r="R20" s="55">
        <v>0.69</v>
      </c>
      <c r="S20" s="55">
        <v>0.69</v>
      </c>
      <c r="T20" s="55">
        <v>0.69499999999999995</v>
      </c>
      <c r="U20" s="55">
        <v>0.69499999999999995</v>
      </c>
      <c r="V20" s="55">
        <v>0.7</v>
      </c>
      <c r="W20" s="55">
        <v>0.7</v>
      </c>
      <c r="X20" s="55">
        <v>0.7</v>
      </c>
    </row>
    <row r="21" spans="1:24" x14ac:dyDescent="0.3">
      <c r="A21" t="s">
        <v>79</v>
      </c>
      <c r="B21" s="88"/>
      <c r="C21" s="88"/>
      <c r="D21" s="88"/>
      <c r="E21" s="55">
        <v>0.19500000000000001</v>
      </c>
      <c r="F21" s="55">
        <v>0.185</v>
      </c>
      <c r="G21" s="55">
        <v>0.17499999999999999</v>
      </c>
      <c r="H21" s="55">
        <v>0.16500000000000001</v>
      </c>
      <c r="I21" s="55">
        <v>0.155</v>
      </c>
      <c r="J21" s="55">
        <v>0.15</v>
      </c>
      <c r="K21" s="55">
        <v>0.14499999999999999</v>
      </c>
      <c r="L21" s="55">
        <v>0.14000000000000001</v>
      </c>
      <c r="M21" s="55">
        <v>0.13500000000000001</v>
      </c>
      <c r="N21" s="55">
        <v>0.13</v>
      </c>
      <c r="O21" s="55">
        <v>0.13</v>
      </c>
      <c r="P21" s="55">
        <v>0.125</v>
      </c>
      <c r="Q21" s="55">
        <v>0.125</v>
      </c>
      <c r="R21" s="55">
        <v>0.12</v>
      </c>
      <c r="S21" s="55">
        <v>0.12</v>
      </c>
      <c r="T21" s="55">
        <v>0.12</v>
      </c>
      <c r="U21" s="55">
        <v>0.115</v>
      </c>
      <c r="V21" s="55">
        <v>0.115</v>
      </c>
      <c r="W21" s="55">
        <v>0.115</v>
      </c>
      <c r="X21" s="55">
        <v>0.115</v>
      </c>
    </row>
    <row r="22" spans="1:24" x14ac:dyDescent="0.3">
      <c r="A22" t="s">
        <v>80</v>
      </c>
      <c r="B22" s="88"/>
      <c r="C22" s="88"/>
      <c r="D22" s="88"/>
      <c r="E22" s="55">
        <v>0.32</v>
      </c>
      <c r="F22" s="55">
        <v>0.27</v>
      </c>
      <c r="G22" s="55">
        <v>0.23</v>
      </c>
      <c r="H22" s="55">
        <v>0.2</v>
      </c>
      <c r="I22" s="55">
        <v>0.17</v>
      </c>
      <c r="J22" s="55">
        <v>0.15</v>
      </c>
      <c r="K22" s="55">
        <v>0.13</v>
      </c>
      <c r="L22" s="55">
        <v>0.12</v>
      </c>
      <c r="M22" s="55">
        <v>0.11</v>
      </c>
      <c r="N22" s="55">
        <v>0.1</v>
      </c>
      <c r="O22" s="55">
        <v>9.5000000000000001E-2</v>
      </c>
      <c r="P22" s="55">
        <v>0.09</v>
      </c>
      <c r="Q22" s="55">
        <v>8.7999999999999995E-2</v>
      </c>
      <c r="R22" s="55">
        <v>8.5000000000000006E-2</v>
      </c>
      <c r="S22" s="55">
        <v>8.2000000000000003E-2</v>
      </c>
      <c r="T22" s="55">
        <v>0.08</v>
      </c>
      <c r="U22" s="55">
        <v>0.08</v>
      </c>
      <c r="V22" s="55">
        <v>0.08</v>
      </c>
      <c r="W22" s="55">
        <v>0.08</v>
      </c>
      <c r="X22" s="55">
        <v>0.08</v>
      </c>
    </row>
    <row r="23" spans="1:24" x14ac:dyDescent="0.3">
      <c r="A23" t="s">
        <v>81</v>
      </c>
      <c r="B23" s="88"/>
      <c r="C23" s="88"/>
      <c r="D23" s="88"/>
      <c r="E23" s="55">
        <v>0.04</v>
      </c>
      <c r="F23" s="55">
        <v>0.04</v>
      </c>
      <c r="G23" s="55">
        <v>0.04</v>
      </c>
      <c r="H23" s="55">
        <v>0.04</v>
      </c>
      <c r="I23" s="55">
        <v>0.03</v>
      </c>
      <c r="J23" s="55">
        <v>0.03</v>
      </c>
      <c r="K23" s="55">
        <v>0.03</v>
      </c>
      <c r="L23" s="55">
        <v>0.03</v>
      </c>
      <c r="M23" s="55">
        <v>0.02</v>
      </c>
      <c r="N23" s="55">
        <v>0.02</v>
      </c>
      <c r="O23" s="55">
        <v>0.02</v>
      </c>
      <c r="P23" s="55">
        <v>0.02</v>
      </c>
      <c r="Q23" s="55">
        <v>0.02</v>
      </c>
      <c r="R23" s="55">
        <v>0.02</v>
      </c>
      <c r="S23" s="55">
        <v>0.02</v>
      </c>
      <c r="T23" s="55">
        <v>1.4999999999999999E-2</v>
      </c>
      <c r="U23" s="55">
        <v>1.4999999999999999E-2</v>
      </c>
      <c r="V23" s="55">
        <v>1.4999999999999999E-2</v>
      </c>
      <c r="W23" s="55">
        <v>1.4999999999999999E-2</v>
      </c>
      <c r="X23" s="55">
        <v>1.4999999999999999E-2</v>
      </c>
    </row>
    <row r="24" spans="1:24" x14ac:dyDescent="0.3">
      <c r="A24" t="s">
        <v>82</v>
      </c>
      <c r="B24" s="143">
        <f>WACC!C47</f>
        <v>0.03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 spans="1:24" x14ac:dyDescent="0.3">
      <c r="A25" t="s">
        <v>57</v>
      </c>
      <c r="B25" s="87">
        <f>WACC!B47</f>
        <v>7.544535256410255E-2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 spans="1:24" x14ac:dyDescent="0.3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 spans="1:24" x14ac:dyDescent="0.3">
      <c r="A27" s="5" t="s">
        <v>84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 spans="1:24" x14ac:dyDescent="0.3">
      <c r="A28" s="6"/>
      <c r="B28" s="52" t="s">
        <v>64</v>
      </c>
      <c r="C28" s="52" t="s">
        <v>65</v>
      </c>
      <c r="D28" s="52" t="s">
        <v>66</v>
      </c>
      <c r="E28" s="52" t="s">
        <v>67</v>
      </c>
      <c r="F28" s="52" t="s">
        <v>68</v>
      </c>
      <c r="G28" s="52" t="s">
        <v>69</v>
      </c>
      <c r="H28" s="52" t="s">
        <v>70</v>
      </c>
      <c r="I28" s="52" t="s">
        <v>71</v>
      </c>
      <c r="J28" s="52" t="s">
        <v>72</v>
      </c>
      <c r="K28" s="52" t="s">
        <v>73</v>
      </c>
      <c r="L28" s="52" t="s">
        <v>74</v>
      </c>
      <c r="M28" s="52" t="s">
        <v>75</v>
      </c>
      <c r="N28" s="52" t="s">
        <v>76</v>
      </c>
      <c r="O28" s="52" t="s">
        <v>245</v>
      </c>
      <c r="P28" s="52" t="s">
        <v>246</v>
      </c>
      <c r="Q28" s="52" t="s">
        <v>247</v>
      </c>
      <c r="R28" s="52" t="s">
        <v>248</v>
      </c>
      <c r="S28" s="52" t="s">
        <v>249</v>
      </c>
      <c r="T28" s="52" t="s">
        <v>250</v>
      </c>
      <c r="U28" s="52" t="s">
        <v>251</v>
      </c>
      <c r="V28" s="52" t="s">
        <v>252</v>
      </c>
      <c r="W28" s="52" t="s">
        <v>253</v>
      </c>
      <c r="X28" s="52" t="s">
        <v>254</v>
      </c>
    </row>
    <row r="29" spans="1:24" x14ac:dyDescent="0.3">
      <c r="A29" t="s">
        <v>77</v>
      </c>
      <c r="B29" s="88"/>
      <c r="C29" s="88"/>
      <c r="D29" s="88"/>
      <c r="E29" s="55">
        <v>0.48</v>
      </c>
      <c r="F29" s="55">
        <v>0.4</v>
      </c>
      <c r="G29" s="55">
        <v>0.33</v>
      </c>
      <c r="H29" s="55">
        <v>0.27</v>
      </c>
      <c r="I29" s="55">
        <v>0.22</v>
      </c>
      <c r="J29" s="55">
        <v>0.18</v>
      </c>
      <c r="K29" s="55">
        <v>0.15</v>
      </c>
      <c r="L29" s="55">
        <v>0.13</v>
      </c>
      <c r="M29" s="55">
        <v>0.11</v>
      </c>
      <c r="N29" s="55">
        <v>0.09</v>
      </c>
      <c r="O29" s="55">
        <v>8.5000000000000006E-2</v>
      </c>
      <c r="P29" s="55">
        <v>0.08</v>
      </c>
      <c r="Q29" s="55">
        <v>7.4999999999999997E-2</v>
      </c>
      <c r="R29" s="55">
        <v>7.0000000000000007E-2</v>
      </c>
      <c r="S29" s="55">
        <v>6.5000000000000002E-2</v>
      </c>
      <c r="T29" s="55">
        <v>0.06</v>
      </c>
      <c r="U29" s="55">
        <v>5.5E-2</v>
      </c>
      <c r="V29" s="55">
        <v>0.05</v>
      </c>
      <c r="W29" s="55">
        <v>4.4999999999999998E-2</v>
      </c>
      <c r="X29" s="55">
        <v>0.04</v>
      </c>
    </row>
    <row r="30" spans="1:24" x14ac:dyDescent="0.3">
      <c r="A30" t="s">
        <v>78</v>
      </c>
      <c r="B30" s="88"/>
      <c r="C30" s="88"/>
      <c r="D30" s="88"/>
      <c r="E30" s="55">
        <v>0.65</v>
      </c>
      <c r="F30" s="55">
        <v>0.67</v>
      </c>
      <c r="G30" s="55">
        <v>0.69</v>
      </c>
      <c r="H30" s="55">
        <v>0.7</v>
      </c>
      <c r="I30" s="55">
        <v>0.71</v>
      </c>
      <c r="J30" s="55">
        <v>0.71</v>
      </c>
      <c r="K30" s="55">
        <v>0.72</v>
      </c>
      <c r="L30" s="55">
        <v>0.72</v>
      </c>
      <c r="M30" s="55">
        <v>0.72</v>
      </c>
      <c r="N30" s="55">
        <v>0.72</v>
      </c>
      <c r="O30" s="55">
        <v>0.72</v>
      </c>
      <c r="P30" s="55">
        <v>0.72</v>
      </c>
      <c r="Q30" s="55">
        <v>0.72499999999999998</v>
      </c>
      <c r="R30" s="55">
        <v>0.72499999999999998</v>
      </c>
      <c r="S30" s="55">
        <v>0.73</v>
      </c>
      <c r="T30" s="55">
        <v>0.73</v>
      </c>
      <c r="U30" s="55">
        <v>0.73</v>
      </c>
      <c r="V30" s="55">
        <v>0.73</v>
      </c>
      <c r="W30" s="55">
        <v>0.73</v>
      </c>
      <c r="X30" s="55">
        <v>0.73</v>
      </c>
    </row>
    <row r="31" spans="1:24" x14ac:dyDescent="0.3">
      <c r="A31" t="s">
        <v>79</v>
      </c>
      <c r="B31" s="88"/>
      <c r="C31" s="88"/>
      <c r="D31" s="88"/>
      <c r="E31" s="55">
        <v>0.19500000000000001</v>
      </c>
      <c r="F31" s="55">
        <v>0.185</v>
      </c>
      <c r="G31" s="55">
        <v>0.17499999999999999</v>
      </c>
      <c r="H31" s="55">
        <v>0.16500000000000001</v>
      </c>
      <c r="I31" s="55">
        <v>0.155</v>
      </c>
      <c r="J31" s="55">
        <v>0.15</v>
      </c>
      <c r="K31" s="55">
        <v>0.14499999999999999</v>
      </c>
      <c r="L31" s="55">
        <v>0.14000000000000001</v>
      </c>
      <c r="M31" s="55">
        <v>0.13500000000000001</v>
      </c>
      <c r="N31" s="55">
        <v>0.13</v>
      </c>
      <c r="O31" s="55">
        <v>0.13</v>
      </c>
      <c r="P31" s="55">
        <v>0.125</v>
      </c>
      <c r="Q31" s="55">
        <v>0.12</v>
      </c>
      <c r="R31" s="55">
        <v>0.12</v>
      </c>
      <c r="S31" s="55">
        <v>0.115</v>
      </c>
      <c r="T31" s="55">
        <v>0.115</v>
      </c>
      <c r="U31" s="55">
        <v>0.11</v>
      </c>
      <c r="V31" s="55">
        <v>0.11</v>
      </c>
      <c r="W31" s="55">
        <v>0.11</v>
      </c>
      <c r="X31" s="55">
        <v>0.11</v>
      </c>
    </row>
    <row r="32" spans="1:24" x14ac:dyDescent="0.3">
      <c r="A32" t="s">
        <v>80</v>
      </c>
      <c r="B32" s="88"/>
      <c r="C32" s="88"/>
      <c r="D32" s="88"/>
      <c r="E32" s="55">
        <v>0.3</v>
      </c>
      <c r="F32" s="55">
        <v>0.25</v>
      </c>
      <c r="G32" s="55">
        <v>0.21</v>
      </c>
      <c r="H32" s="55">
        <v>0.18</v>
      </c>
      <c r="I32" s="55">
        <v>0.15</v>
      </c>
      <c r="J32" s="55">
        <v>0.13</v>
      </c>
      <c r="K32" s="55">
        <v>0.11</v>
      </c>
      <c r="L32" s="55">
        <v>0.1</v>
      </c>
      <c r="M32" s="55">
        <v>0.09</v>
      </c>
      <c r="N32" s="55">
        <v>0.09</v>
      </c>
      <c r="O32" s="55">
        <v>8.5000000000000006E-2</v>
      </c>
      <c r="P32" s="55">
        <v>8.2000000000000003E-2</v>
      </c>
      <c r="Q32" s="55">
        <v>0.08</v>
      </c>
      <c r="R32" s="55">
        <v>7.8E-2</v>
      </c>
      <c r="S32" s="55">
        <v>7.4999999999999997E-2</v>
      </c>
      <c r="T32" s="55">
        <v>7.1999999999999995E-2</v>
      </c>
      <c r="U32" s="55">
        <v>7.0000000000000007E-2</v>
      </c>
      <c r="V32" s="55">
        <v>7.0000000000000007E-2</v>
      </c>
      <c r="W32" s="55">
        <v>7.0000000000000007E-2</v>
      </c>
      <c r="X32" s="55">
        <v>7.0000000000000007E-2</v>
      </c>
    </row>
    <row r="33" spans="1:24" x14ac:dyDescent="0.3">
      <c r="A33" t="s">
        <v>81</v>
      </c>
      <c r="B33" s="88"/>
      <c r="C33" s="88"/>
      <c r="D33" s="88"/>
      <c r="E33" s="55">
        <v>0.03</v>
      </c>
      <c r="F33" s="55">
        <v>0.03</v>
      </c>
      <c r="G33" s="55">
        <v>0.03</v>
      </c>
      <c r="H33" s="55">
        <v>0.03</v>
      </c>
      <c r="I33" s="55">
        <v>0.02</v>
      </c>
      <c r="J33" s="55">
        <v>0.02</v>
      </c>
      <c r="K33" s="55">
        <v>0.02</v>
      </c>
      <c r="L33" s="55">
        <v>0.02</v>
      </c>
      <c r="M33" s="55">
        <v>0.02</v>
      </c>
      <c r="N33" s="55">
        <v>0.02</v>
      </c>
      <c r="O33" s="55">
        <v>0.02</v>
      </c>
      <c r="P33" s="55">
        <v>0.02</v>
      </c>
      <c r="Q33" s="55">
        <v>1.4999999999999999E-2</v>
      </c>
      <c r="R33" s="55">
        <v>1.4999999999999999E-2</v>
      </c>
      <c r="S33" s="55">
        <v>1.4999999999999999E-2</v>
      </c>
      <c r="T33" s="55">
        <v>1.4999999999999999E-2</v>
      </c>
      <c r="U33" s="55">
        <v>1.4999999999999999E-2</v>
      </c>
      <c r="V33" s="55">
        <v>1.4999999999999999E-2</v>
      </c>
      <c r="W33" s="55">
        <v>1.4999999999999999E-2</v>
      </c>
      <c r="X33" s="55">
        <v>1.4999999999999999E-2</v>
      </c>
    </row>
    <row r="34" spans="1:24" x14ac:dyDescent="0.3">
      <c r="A34" t="s">
        <v>82</v>
      </c>
      <c r="B34" s="143">
        <f>WACC!E47</f>
        <v>3.5000000000000003E-2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 spans="1:24" x14ac:dyDescent="0.3">
      <c r="A35" t="s">
        <v>57</v>
      </c>
      <c r="B35" s="87">
        <f>WACC!B47</f>
        <v>7.544535256410255E-2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 spans="1:24" x14ac:dyDescent="0.3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 spans="1:24" x14ac:dyDescent="0.3">
      <c r="A37" s="5" t="s">
        <v>85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1:24" x14ac:dyDescent="0.3">
      <c r="A38" s="6"/>
      <c r="B38" s="52" t="s">
        <v>64</v>
      </c>
      <c r="C38" s="52" t="s">
        <v>65</v>
      </c>
      <c r="D38" s="52" t="s">
        <v>66</v>
      </c>
      <c r="E38" s="52" t="s">
        <v>67</v>
      </c>
      <c r="F38" s="52" t="s">
        <v>68</v>
      </c>
      <c r="G38" s="52" t="s">
        <v>69</v>
      </c>
      <c r="H38" s="52" t="s">
        <v>70</v>
      </c>
      <c r="I38" s="52" t="s">
        <v>71</v>
      </c>
      <c r="J38" s="52" t="s">
        <v>72</v>
      </c>
      <c r="K38" s="52" t="s">
        <v>73</v>
      </c>
      <c r="L38" s="52" t="s">
        <v>74</v>
      </c>
      <c r="M38" s="52" t="s">
        <v>75</v>
      </c>
      <c r="N38" s="52" t="s">
        <v>76</v>
      </c>
      <c r="O38" s="52" t="s">
        <v>245</v>
      </c>
      <c r="P38" s="52" t="s">
        <v>246</v>
      </c>
      <c r="Q38" s="52" t="s">
        <v>247</v>
      </c>
      <c r="R38" s="52" t="s">
        <v>248</v>
      </c>
      <c r="S38" s="52" t="s">
        <v>249</v>
      </c>
      <c r="T38" s="52" t="s">
        <v>250</v>
      </c>
      <c r="U38" s="52" t="s">
        <v>251</v>
      </c>
      <c r="V38" s="52" t="s">
        <v>252</v>
      </c>
      <c r="W38" s="52" t="s">
        <v>253</v>
      </c>
      <c r="X38" s="52" t="s">
        <v>254</v>
      </c>
    </row>
    <row r="39" spans="1:24" x14ac:dyDescent="0.3">
      <c r="A39" t="s">
        <v>77</v>
      </c>
      <c r="B39" s="54"/>
      <c r="C39" s="54"/>
      <c r="D39" s="54"/>
      <c r="E39" s="85">
        <f t="shared" ref="E39:N39" si="0">IF($B$5=1,E9,IF($B$5=2,E19,E29))</f>
        <v>0.38</v>
      </c>
      <c r="F39" s="85">
        <f t="shared" si="0"/>
        <v>0.32</v>
      </c>
      <c r="G39" s="85">
        <f t="shared" si="0"/>
        <v>0.26</v>
      </c>
      <c r="H39" s="85">
        <f t="shared" si="0"/>
        <v>0.22</v>
      </c>
      <c r="I39" s="85">
        <f t="shared" si="0"/>
        <v>0.18</v>
      </c>
      <c r="J39" s="85">
        <f t="shared" si="0"/>
        <v>0.15</v>
      </c>
      <c r="K39" s="85">
        <f t="shared" si="0"/>
        <v>0.13</v>
      </c>
      <c r="L39" s="85">
        <f t="shared" si="0"/>
        <v>0.11</v>
      </c>
      <c r="M39" s="85">
        <f t="shared" si="0"/>
        <v>0.09</v>
      </c>
      <c r="N39" s="85">
        <f t="shared" si="0"/>
        <v>0.08</v>
      </c>
      <c r="O39" s="64">
        <f t="shared" ref="O39:X39" si="1">IF($B$5=1,O9,IF($B$5=2,O19,O29))</f>
        <v>7.0000000000000007E-2</v>
      </c>
      <c r="P39" s="64">
        <f t="shared" si="1"/>
        <v>6.5000000000000002E-2</v>
      </c>
      <c r="Q39" s="64">
        <f t="shared" si="1"/>
        <v>0.06</v>
      </c>
      <c r="R39" s="64">
        <f t="shared" si="1"/>
        <v>5.5E-2</v>
      </c>
      <c r="S39" s="64">
        <f t="shared" si="1"/>
        <v>0.05</v>
      </c>
      <c r="T39" s="64">
        <f t="shared" si="1"/>
        <v>4.4999999999999998E-2</v>
      </c>
      <c r="U39" s="64">
        <f t="shared" si="1"/>
        <v>0.04</v>
      </c>
      <c r="V39" s="64">
        <f t="shared" si="1"/>
        <v>3.7999999999999999E-2</v>
      </c>
      <c r="W39" s="64">
        <f t="shared" si="1"/>
        <v>3.5000000000000003E-2</v>
      </c>
      <c r="X39" s="64">
        <f t="shared" si="1"/>
        <v>0.03</v>
      </c>
    </row>
    <row r="40" spans="1:24" x14ac:dyDescent="0.3">
      <c r="A40" t="s">
        <v>78</v>
      </c>
      <c r="B40" s="54"/>
      <c r="C40" s="54"/>
      <c r="D40" s="54"/>
      <c r="E40" s="85">
        <f t="shared" ref="E40:N40" si="2">IF($B$5=1,E10,IF($B$5=2,E20,E30))</f>
        <v>0.63</v>
      </c>
      <c r="F40" s="85">
        <f t="shared" si="2"/>
        <v>0.65</v>
      </c>
      <c r="G40" s="85">
        <f t="shared" si="2"/>
        <v>0.66</v>
      </c>
      <c r="H40" s="85">
        <f t="shared" si="2"/>
        <v>0.67</v>
      </c>
      <c r="I40" s="85">
        <f t="shared" si="2"/>
        <v>0.68</v>
      </c>
      <c r="J40" s="85">
        <f t="shared" si="2"/>
        <v>0.68</v>
      </c>
      <c r="K40" s="85">
        <f t="shared" si="2"/>
        <v>0.68</v>
      </c>
      <c r="L40" s="85">
        <f t="shared" si="2"/>
        <v>0.68</v>
      </c>
      <c r="M40" s="85">
        <f t="shared" si="2"/>
        <v>0.68</v>
      </c>
      <c r="N40" s="85">
        <f t="shared" si="2"/>
        <v>0.68</v>
      </c>
      <c r="O40" s="64">
        <f t="shared" ref="O40:X40" si="3">IF($B$5=1,O10,IF($B$5=2,O20,O30))</f>
        <v>0.68500000000000005</v>
      </c>
      <c r="P40" s="64">
        <f t="shared" si="3"/>
        <v>0.68500000000000005</v>
      </c>
      <c r="Q40" s="64">
        <f t="shared" si="3"/>
        <v>0.69</v>
      </c>
      <c r="R40" s="64">
        <f t="shared" si="3"/>
        <v>0.69</v>
      </c>
      <c r="S40" s="64">
        <f t="shared" si="3"/>
        <v>0.69</v>
      </c>
      <c r="T40" s="64">
        <f t="shared" si="3"/>
        <v>0.69499999999999995</v>
      </c>
      <c r="U40" s="64">
        <f t="shared" si="3"/>
        <v>0.69499999999999995</v>
      </c>
      <c r="V40" s="64">
        <f t="shared" si="3"/>
        <v>0.7</v>
      </c>
      <c r="W40" s="64">
        <f t="shared" si="3"/>
        <v>0.7</v>
      </c>
      <c r="X40" s="64">
        <f t="shared" si="3"/>
        <v>0.7</v>
      </c>
    </row>
    <row r="41" spans="1:24" x14ac:dyDescent="0.3">
      <c r="A41" t="s">
        <v>79</v>
      </c>
      <c r="B41" s="54"/>
      <c r="C41" s="54"/>
      <c r="D41" s="54"/>
      <c r="E41" s="85">
        <f t="shared" ref="E41:N41" si="4">IF($B$5=1,E11,IF($B$5=2,E21,E31))</f>
        <v>0.19500000000000001</v>
      </c>
      <c r="F41" s="85">
        <f t="shared" si="4"/>
        <v>0.185</v>
      </c>
      <c r="G41" s="85">
        <f t="shared" si="4"/>
        <v>0.17499999999999999</v>
      </c>
      <c r="H41" s="85">
        <f t="shared" si="4"/>
        <v>0.16500000000000001</v>
      </c>
      <c r="I41" s="85">
        <f t="shared" si="4"/>
        <v>0.155</v>
      </c>
      <c r="J41" s="85">
        <f t="shared" si="4"/>
        <v>0.15</v>
      </c>
      <c r="K41" s="85">
        <f t="shared" si="4"/>
        <v>0.14499999999999999</v>
      </c>
      <c r="L41" s="85">
        <f t="shared" si="4"/>
        <v>0.14000000000000001</v>
      </c>
      <c r="M41" s="85">
        <f t="shared" si="4"/>
        <v>0.13500000000000001</v>
      </c>
      <c r="N41" s="85">
        <f t="shared" si="4"/>
        <v>0.13</v>
      </c>
      <c r="O41" s="64">
        <f t="shared" ref="O41:X41" si="5">IF($B$5=1,O11,IF($B$5=2,O21,O31))</f>
        <v>0.13</v>
      </c>
      <c r="P41" s="64">
        <f t="shared" si="5"/>
        <v>0.125</v>
      </c>
      <c r="Q41" s="64">
        <f t="shared" si="5"/>
        <v>0.125</v>
      </c>
      <c r="R41" s="64">
        <f t="shared" si="5"/>
        <v>0.12</v>
      </c>
      <c r="S41" s="64">
        <f t="shared" si="5"/>
        <v>0.12</v>
      </c>
      <c r="T41" s="64">
        <f t="shared" si="5"/>
        <v>0.12</v>
      </c>
      <c r="U41" s="64">
        <f t="shared" si="5"/>
        <v>0.115</v>
      </c>
      <c r="V41" s="64">
        <f t="shared" si="5"/>
        <v>0.115</v>
      </c>
      <c r="W41" s="64">
        <f t="shared" si="5"/>
        <v>0.115</v>
      </c>
      <c r="X41" s="64">
        <f t="shared" si="5"/>
        <v>0.115</v>
      </c>
    </row>
    <row r="42" spans="1:24" x14ac:dyDescent="0.3">
      <c r="A42" t="s">
        <v>80</v>
      </c>
      <c r="B42" s="54"/>
      <c r="C42" s="54"/>
      <c r="D42" s="54"/>
      <c r="E42" s="85">
        <f t="shared" ref="E42:N42" si="6">IF($B$5=1,E12,IF($B$5=2,E22,E32))</f>
        <v>0.32</v>
      </c>
      <c r="F42" s="85">
        <f t="shared" si="6"/>
        <v>0.27</v>
      </c>
      <c r="G42" s="85">
        <f t="shared" si="6"/>
        <v>0.23</v>
      </c>
      <c r="H42" s="85">
        <f t="shared" si="6"/>
        <v>0.2</v>
      </c>
      <c r="I42" s="85">
        <f t="shared" si="6"/>
        <v>0.17</v>
      </c>
      <c r="J42" s="85">
        <f t="shared" si="6"/>
        <v>0.15</v>
      </c>
      <c r="K42" s="85">
        <f t="shared" si="6"/>
        <v>0.13</v>
      </c>
      <c r="L42" s="85">
        <f t="shared" si="6"/>
        <v>0.12</v>
      </c>
      <c r="M42" s="85">
        <f t="shared" si="6"/>
        <v>0.11</v>
      </c>
      <c r="N42" s="85">
        <f t="shared" si="6"/>
        <v>0.1</v>
      </c>
      <c r="O42" s="64">
        <f t="shared" ref="O42:X42" si="7">IF($B$5=1,O12,IF($B$5=2,O22,O32))</f>
        <v>9.5000000000000001E-2</v>
      </c>
      <c r="P42" s="64">
        <f t="shared" si="7"/>
        <v>0.09</v>
      </c>
      <c r="Q42" s="64">
        <f t="shared" si="7"/>
        <v>8.7999999999999995E-2</v>
      </c>
      <c r="R42" s="64">
        <f t="shared" si="7"/>
        <v>8.5000000000000006E-2</v>
      </c>
      <c r="S42" s="64">
        <f t="shared" si="7"/>
        <v>8.2000000000000003E-2</v>
      </c>
      <c r="T42" s="64">
        <f t="shared" si="7"/>
        <v>0.08</v>
      </c>
      <c r="U42" s="64">
        <f t="shared" si="7"/>
        <v>0.08</v>
      </c>
      <c r="V42" s="64">
        <f t="shared" si="7"/>
        <v>0.08</v>
      </c>
      <c r="W42" s="64">
        <f t="shared" si="7"/>
        <v>0.08</v>
      </c>
      <c r="X42" s="64">
        <f t="shared" si="7"/>
        <v>0.08</v>
      </c>
    </row>
    <row r="43" spans="1:24" x14ac:dyDescent="0.3">
      <c r="A43" t="s">
        <v>81</v>
      </c>
      <c r="B43" s="54"/>
      <c r="C43" s="54"/>
      <c r="D43" s="54"/>
      <c r="E43" s="85">
        <f t="shared" ref="E43:N43" si="8">IF($B$5=1,E13,IF($B$5=2,E23,E33))</f>
        <v>0.04</v>
      </c>
      <c r="F43" s="85">
        <f t="shared" si="8"/>
        <v>0.04</v>
      </c>
      <c r="G43" s="85">
        <f t="shared" si="8"/>
        <v>0.04</v>
      </c>
      <c r="H43" s="85">
        <f t="shared" si="8"/>
        <v>0.04</v>
      </c>
      <c r="I43" s="85">
        <f t="shared" si="8"/>
        <v>0.03</v>
      </c>
      <c r="J43" s="85">
        <f t="shared" si="8"/>
        <v>0.03</v>
      </c>
      <c r="K43" s="85">
        <f t="shared" si="8"/>
        <v>0.03</v>
      </c>
      <c r="L43" s="85">
        <f t="shared" si="8"/>
        <v>0.03</v>
      </c>
      <c r="M43" s="85">
        <f t="shared" si="8"/>
        <v>0.02</v>
      </c>
      <c r="N43" s="85">
        <f t="shared" si="8"/>
        <v>0.02</v>
      </c>
      <c r="O43" s="64">
        <f t="shared" ref="O43:X43" si="9">IF($B$5=1,O13,IF($B$5=2,O23,O33))</f>
        <v>0.02</v>
      </c>
      <c r="P43" s="64">
        <f t="shared" si="9"/>
        <v>0.02</v>
      </c>
      <c r="Q43" s="64">
        <f t="shared" si="9"/>
        <v>0.02</v>
      </c>
      <c r="R43" s="64">
        <f t="shared" si="9"/>
        <v>0.02</v>
      </c>
      <c r="S43" s="64">
        <f t="shared" si="9"/>
        <v>0.02</v>
      </c>
      <c r="T43" s="64">
        <f t="shared" si="9"/>
        <v>1.4999999999999999E-2</v>
      </c>
      <c r="U43" s="64">
        <f t="shared" si="9"/>
        <v>1.4999999999999999E-2</v>
      </c>
      <c r="V43" s="64">
        <f t="shared" si="9"/>
        <v>1.4999999999999999E-2</v>
      </c>
      <c r="W43" s="64">
        <f t="shared" si="9"/>
        <v>1.4999999999999999E-2</v>
      </c>
      <c r="X43" s="64">
        <f t="shared" si="9"/>
        <v>1.4999999999999999E-2</v>
      </c>
    </row>
    <row r="44" spans="1:24" x14ac:dyDescent="0.3">
      <c r="A44" t="s">
        <v>82</v>
      </c>
      <c r="B44" s="85">
        <f>IF($B$5=1,B14,IF($B$5=2,B24,B34))</f>
        <v>0.03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 spans="1:24" x14ac:dyDescent="0.3">
      <c r="A45" t="s">
        <v>57</v>
      </c>
      <c r="B45" s="87">
        <f>IF($B$5=1,B15,IF($B$5=2,B25,B35))</f>
        <v>7.544535256410255E-2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 spans="1:24" x14ac:dyDescent="0.3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 spans="1:24" x14ac:dyDescent="0.3">
      <c r="A47" s="5" t="s">
        <v>86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0"/>
      <c r="P47" s="90"/>
      <c r="Q47" s="90"/>
      <c r="R47" s="90"/>
      <c r="S47" s="90"/>
      <c r="T47" s="90"/>
      <c r="U47" s="90"/>
      <c r="V47" s="90"/>
      <c r="W47" s="90"/>
      <c r="X47" s="90"/>
    </row>
    <row r="48" spans="1:24" x14ac:dyDescent="0.3">
      <c r="A48" s="6"/>
      <c r="B48" s="52" t="s">
        <v>64</v>
      </c>
      <c r="C48" s="52" t="s">
        <v>65</v>
      </c>
      <c r="D48" s="326" t="s">
        <v>66</v>
      </c>
      <c r="E48" s="52" t="s">
        <v>67</v>
      </c>
      <c r="F48" s="52" t="s">
        <v>68</v>
      </c>
      <c r="G48" s="52" t="s">
        <v>69</v>
      </c>
      <c r="H48" s="52" t="s">
        <v>70</v>
      </c>
      <c r="I48" s="52" t="s">
        <v>71</v>
      </c>
      <c r="J48" s="52" t="s">
        <v>72</v>
      </c>
      <c r="K48" s="52" t="s">
        <v>73</v>
      </c>
      <c r="L48" s="52" t="s">
        <v>74</v>
      </c>
      <c r="M48" s="52" t="s">
        <v>75</v>
      </c>
      <c r="N48" s="52" t="s">
        <v>76</v>
      </c>
      <c r="O48" s="52" t="s">
        <v>245</v>
      </c>
      <c r="P48" s="52" t="s">
        <v>246</v>
      </c>
      <c r="Q48" s="52" t="s">
        <v>247</v>
      </c>
      <c r="R48" s="52" t="s">
        <v>248</v>
      </c>
      <c r="S48" s="52" t="s">
        <v>249</v>
      </c>
      <c r="T48" s="52" t="s">
        <v>250</v>
      </c>
      <c r="U48" s="52" t="s">
        <v>251</v>
      </c>
      <c r="V48" s="52" t="s">
        <v>252</v>
      </c>
      <c r="W48" s="52" t="s">
        <v>253</v>
      </c>
      <c r="X48" s="52" t="s">
        <v>254</v>
      </c>
    </row>
    <row r="49" spans="1:24" x14ac:dyDescent="0.3">
      <c r="A49" t="s">
        <v>87</v>
      </c>
      <c r="B49" s="91">
        <v>3869</v>
      </c>
      <c r="C49" s="91">
        <v>7599</v>
      </c>
      <c r="D49" s="154">
        <f>Actuals!D7</f>
        <v>11387</v>
      </c>
      <c r="E49" s="92">
        <f t="shared" ref="E49:N49" si="10">D49*(1+E39)</f>
        <v>15714.06</v>
      </c>
      <c r="F49" s="92">
        <f t="shared" si="10"/>
        <v>20742.5592</v>
      </c>
      <c r="G49" s="92">
        <f t="shared" si="10"/>
        <v>26135.624592</v>
      </c>
      <c r="H49" s="92">
        <f t="shared" si="10"/>
        <v>31885.462002239998</v>
      </c>
      <c r="I49" s="92">
        <f t="shared" si="10"/>
        <v>37624.845162643192</v>
      </c>
      <c r="J49" s="92">
        <f t="shared" si="10"/>
        <v>43268.571937039669</v>
      </c>
      <c r="K49" s="92">
        <f t="shared" si="10"/>
        <v>48893.486288854823</v>
      </c>
      <c r="L49" s="92">
        <f t="shared" si="10"/>
        <v>54271.769780628856</v>
      </c>
      <c r="M49" s="92">
        <f t="shared" si="10"/>
        <v>59156.22906088546</v>
      </c>
      <c r="N49" s="92">
        <f t="shared" si="10"/>
        <v>63888.727385756298</v>
      </c>
      <c r="O49" s="92">
        <f t="shared" ref="O49:X49" si="11">N49*(1+O39)</f>
        <v>68360.938302759241</v>
      </c>
      <c r="P49" s="92">
        <f t="shared" si="11"/>
        <v>72804.399292438582</v>
      </c>
      <c r="Q49" s="92">
        <f t="shared" si="11"/>
        <v>77172.663249984907</v>
      </c>
      <c r="R49" s="92">
        <f t="shared" si="11"/>
        <v>81417.15972873407</v>
      </c>
      <c r="S49" s="92">
        <f t="shared" si="11"/>
        <v>85488.017715170776</v>
      </c>
      <c r="T49" s="92">
        <f t="shared" si="11"/>
        <v>89334.978512353453</v>
      </c>
      <c r="U49" s="92">
        <f t="shared" si="11"/>
        <v>92908.377652847601</v>
      </c>
      <c r="V49" s="92">
        <f t="shared" si="11"/>
        <v>96438.896003655813</v>
      </c>
      <c r="W49" s="92">
        <f t="shared" si="11"/>
        <v>99814.257363783763</v>
      </c>
      <c r="X49" s="92">
        <f t="shared" si="11"/>
        <v>102808.68508469728</v>
      </c>
    </row>
    <row r="50" spans="1:24" x14ac:dyDescent="0.3">
      <c r="A50" t="s">
        <v>88</v>
      </c>
      <c r="B50" s="93" t="s">
        <v>89</v>
      </c>
      <c r="C50" s="93">
        <f t="shared" ref="C50:N50" si="12">C49/B49-1</f>
        <v>0.96407340398035668</v>
      </c>
      <c r="D50" s="155">
        <f t="shared" si="12"/>
        <v>0.49848664297933931</v>
      </c>
      <c r="E50" s="64">
        <f t="shared" si="12"/>
        <v>0.37999999999999989</v>
      </c>
      <c r="F50" s="64">
        <f t="shared" si="12"/>
        <v>0.32000000000000006</v>
      </c>
      <c r="G50" s="64">
        <f t="shared" si="12"/>
        <v>0.26</v>
      </c>
      <c r="H50" s="64">
        <f t="shared" si="12"/>
        <v>0.21999999999999997</v>
      </c>
      <c r="I50" s="64">
        <f t="shared" si="12"/>
        <v>0.17999999999999994</v>
      </c>
      <c r="J50" s="64">
        <f t="shared" si="12"/>
        <v>0.14999999999999991</v>
      </c>
      <c r="K50" s="64">
        <f t="shared" si="12"/>
        <v>0.12999999999999989</v>
      </c>
      <c r="L50" s="64">
        <f t="shared" si="12"/>
        <v>0.1100000000000001</v>
      </c>
      <c r="M50" s="64">
        <f t="shared" si="12"/>
        <v>9.000000000000008E-2</v>
      </c>
      <c r="N50" s="64">
        <f t="shared" si="12"/>
        <v>8.0000000000000071E-2</v>
      </c>
      <c r="O50" s="64">
        <f t="shared" ref="O50:X50" si="13">O49/N49-1</f>
        <v>7.0000000000000062E-2</v>
      </c>
      <c r="P50" s="64">
        <f t="shared" si="13"/>
        <v>6.4999999999999947E-2</v>
      </c>
      <c r="Q50" s="64">
        <f t="shared" si="13"/>
        <v>6.0000000000000053E-2</v>
      </c>
      <c r="R50" s="64">
        <f t="shared" si="13"/>
        <v>5.4999999999999938E-2</v>
      </c>
      <c r="S50" s="64">
        <f t="shared" si="13"/>
        <v>5.0000000000000044E-2</v>
      </c>
      <c r="T50" s="64">
        <f t="shared" si="13"/>
        <v>4.4999999999999929E-2</v>
      </c>
      <c r="U50" s="64">
        <f t="shared" si="13"/>
        <v>4.0000000000000036E-2</v>
      </c>
      <c r="V50" s="64">
        <f t="shared" si="13"/>
        <v>3.8000000000000034E-2</v>
      </c>
      <c r="W50" s="64">
        <f t="shared" si="13"/>
        <v>3.499999999999992E-2</v>
      </c>
      <c r="X50" s="64">
        <f t="shared" si="13"/>
        <v>3.0000000000000027E-2</v>
      </c>
    </row>
    <row r="51" spans="1:24" x14ac:dyDescent="0.3">
      <c r="A51" t="s">
        <v>90</v>
      </c>
      <c r="B51" s="91">
        <v>1935</v>
      </c>
      <c r="C51" s="91">
        <v>3514</v>
      </c>
      <c r="D51" s="154">
        <f>Actuals!D10</f>
        <v>7168</v>
      </c>
      <c r="E51" s="92">
        <f t="shared" ref="E51:N51" si="14">E49*E40</f>
        <v>9899.8577999999998</v>
      </c>
      <c r="F51" s="92">
        <f t="shared" si="14"/>
        <v>13482.663480000001</v>
      </c>
      <c r="G51" s="92">
        <f t="shared" si="14"/>
        <v>17249.51223072</v>
      </c>
      <c r="H51" s="92">
        <f t="shared" si="14"/>
        <v>21363.2595415008</v>
      </c>
      <c r="I51" s="92">
        <f t="shared" si="14"/>
        <v>25584.894710597371</v>
      </c>
      <c r="J51" s="92">
        <f t="shared" si="14"/>
        <v>29422.628917186976</v>
      </c>
      <c r="K51" s="92">
        <f t="shared" si="14"/>
        <v>33247.570676421281</v>
      </c>
      <c r="L51" s="92">
        <f t="shared" si="14"/>
        <v>36904.803450827625</v>
      </c>
      <c r="M51" s="92">
        <f t="shared" si="14"/>
        <v>40226.235761402117</v>
      </c>
      <c r="N51" s="92">
        <f t="shared" si="14"/>
        <v>43444.334622314287</v>
      </c>
      <c r="O51" s="92">
        <f t="shared" ref="O51:X51" si="15">O49*O40</f>
        <v>46827.242737390086</v>
      </c>
      <c r="P51" s="92">
        <f t="shared" si="15"/>
        <v>49871.013515320432</v>
      </c>
      <c r="Q51" s="92">
        <f t="shared" si="15"/>
        <v>53249.137642489579</v>
      </c>
      <c r="R51" s="92">
        <f t="shared" si="15"/>
        <v>56177.840212826501</v>
      </c>
      <c r="S51" s="92">
        <f t="shared" si="15"/>
        <v>58986.732223467829</v>
      </c>
      <c r="T51" s="92">
        <f t="shared" si="15"/>
        <v>62087.810066085643</v>
      </c>
      <c r="U51" s="92">
        <f t="shared" si="15"/>
        <v>64571.322468729079</v>
      </c>
      <c r="V51" s="92">
        <f t="shared" si="15"/>
        <v>67507.227202559065</v>
      </c>
      <c r="W51" s="92">
        <f t="shared" si="15"/>
        <v>69869.980154648627</v>
      </c>
      <c r="X51" s="92">
        <f t="shared" si="15"/>
        <v>71966.07955928809</v>
      </c>
    </row>
    <row r="52" spans="1:24" x14ac:dyDescent="0.3">
      <c r="A52" t="s">
        <v>91</v>
      </c>
      <c r="B52" s="93">
        <f t="shared" ref="B52:N52" si="16">B51/B49</f>
        <v>0.5001292323597829</v>
      </c>
      <c r="C52" s="93">
        <f t="shared" si="16"/>
        <v>0.46242926700881692</v>
      </c>
      <c r="D52" s="155">
        <f t="shared" si="16"/>
        <v>0.62948976903486431</v>
      </c>
      <c r="E52" s="64">
        <f t="shared" si="16"/>
        <v>0.63</v>
      </c>
      <c r="F52" s="64">
        <f t="shared" si="16"/>
        <v>0.65</v>
      </c>
      <c r="G52" s="64">
        <f t="shared" si="16"/>
        <v>0.66</v>
      </c>
      <c r="H52" s="64">
        <f t="shared" si="16"/>
        <v>0.67</v>
      </c>
      <c r="I52" s="64">
        <f t="shared" si="16"/>
        <v>0.68</v>
      </c>
      <c r="J52" s="64">
        <f t="shared" si="16"/>
        <v>0.68</v>
      </c>
      <c r="K52" s="64">
        <f t="shared" si="16"/>
        <v>0.68</v>
      </c>
      <c r="L52" s="64">
        <f t="shared" si="16"/>
        <v>0.68</v>
      </c>
      <c r="M52" s="64">
        <f t="shared" si="16"/>
        <v>0.68</v>
      </c>
      <c r="N52" s="64">
        <f t="shared" si="16"/>
        <v>0.68</v>
      </c>
      <c r="O52" s="64">
        <f t="shared" ref="O52:X52" si="17">O51/O49</f>
        <v>0.68500000000000005</v>
      </c>
      <c r="P52" s="64">
        <f t="shared" si="17"/>
        <v>0.68500000000000005</v>
      </c>
      <c r="Q52" s="64">
        <f t="shared" si="17"/>
        <v>0.69</v>
      </c>
      <c r="R52" s="64">
        <f t="shared" si="17"/>
        <v>0.69</v>
      </c>
      <c r="S52" s="64">
        <f t="shared" si="17"/>
        <v>0.69</v>
      </c>
      <c r="T52" s="64">
        <f t="shared" si="17"/>
        <v>0.69499999999999995</v>
      </c>
      <c r="U52" s="64">
        <f t="shared" si="17"/>
        <v>0.69499999999999995</v>
      </c>
      <c r="V52" s="64">
        <f t="shared" si="17"/>
        <v>0.7</v>
      </c>
      <c r="W52" s="64">
        <f t="shared" si="17"/>
        <v>0.7</v>
      </c>
      <c r="X52" s="64">
        <f t="shared" si="17"/>
        <v>0.7</v>
      </c>
    </row>
    <row r="53" spans="1:24" x14ac:dyDescent="0.3">
      <c r="A53" t="s">
        <v>92</v>
      </c>
      <c r="B53" s="91">
        <v>884</v>
      </c>
      <c r="C53" s="91">
        <v>1508</v>
      </c>
      <c r="D53" s="91">
        <v>2376</v>
      </c>
      <c r="E53" s="92">
        <f t="shared" ref="E53:N53" si="18">E49*E41</f>
        <v>3064.2417</v>
      </c>
      <c r="F53" s="92">
        <f t="shared" si="18"/>
        <v>3837.3734519999998</v>
      </c>
      <c r="G53" s="92">
        <f t="shared" si="18"/>
        <v>4573.7343035999993</v>
      </c>
      <c r="H53" s="92">
        <f t="shared" si="18"/>
        <v>5261.1012303695998</v>
      </c>
      <c r="I53" s="92">
        <f t="shared" si="18"/>
        <v>5831.8510002096946</v>
      </c>
      <c r="J53" s="92">
        <f t="shared" si="18"/>
        <v>6490.2857905559504</v>
      </c>
      <c r="K53" s="92">
        <f t="shared" si="18"/>
        <v>7089.5555118839493</v>
      </c>
      <c r="L53" s="92">
        <f t="shared" si="18"/>
        <v>7598.0477692880404</v>
      </c>
      <c r="M53" s="92">
        <f t="shared" si="18"/>
        <v>7986.0909232195372</v>
      </c>
      <c r="N53" s="92">
        <f t="shared" si="18"/>
        <v>8305.5345601483186</v>
      </c>
      <c r="O53" s="92">
        <f t="shared" ref="O53:X53" si="19">O49*O41</f>
        <v>8886.9219793587017</v>
      </c>
      <c r="P53" s="92">
        <f t="shared" si="19"/>
        <v>9100.5499115548228</v>
      </c>
      <c r="Q53" s="92">
        <f t="shared" si="19"/>
        <v>9646.5829062481134</v>
      </c>
      <c r="R53" s="92">
        <f t="shared" si="19"/>
        <v>9770.0591674480875</v>
      </c>
      <c r="S53" s="92">
        <f t="shared" si="19"/>
        <v>10258.562125820492</v>
      </c>
      <c r="T53" s="92">
        <f t="shared" si="19"/>
        <v>10720.197421482413</v>
      </c>
      <c r="U53" s="92">
        <f t="shared" si="19"/>
        <v>10684.463430077474</v>
      </c>
      <c r="V53" s="92">
        <f t="shared" si="19"/>
        <v>11090.473040420418</v>
      </c>
      <c r="W53" s="92">
        <f t="shared" si="19"/>
        <v>11478.639596835133</v>
      </c>
      <c r="X53" s="92">
        <f t="shared" si="19"/>
        <v>11822.998784740188</v>
      </c>
    </row>
    <row r="54" spans="1:24" x14ac:dyDescent="0.3">
      <c r="A54" t="s">
        <v>93</v>
      </c>
      <c r="B54" s="94">
        <f t="shared" ref="B54:N54" si="20">B51-B53</f>
        <v>1051</v>
      </c>
      <c r="C54" s="94">
        <f t="shared" si="20"/>
        <v>2006</v>
      </c>
      <c r="D54" s="94">
        <f t="shared" si="20"/>
        <v>4792</v>
      </c>
      <c r="E54" s="92">
        <f t="shared" si="20"/>
        <v>6835.6160999999993</v>
      </c>
      <c r="F54" s="92">
        <f t="shared" si="20"/>
        <v>9645.2900280000013</v>
      </c>
      <c r="G54" s="92">
        <f t="shared" si="20"/>
        <v>12675.777927120002</v>
      </c>
      <c r="H54" s="92">
        <f t="shared" si="20"/>
        <v>16102.158311131199</v>
      </c>
      <c r="I54" s="92">
        <f t="shared" si="20"/>
        <v>19753.043710387676</v>
      </c>
      <c r="J54" s="92">
        <f t="shared" si="20"/>
        <v>22932.343126631025</v>
      </c>
      <c r="K54" s="92">
        <f t="shared" si="20"/>
        <v>26158.015164537333</v>
      </c>
      <c r="L54" s="92">
        <f t="shared" si="20"/>
        <v>29306.755681539584</v>
      </c>
      <c r="M54" s="92">
        <f t="shared" si="20"/>
        <v>32240.144838182579</v>
      </c>
      <c r="N54" s="92">
        <f t="shared" si="20"/>
        <v>35138.800062165967</v>
      </c>
      <c r="O54" s="92">
        <f t="shared" ref="O54:X54" si="21">O51-O53</f>
        <v>37940.320758031383</v>
      </c>
      <c r="P54" s="92">
        <f t="shared" si="21"/>
        <v>40770.463603765609</v>
      </c>
      <c r="Q54" s="92">
        <f t="shared" si="21"/>
        <v>43602.554736241465</v>
      </c>
      <c r="R54" s="92">
        <f t="shared" si="21"/>
        <v>46407.781045378411</v>
      </c>
      <c r="S54" s="92">
        <f t="shared" si="21"/>
        <v>48728.170097647337</v>
      </c>
      <c r="T54" s="92">
        <f t="shared" si="21"/>
        <v>51367.612644603229</v>
      </c>
      <c r="U54" s="92">
        <f t="shared" si="21"/>
        <v>53886.859038651601</v>
      </c>
      <c r="V54" s="92">
        <f t="shared" si="21"/>
        <v>56416.754162138648</v>
      </c>
      <c r="W54" s="92">
        <f t="shared" si="21"/>
        <v>58391.340557813492</v>
      </c>
      <c r="X54" s="92">
        <f t="shared" si="21"/>
        <v>60143.080774547903</v>
      </c>
    </row>
    <row r="55" spans="1:24" x14ac:dyDescent="0.3">
      <c r="A55" t="s">
        <v>94</v>
      </c>
      <c r="B55" s="93">
        <f t="shared" ref="B55:N55" si="22">B54/B49</f>
        <v>0.271646420263634</v>
      </c>
      <c r="C55" s="93">
        <f t="shared" si="22"/>
        <v>0.26398210290827739</v>
      </c>
      <c r="D55" s="93">
        <f t="shared" si="22"/>
        <v>0.42083077193290597</v>
      </c>
      <c r="E55" s="64">
        <f t="shared" si="22"/>
        <v>0.43499999999999994</v>
      </c>
      <c r="F55" s="64">
        <f t="shared" si="22"/>
        <v>0.46500000000000008</v>
      </c>
      <c r="G55" s="64">
        <f t="shared" si="22"/>
        <v>0.48500000000000004</v>
      </c>
      <c r="H55" s="64">
        <f t="shared" si="22"/>
        <v>0.505</v>
      </c>
      <c r="I55" s="64">
        <f t="shared" si="22"/>
        <v>0.52500000000000002</v>
      </c>
      <c r="J55" s="64">
        <f t="shared" si="22"/>
        <v>0.53</v>
      </c>
      <c r="K55" s="64">
        <f t="shared" si="22"/>
        <v>0.53500000000000003</v>
      </c>
      <c r="L55" s="64">
        <f t="shared" si="22"/>
        <v>0.54</v>
      </c>
      <c r="M55" s="64">
        <f t="shared" si="22"/>
        <v>0.54500000000000004</v>
      </c>
      <c r="N55" s="64">
        <f t="shared" si="22"/>
        <v>0.55000000000000004</v>
      </c>
      <c r="O55" s="64">
        <f t="shared" ref="O55:X55" si="23">O54/O49</f>
        <v>0.55500000000000005</v>
      </c>
      <c r="P55" s="64">
        <f t="shared" si="23"/>
        <v>0.56000000000000005</v>
      </c>
      <c r="Q55" s="64">
        <f t="shared" si="23"/>
        <v>0.56499999999999995</v>
      </c>
      <c r="R55" s="64">
        <f t="shared" si="23"/>
        <v>0.56999999999999984</v>
      </c>
      <c r="S55" s="64">
        <f t="shared" si="23"/>
        <v>0.56999999999999995</v>
      </c>
      <c r="T55" s="64">
        <f t="shared" si="23"/>
        <v>0.57499999999999996</v>
      </c>
      <c r="U55" s="64">
        <f t="shared" si="23"/>
        <v>0.57999999999999996</v>
      </c>
      <c r="V55" s="64">
        <f t="shared" si="23"/>
        <v>0.58499999999999996</v>
      </c>
      <c r="W55" s="64">
        <f t="shared" si="23"/>
        <v>0.58499999999999985</v>
      </c>
      <c r="X55" s="64">
        <f t="shared" si="23"/>
        <v>0.58499999999999996</v>
      </c>
    </row>
    <row r="56" spans="1:24" x14ac:dyDescent="0.3">
      <c r="A56" t="s">
        <v>95</v>
      </c>
      <c r="B56" s="94">
        <f>MAX(B54,0)*WACC!$B$8</f>
        <v>220.70999999999998</v>
      </c>
      <c r="C56" s="94">
        <f>MAX(C54,0)*WACC!$B$8</f>
        <v>421.26</v>
      </c>
      <c r="D56" s="94">
        <f>MAX(D54,0)*WACC!$B$8</f>
        <v>1006.3199999999999</v>
      </c>
      <c r="E56" s="92">
        <f>MAX(E54,0)*WACC!$B$8</f>
        <v>1435.4793809999999</v>
      </c>
      <c r="F56" s="92">
        <f>MAX(F54,0)*WACC!$B$8</f>
        <v>2025.5109058800001</v>
      </c>
      <c r="G56" s="92">
        <f>MAX(G54,0)*WACC!$B$8</f>
        <v>2661.9133646952</v>
      </c>
      <c r="H56" s="92">
        <f>MAX(H54,0)*WACC!$B$8</f>
        <v>3381.4532453375518</v>
      </c>
      <c r="I56" s="92">
        <f>MAX(I54,0)*WACC!$B$8</f>
        <v>4148.1391791814121</v>
      </c>
      <c r="J56" s="92">
        <f>MAX(J54,0)*WACC!$B$8</f>
        <v>4815.7920565925151</v>
      </c>
      <c r="K56" s="92">
        <f>MAX(K54,0)*WACC!$B$8</f>
        <v>5493.1831845528395</v>
      </c>
      <c r="L56" s="92">
        <f>MAX(L54,0)*WACC!$B$8</f>
        <v>6154.4186931233126</v>
      </c>
      <c r="M56" s="92">
        <f>MAX(M54,0)*WACC!$B$8</f>
        <v>6770.430416018341</v>
      </c>
      <c r="N56" s="92">
        <f>MAX(N54,0)*WACC!$B$8</f>
        <v>7379.1480130548525</v>
      </c>
      <c r="O56" s="92">
        <f>MAX(O54,0)*WACC!$B$8</f>
        <v>7967.4673591865903</v>
      </c>
      <c r="P56" s="92">
        <f>MAX(P54,0)*WACC!$B$8</f>
        <v>8561.7973567907775</v>
      </c>
      <c r="Q56" s="92">
        <f>MAX(Q54,0)*WACC!$B$8</f>
        <v>9156.5364946107075</v>
      </c>
      <c r="R56" s="92">
        <f>MAX(R54,0)*WACC!$B$8</f>
        <v>9745.6340195294651</v>
      </c>
      <c r="S56" s="92">
        <f>MAX(S54,0)*WACC!$B$8</f>
        <v>10232.91572050594</v>
      </c>
      <c r="T56" s="92">
        <f>MAX(T54,0)*WACC!$B$8</f>
        <v>10787.198655366677</v>
      </c>
      <c r="U56" s="92">
        <f>MAX(U54,0)*WACC!$B$8</f>
        <v>11316.240398116835</v>
      </c>
      <c r="V56" s="92">
        <f>MAX(V54,0)*WACC!$B$8</f>
        <v>11847.518374049116</v>
      </c>
      <c r="W56" s="92">
        <f>MAX(W54,0)*WACC!$B$8</f>
        <v>12262.181517140833</v>
      </c>
      <c r="X56" s="92">
        <f>MAX(X54,0)*WACC!$B$8</f>
        <v>12630.046962655058</v>
      </c>
    </row>
    <row r="57" spans="1:24" x14ac:dyDescent="0.3">
      <c r="A57" t="s">
        <v>96</v>
      </c>
      <c r="B57" s="94">
        <f t="shared" ref="B57:N57" si="24">B54-B56</f>
        <v>830.29</v>
      </c>
      <c r="C57" s="94">
        <f t="shared" si="24"/>
        <v>1584.74</v>
      </c>
      <c r="D57" s="94">
        <f t="shared" si="24"/>
        <v>3785.6800000000003</v>
      </c>
      <c r="E57" s="92">
        <f t="shared" si="24"/>
        <v>5400.1367189999992</v>
      </c>
      <c r="F57" s="92">
        <f t="shared" si="24"/>
        <v>7619.7791221200014</v>
      </c>
      <c r="G57" s="92">
        <f t="shared" si="24"/>
        <v>10013.864562424802</v>
      </c>
      <c r="H57" s="92">
        <f t="shared" si="24"/>
        <v>12720.705065793647</v>
      </c>
      <c r="I57" s="92">
        <f t="shared" si="24"/>
        <v>15604.904531206263</v>
      </c>
      <c r="J57" s="92">
        <f t="shared" si="24"/>
        <v>18116.551070038509</v>
      </c>
      <c r="K57" s="92">
        <f t="shared" si="24"/>
        <v>20664.831979984494</v>
      </c>
      <c r="L57" s="92">
        <f t="shared" si="24"/>
        <v>23152.336988416271</v>
      </c>
      <c r="M57" s="92">
        <f t="shared" si="24"/>
        <v>25469.714422164237</v>
      </c>
      <c r="N57" s="92">
        <f t="shared" si="24"/>
        <v>27759.652049111115</v>
      </c>
      <c r="O57" s="92">
        <f t="shared" ref="O57:X57" si="25">O54-O56</f>
        <v>29972.853398844793</v>
      </c>
      <c r="P57" s="92">
        <f t="shared" si="25"/>
        <v>32208.666246974833</v>
      </c>
      <c r="Q57" s="92">
        <f t="shared" si="25"/>
        <v>34446.018241630758</v>
      </c>
      <c r="R57" s="92">
        <f t="shared" si="25"/>
        <v>36662.147025848943</v>
      </c>
      <c r="S57" s="92">
        <f t="shared" si="25"/>
        <v>38495.254377141398</v>
      </c>
      <c r="T57" s="92">
        <f t="shared" si="25"/>
        <v>40580.413989236549</v>
      </c>
      <c r="U57" s="92">
        <f t="shared" si="25"/>
        <v>42570.618640534769</v>
      </c>
      <c r="V57" s="92">
        <f t="shared" si="25"/>
        <v>44569.235788089529</v>
      </c>
      <c r="W57" s="92">
        <f t="shared" si="25"/>
        <v>46129.159040672661</v>
      </c>
      <c r="X57" s="92">
        <f t="shared" si="25"/>
        <v>47513.033811892848</v>
      </c>
    </row>
    <row r="58" spans="1:24" x14ac:dyDescent="0.3">
      <c r="A58" t="s">
        <v>97</v>
      </c>
      <c r="B58" s="94">
        <f t="shared" ref="B58:N58" si="26">B53</f>
        <v>884</v>
      </c>
      <c r="C58" s="94">
        <f t="shared" si="26"/>
        <v>1508</v>
      </c>
      <c r="D58" s="156">
        <f t="shared" si="26"/>
        <v>2376</v>
      </c>
      <c r="E58" s="92">
        <f t="shared" si="26"/>
        <v>3064.2417</v>
      </c>
      <c r="F58" s="92">
        <f t="shared" si="26"/>
        <v>3837.3734519999998</v>
      </c>
      <c r="G58" s="92">
        <f t="shared" si="26"/>
        <v>4573.7343035999993</v>
      </c>
      <c r="H58" s="92">
        <f t="shared" si="26"/>
        <v>5261.1012303695998</v>
      </c>
      <c r="I58" s="92">
        <f t="shared" si="26"/>
        <v>5831.8510002096946</v>
      </c>
      <c r="J58" s="92">
        <f t="shared" si="26"/>
        <v>6490.2857905559504</v>
      </c>
      <c r="K58" s="92">
        <f t="shared" si="26"/>
        <v>7089.5555118839493</v>
      </c>
      <c r="L58" s="92">
        <f t="shared" si="26"/>
        <v>7598.0477692880404</v>
      </c>
      <c r="M58" s="92">
        <f t="shared" si="26"/>
        <v>7986.0909232195372</v>
      </c>
      <c r="N58" s="92">
        <f t="shared" si="26"/>
        <v>8305.5345601483186</v>
      </c>
      <c r="O58" s="92">
        <f t="shared" ref="O58:X58" si="27">O53</f>
        <v>8886.9219793587017</v>
      </c>
      <c r="P58" s="92">
        <f t="shared" si="27"/>
        <v>9100.5499115548228</v>
      </c>
      <c r="Q58" s="92">
        <f t="shared" si="27"/>
        <v>9646.5829062481134</v>
      </c>
      <c r="R58" s="92">
        <f t="shared" si="27"/>
        <v>9770.0591674480875</v>
      </c>
      <c r="S58" s="92">
        <f t="shared" si="27"/>
        <v>10258.562125820492</v>
      </c>
      <c r="T58" s="92">
        <f t="shared" si="27"/>
        <v>10720.197421482413</v>
      </c>
      <c r="U58" s="92">
        <f t="shared" si="27"/>
        <v>10684.463430077474</v>
      </c>
      <c r="V58" s="92">
        <f t="shared" si="27"/>
        <v>11090.473040420418</v>
      </c>
      <c r="W58" s="92">
        <f t="shared" si="27"/>
        <v>11478.639596835133</v>
      </c>
      <c r="X58" s="92">
        <f t="shared" si="27"/>
        <v>11822.998784740188</v>
      </c>
    </row>
    <row r="59" spans="1:24" x14ac:dyDescent="0.3">
      <c r="A59" t="s">
        <v>98</v>
      </c>
      <c r="B59" s="91">
        <v>-2455</v>
      </c>
      <c r="C59" s="91">
        <v>-3498</v>
      </c>
      <c r="D59" s="91">
        <v>-4178</v>
      </c>
      <c r="E59" s="92">
        <f t="shared" ref="E59:N59" si="28">-E49*E42</f>
        <v>-5028.4992000000002</v>
      </c>
      <c r="F59" s="92">
        <f t="shared" si="28"/>
        <v>-5600.490984</v>
      </c>
      <c r="G59" s="92">
        <f t="shared" si="28"/>
        <v>-6011.1936561600005</v>
      </c>
      <c r="H59" s="92">
        <f t="shared" si="28"/>
        <v>-6377.0924004480003</v>
      </c>
      <c r="I59" s="92">
        <f t="shared" si="28"/>
        <v>-6396.2236776493428</v>
      </c>
      <c r="J59" s="92">
        <f t="shared" si="28"/>
        <v>-6490.2857905559504</v>
      </c>
      <c r="K59" s="92">
        <f t="shared" si="28"/>
        <v>-6356.1532175511275</v>
      </c>
      <c r="L59" s="92">
        <f t="shared" si="28"/>
        <v>-6512.6123736754625</v>
      </c>
      <c r="M59" s="92">
        <f t="shared" si="28"/>
        <v>-6507.1851966974009</v>
      </c>
      <c r="N59" s="92">
        <f t="shared" si="28"/>
        <v>-6388.8727385756301</v>
      </c>
      <c r="O59" s="92">
        <f t="shared" ref="O59:X59" si="29">-O49*O42</f>
        <v>-6494.2891387621275</v>
      </c>
      <c r="P59" s="92">
        <f t="shared" si="29"/>
        <v>-6552.3959363194717</v>
      </c>
      <c r="Q59" s="92">
        <f t="shared" si="29"/>
        <v>-6791.1943659986719</v>
      </c>
      <c r="R59" s="92">
        <f t="shared" si="29"/>
        <v>-6920.4585769423966</v>
      </c>
      <c r="S59" s="92">
        <f t="shared" si="29"/>
        <v>-7010.0174526440042</v>
      </c>
      <c r="T59" s="92">
        <f t="shared" si="29"/>
        <v>-7146.798280988276</v>
      </c>
      <c r="U59" s="92">
        <f t="shared" si="29"/>
        <v>-7432.6702122278084</v>
      </c>
      <c r="V59" s="92">
        <f t="shared" si="29"/>
        <v>-7715.1116802924653</v>
      </c>
      <c r="W59" s="92">
        <f t="shared" si="29"/>
        <v>-7985.1405891027016</v>
      </c>
      <c r="X59" s="92">
        <f t="shared" si="29"/>
        <v>-8224.6948067757821</v>
      </c>
    </row>
    <row r="60" spans="1:24" x14ac:dyDescent="0.3">
      <c r="A60" t="s">
        <v>99</v>
      </c>
      <c r="B60" s="91">
        <v>0</v>
      </c>
      <c r="C60" s="91">
        <v>0</v>
      </c>
      <c r="D60" s="91">
        <v>0</v>
      </c>
      <c r="E60" s="92">
        <f t="shared" ref="E60:N60" si="30">-(E49-D49)*E43</f>
        <v>-173.08239999999998</v>
      </c>
      <c r="F60" s="92">
        <f t="shared" si="30"/>
        <v>-201.13996800000001</v>
      </c>
      <c r="G60" s="92">
        <f t="shared" si="30"/>
        <v>-215.72261568000002</v>
      </c>
      <c r="H60" s="92">
        <f t="shared" si="30"/>
        <v>-229.99349640959991</v>
      </c>
      <c r="I60" s="92">
        <f t="shared" si="30"/>
        <v>-172.18149481209585</v>
      </c>
      <c r="J60" s="92">
        <f t="shared" si="30"/>
        <v>-169.31180323189429</v>
      </c>
      <c r="K60" s="92">
        <f t="shared" si="30"/>
        <v>-168.74743055445461</v>
      </c>
      <c r="L60" s="92">
        <f t="shared" si="30"/>
        <v>-161.34850475322099</v>
      </c>
      <c r="M60" s="92">
        <f t="shared" si="30"/>
        <v>-97.689185605132081</v>
      </c>
      <c r="N60" s="92">
        <f t="shared" si="30"/>
        <v>-94.649966497416756</v>
      </c>
      <c r="O60" s="92">
        <f t="shared" ref="O60:X60" si="31">-(O49-N49)*O43</f>
        <v>-89.444218340058868</v>
      </c>
      <c r="P60" s="92">
        <f t="shared" si="31"/>
        <v>-88.869219793586822</v>
      </c>
      <c r="Q60" s="92">
        <f t="shared" si="31"/>
        <v>-87.365279150926511</v>
      </c>
      <c r="R60" s="92">
        <f t="shared" si="31"/>
        <v>-84.889929574983256</v>
      </c>
      <c r="S60" s="92">
        <f t="shared" si="31"/>
        <v>-81.41715972873412</v>
      </c>
      <c r="T60" s="92">
        <f t="shared" si="31"/>
        <v>-57.704411957740156</v>
      </c>
      <c r="U60" s="92">
        <f t="shared" si="31"/>
        <v>-53.600987107412216</v>
      </c>
      <c r="V60" s="92">
        <f t="shared" si="31"/>
        <v>-52.957775262123178</v>
      </c>
      <c r="W60" s="92">
        <f t="shared" si="31"/>
        <v>-50.630420401919253</v>
      </c>
      <c r="X60" s="92">
        <f t="shared" si="31"/>
        <v>-44.91641581370277</v>
      </c>
    </row>
    <row r="61" spans="1:24" x14ac:dyDescent="0.3">
      <c r="A61" s="19" t="s">
        <v>100</v>
      </c>
      <c r="B61" s="95">
        <f t="shared" ref="B61:N61" si="32">B57+B58+B59+B60</f>
        <v>-740.71</v>
      </c>
      <c r="C61" s="95">
        <f t="shared" si="32"/>
        <v>-405.26000000000022</v>
      </c>
      <c r="D61" s="95">
        <f t="shared" si="32"/>
        <v>1983.6800000000003</v>
      </c>
      <c r="E61" s="95">
        <f t="shared" si="32"/>
        <v>3262.7968189999988</v>
      </c>
      <c r="F61" s="95">
        <f t="shared" si="32"/>
        <v>5655.5216221200017</v>
      </c>
      <c r="G61" s="95">
        <f t="shared" si="32"/>
        <v>8360.6825941847983</v>
      </c>
      <c r="H61" s="95">
        <f t="shared" si="32"/>
        <v>11374.720399305646</v>
      </c>
      <c r="I61" s="95">
        <f t="shared" si="32"/>
        <v>14868.35035895452</v>
      </c>
      <c r="J61" s="95">
        <f t="shared" si="32"/>
        <v>17947.239266806617</v>
      </c>
      <c r="K61" s="95">
        <f t="shared" si="32"/>
        <v>21229.486843762865</v>
      </c>
      <c r="L61" s="95">
        <f t="shared" si="32"/>
        <v>24076.42387927563</v>
      </c>
      <c r="M61" s="95">
        <f t="shared" si="32"/>
        <v>26850.930963081246</v>
      </c>
      <c r="N61" s="95">
        <f t="shared" si="32"/>
        <v>29581.663904186389</v>
      </c>
      <c r="O61" s="95">
        <f t="shared" ref="O61:X61" si="33">O57+O58+O59+O60</f>
        <v>32276.042021101304</v>
      </c>
      <c r="P61" s="95">
        <f t="shared" si="33"/>
        <v>34667.951002416594</v>
      </c>
      <c r="Q61" s="95">
        <f t="shared" si="33"/>
        <v>37214.041502729277</v>
      </c>
      <c r="R61" s="95">
        <f t="shared" si="33"/>
        <v>39426.857686779658</v>
      </c>
      <c r="S61" s="95">
        <f t="shared" si="33"/>
        <v>41662.381890589153</v>
      </c>
      <c r="T61" s="95">
        <f t="shared" si="33"/>
        <v>44096.10871777295</v>
      </c>
      <c r="U61" s="95">
        <f t="shared" si="33"/>
        <v>45768.810871277026</v>
      </c>
      <c r="V61" s="95">
        <f t="shared" si="33"/>
        <v>47891.639372955353</v>
      </c>
      <c r="W61" s="95">
        <f t="shared" si="33"/>
        <v>49572.027628003176</v>
      </c>
      <c r="X61" s="95">
        <f t="shared" si="33"/>
        <v>51066.421374043552</v>
      </c>
    </row>
    <row r="62" spans="1:24" x14ac:dyDescent="0.3">
      <c r="A62" t="s">
        <v>101</v>
      </c>
      <c r="B62" s="93">
        <f t="shared" ref="B62:N62" si="34">B61/B49</f>
        <v>-0.19144740242956837</v>
      </c>
      <c r="C62" s="93">
        <f t="shared" si="34"/>
        <v>-5.3330701408080036E-2</v>
      </c>
      <c r="D62" s="93">
        <f t="shared" si="34"/>
        <v>0.17420567313603233</v>
      </c>
      <c r="E62" s="64">
        <f t="shared" si="34"/>
        <v>0.20763550724637675</v>
      </c>
      <c r="F62" s="64">
        <f t="shared" si="34"/>
        <v>0.2726530303030304</v>
      </c>
      <c r="G62" s="64">
        <f t="shared" si="34"/>
        <v>0.31989603174603171</v>
      </c>
      <c r="H62" s="64">
        <f t="shared" si="34"/>
        <v>0.35673688524590164</v>
      </c>
      <c r="I62" s="64">
        <f t="shared" si="34"/>
        <v>0.39517372881355933</v>
      </c>
      <c r="J62" s="64">
        <f t="shared" si="34"/>
        <v>0.41478695652173919</v>
      </c>
      <c r="K62" s="64">
        <f t="shared" si="34"/>
        <v>0.43419867256637179</v>
      </c>
      <c r="L62" s="64">
        <f t="shared" si="34"/>
        <v>0.44362702702702711</v>
      </c>
      <c r="M62" s="64">
        <f t="shared" si="34"/>
        <v>0.45389862385321111</v>
      </c>
      <c r="N62" s="64">
        <f t="shared" si="34"/>
        <v>0.46301851851851861</v>
      </c>
      <c r="O62" s="64">
        <f t="shared" ref="O62:X62" si="35">O61/O49</f>
        <v>0.47214158878504675</v>
      </c>
      <c r="P62" s="64">
        <f t="shared" si="35"/>
        <v>0.47617934272300472</v>
      </c>
      <c r="Q62" s="64">
        <f t="shared" si="35"/>
        <v>0.48221792452830187</v>
      </c>
      <c r="R62" s="64">
        <f t="shared" si="35"/>
        <v>0.48425734597156395</v>
      </c>
      <c r="S62" s="64">
        <f t="shared" si="35"/>
        <v>0.48734761904761903</v>
      </c>
      <c r="T62" s="64">
        <f t="shared" si="35"/>
        <v>0.49360406698564591</v>
      </c>
      <c r="U62" s="64">
        <f t="shared" si="35"/>
        <v>0.49262307692307694</v>
      </c>
      <c r="V62" s="64">
        <f t="shared" si="35"/>
        <v>0.496600867052023</v>
      </c>
      <c r="W62" s="64">
        <f t="shared" si="35"/>
        <v>0.49664275362318838</v>
      </c>
      <c r="X62" s="64">
        <f t="shared" si="35"/>
        <v>0.49671310679611652</v>
      </c>
    </row>
    <row r="63" spans="1:24" x14ac:dyDescent="0.3"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</row>
    <row r="64" spans="1:24" x14ac:dyDescent="0.3">
      <c r="A64" s="5" t="s">
        <v>102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28"/>
      <c r="P64" s="128"/>
      <c r="Q64" s="128"/>
      <c r="R64" s="128"/>
      <c r="S64" s="128"/>
      <c r="T64" s="128"/>
      <c r="U64" s="128"/>
      <c r="V64" s="128"/>
      <c r="W64" s="128"/>
      <c r="X64" s="128"/>
    </row>
    <row r="65" spans="1:24" x14ac:dyDescent="0.3">
      <c r="A65" s="6"/>
      <c r="B65" s="52"/>
      <c r="C65" s="52"/>
      <c r="D65" s="52"/>
      <c r="E65" s="129" t="s">
        <v>67</v>
      </c>
      <c r="F65" s="129" t="s">
        <v>68</v>
      </c>
      <c r="G65" s="129" t="s">
        <v>69</v>
      </c>
      <c r="H65" s="129" t="s">
        <v>70</v>
      </c>
      <c r="I65" s="129" t="s">
        <v>71</v>
      </c>
      <c r="J65" s="129" t="s">
        <v>72</v>
      </c>
      <c r="K65" s="129" t="s">
        <v>73</v>
      </c>
      <c r="L65" s="129" t="s">
        <v>74</v>
      </c>
      <c r="M65" s="129" t="s">
        <v>75</v>
      </c>
      <c r="N65" s="129" t="s">
        <v>76</v>
      </c>
      <c r="O65" s="129" t="s">
        <v>245</v>
      </c>
      <c r="P65" s="129" t="s">
        <v>246</v>
      </c>
      <c r="Q65" s="129" t="s">
        <v>247</v>
      </c>
      <c r="R65" s="129" t="s">
        <v>248</v>
      </c>
      <c r="S65" s="129" t="s">
        <v>249</v>
      </c>
      <c r="T65" s="129" t="s">
        <v>250</v>
      </c>
      <c r="U65" s="129" t="s">
        <v>251</v>
      </c>
      <c r="V65" s="129" t="s">
        <v>252</v>
      </c>
      <c r="W65" s="129" t="s">
        <v>253</v>
      </c>
      <c r="X65" s="129" t="s">
        <v>254</v>
      </c>
    </row>
    <row r="66" spans="1:24" x14ac:dyDescent="0.3">
      <c r="A66" t="s">
        <v>103</v>
      </c>
      <c r="B66" s="54"/>
      <c r="C66" s="54"/>
      <c r="D66" s="54"/>
      <c r="E66" s="99">
        <v>0.5</v>
      </c>
      <c r="F66" s="99">
        <v>1.5</v>
      </c>
      <c r="G66" s="99">
        <v>2.5</v>
      </c>
      <c r="H66" s="99">
        <v>3.5</v>
      </c>
      <c r="I66" s="99">
        <v>4.5</v>
      </c>
      <c r="J66" s="99">
        <v>5.5</v>
      </c>
      <c r="K66" s="99">
        <v>6.5</v>
      </c>
      <c r="L66" s="99">
        <v>7.5</v>
      </c>
      <c r="M66" s="99">
        <v>8.5</v>
      </c>
      <c r="N66" s="99">
        <v>9.5</v>
      </c>
      <c r="O66" s="99">
        <v>10.5</v>
      </c>
      <c r="P66" s="99">
        <v>11.5</v>
      </c>
      <c r="Q66" s="99">
        <v>12.5</v>
      </c>
      <c r="R66" s="99">
        <v>13.5</v>
      </c>
      <c r="S66" s="99">
        <v>14.5</v>
      </c>
      <c r="T66" s="99">
        <v>15.5</v>
      </c>
      <c r="U66" s="99">
        <v>16.5</v>
      </c>
      <c r="V66" s="99">
        <v>17.5</v>
      </c>
      <c r="W66" s="99">
        <v>18.5</v>
      </c>
      <c r="X66" s="99">
        <v>19.5</v>
      </c>
    </row>
    <row r="67" spans="1:24" x14ac:dyDescent="0.3">
      <c r="A67" t="s">
        <v>104</v>
      </c>
      <c r="B67" s="54"/>
      <c r="C67" s="54"/>
      <c r="D67" s="54"/>
      <c r="E67" s="100">
        <f t="shared" ref="E67:N67" si="36">1/(1+$B$45)^E66</f>
        <v>0.96428592213656439</v>
      </c>
      <c r="F67" s="100">
        <f t="shared" si="36"/>
        <v>0.89663869934208262</v>
      </c>
      <c r="G67" s="100">
        <f t="shared" si="36"/>
        <v>0.83373710919322408</v>
      </c>
      <c r="H67" s="100">
        <f t="shared" si="36"/>
        <v>0.7752482329347633</v>
      </c>
      <c r="I67" s="100">
        <f t="shared" si="36"/>
        <v>0.7208625069478406</v>
      </c>
      <c r="J67" s="100">
        <f t="shared" si="36"/>
        <v>0.67029208432501286</v>
      </c>
      <c r="K67" s="100">
        <f t="shared" si="36"/>
        <v>0.62326931138517316</v>
      </c>
      <c r="L67" s="100">
        <f t="shared" si="36"/>
        <v>0.57954531106500151</v>
      </c>
      <c r="M67" s="100">
        <f t="shared" si="36"/>
        <v>0.5388886656892754</v>
      </c>
      <c r="N67" s="100">
        <f t="shared" si="36"/>
        <v>0.50108419214834499</v>
      </c>
      <c r="O67" s="100">
        <f t="shared" ref="O67:X67" si="37">1/(1+$B$45)^O66</f>
        <v>0.46593180300016929</v>
      </c>
      <c r="P67" s="100">
        <f t="shared" si="37"/>
        <v>0.43324544746907273</v>
      </c>
      <c r="Q67" s="100">
        <f t="shared" si="37"/>
        <v>0.4028521267362572</v>
      </c>
      <c r="R67" s="100">
        <f t="shared" si="37"/>
        <v>0.37459097831030425</v>
      </c>
      <c r="S67" s="100">
        <f t="shared" si="37"/>
        <v>0.34831242463152168</v>
      </c>
      <c r="T67" s="100">
        <f t="shared" si="37"/>
        <v>0.3238773814039615</v>
      </c>
      <c r="U67" s="100">
        <f t="shared" si="37"/>
        <v>0.3011565214650519</v>
      </c>
      <c r="V67" s="100">
        <f t="shared" si="37"/>
        <v>0.28002959029673369</v>
      </c>
      <c r="W67" s="100">
        <f t="shared" si="37"/>
        <v>0.26038476955531065</v>
      </c>
      <c r="X67" s="100">
        <f t="shared" si="37"/>
        <v>0.24211808525137521</v>
      </c>
    </row>
    <row r="68" spans="1:24" x14ac:dyDescent="0.3">
      <c r="A68" t="s">
        <v>105</v>
      </c>
      <c r="B68" s="92"/>
      <c r="C68" s="92"/>
      <c r="D68" s="92"/>
      <c r="E68" s="92">
        <f t="shared" ref="E68:N68" si="38">E61</f>
        <v>3262.7968189999988</v>
      </c>
      <c r="F68" s="92">
        <f t="shared" si="38"/>
        <v>5655.5216221200017</v>
      </c>
      <c r="G68" s="92">
        <f t="shared" si="38"/>
        <v>8360.6825941847983</v>
      </c>
      <c r="H68" s="92">
        <f t="shared" si="38"/>
        <v>11374.720399305646</v>
      </c>
      <c r="I68" s="92">
        <f t="shared" si="38"/>
        <v>14868.35035895452</v>
      </c>
      <c r="J68" s="92">
        <f t="shared" si="38"/>
        <v>17947.239266806617</v>
      </c>
      <c r="K68" s="92">
        <f t="shared" si="38"/>
        <v>21229.486843762865</v>
      </c>
      <c r="L68" s="92">
        <f t="shared" si="38"/>
        <v>24076.42387927563</v>
      </c>
      <c r="M68" s="92">
        <f t="shared" si="38"/>
        <v>26850.930963081246</v>
      </c>
      <c r="N68" s="92">
        <f t="shared" si="38"/>
        <v>29581.663904186389</v>
      </c>
      <c r="O68" s="92">
        <f t="shared" ref="O68:X68" si="39">O61</f>
        <v>32276.042021101304</v>
      </c>
      <c r="P68" s="92">
        <f t="shared" si="39"/>
        <v>34667.951002416594</v>
      </c>
      <c r="Q68" s="92">
        <f t="shared" si="39"/>
        <v>37214.041502729277</v>
      </c>
      <c r="R68" s="92">
        <f t="shared" si="39"/>
        <v>39426.857686779658</v>
      </c>
      <c r="S68" s="92">
        <f t="shared" si="39"/>
        <v>41662.381890589153</v>
      </c>
      <c r="T68" s="92">
        <f t="shared" si="39"/>
        <v>44096.10871777295</v>
      </c>
      <c r="U68" s="92">
        <f t="shared" si="39"/>
        <v>45768.810871277026</v>
      </c>
      <c r="V68" s="92">
        <f t="shared" si="39"/>
        <v>47891.639372955353</v>
      </c>
      <c r="W68" s="92">
        <f t="shared" si="39"/>
        <v>49572.027628003176</v>
      </c>
      <c r="X68" s="92">
        <f t="shared" si="39"/>
        <v>51066.421374043552</v>
      </c>
    </row>
    <row r="69" spans="1:24" x14ac:dyDescent="0.3">
      <c r="A69" t="s">
        <v>106</v>
      </c>
      <c r="B69" s="54"/>
      <c r="C69" s="54"/>
      <c r="D69" s="54"/>
      <c r="E69" s="101">
        <f t="shared" ref="E69:N69" si="40">E68*E67</f>
        <v>3146.2690393536627</v>
      </c>
      <c r="F69" s="101">
        <f t="shared" si="40"/>
        <v>5070.9595513587037</v>
      </c>
      <c r="G69" s="101">
        <f t="shared" si="40"/>
        <v>6970.6113369577388</v>
      </c>
      <c r="H69" s="101">
        <f t="shared" si="40"/>
        <v>8818.2318896887082</v>
      </c>
      <c r="I69" s="101">
        <f t="shared" si="40"/>
        <v>10718.036313934781</v>
      </c>
      <c r="J69" s="101">
        <f t="shared" si="40"/>
        <v>12029.892416027522</v>
      </c>
      <c r="K69" s="101">
        <f t="shared" si="40"/>
        <v>13231.687646172673</v>
      </c>
      <c r="L69" s="101">
        <f t="shared" si="40"/>
        <v>13953.378566447625</v>
      </c>
      <c r="M69" s="101">
        <f t="shared" si="40"/>
        <v>14469.662359209704</v>
      </c>
      <c r="N69" s="101">
        <f t="shared" si="40"/>
        <v>14822.904159833093</v>
      </c>
      <c r="O69" s="102">
        <f t="shared" ref="O69:X69" si="41">O68*O67</f>
        <v>15038.434452600959</v>
      </c>
      <c r="P69" s="102">
        <f t="shared" si="41"/>
        <v>15019.731944877865</v>
      </c>
      <c r="Q69" s="102">
        <f t="shared" si="41"/>
        <v>14991.755763825829</v>
      </c>
      <c r="R69" s="102">
        <f t="shared" si="41"/>
        <v>14768.945192591931</v>
      </c>
      <c r="S69" s="102">
        <f t="shared" si="41"/>
        <v>14511.525252235508</v>
      </c>
      <c r="T69" s="102">
        <f t="shared" si="41"/>
        <v>14281.732221616701</v>
      </c>
      <c r="U69" s="102">
        <f t="shared" si="41"/>
        <v>13783.57587358564</v>
      </c>
      <c r="V69" s="102">
        <f t="shared" si="41"/>
        <v>13411.076152247608</v>
      </c>
      <c r="W69" s="102">
        <f t="shared" si="41"/>
        <v>12907.8009903071</v>
      </c>
      <c r="X69" s="102">
        <f t="shared" si="41"/>
        <v>12364.104163723327</v>
      </c>
    </row>
    <row r="70" spans="1:24" x14ac:dyDescent="0.3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 spans="1:24" x14ac:dyDescent="0.3">
      <c r="A71" s="5" t="s">
        <v>107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90"/>
      <c r="P71" s="90"/>
      <c r="Q71" s="90"/>
      <c r="R71" s="90"/>
      <c r="S71" s="90"/>
      <c r="T71" s="90"/>
      <c r="U71" s="90"/>
      <c r="V71" s="90"/>
      <c r="W71" s="90"/>
      <c r="X71" s="90"/>
    </row>
    <row r="72" spans="1:24" x14ac:dyDescent="0.3">
      <c r="A72" s="1" t="s">
        <v>108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 spans="1:24" x14ac:dyDescent="0.3">
      <c r="A73" t="s">
        <v>109</v>
      </c>
      <c r="B73" s="92">
        <f>X61</f>
        <v>51066.421374043552</v>
      </c>
      <c r="C73" s="92"/>
      <c r="D73" s="92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 spans="1:24" x14ac:dyDescent="0.3">
      <c r="A74" t="s">
        <v>110</v>
      </c>
      <c r="B74" s="92">
        <f>X61*(1+$B$44)</f>
        <v>52598.414015264862</v>
      </c>
      <c r="C74" s="92"/>
      <c r="D74" s="92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 spans="1:24" x14ac:dyDescent="0.3">
      <c r="A75" t="s">
        <v>111</v>
      </c>
      <c r="B75" s="101">
        <f>B74/($B$45-$B$44)</f>
        <v>1157399.1849017481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 spans="1:24" x14ac:dyDescent="0.3">
      <c r="A76" t="s">
        <v>112</v>
      </c>
      <c r="B76" s="101">
        <f>B75/(1+$B$45)^19.5</f>
        <v>280227.27451991366</v>
      </c>
      <c r="C76" s="92"/>
      <c r="D76" s="92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 spans="1:24" x14ac:dyDescent="0.3"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 spans="1:24" x14ac:dyDescent="0.3">
      <c r="A78" s="1" t="s">
        <v>113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 spans="1:24" x14ac:dyDescent="0.3">
      <c r="A79" t="s">
        <v>687</v>
      </c>
      <c r="B79" s="248">
        <f>IF(N('Conn Comps'!K57)&gt;0,'Conn Comps'!K57,25)</f>
        <v>5.9253197384649177</v>
      </c>
      <c r="C79" s="54"/>
      <c r="D79" s="332" t="str">
        <f>IF(N('Conn Comps'!K57)&gt;0,"✓ LIVE — "&amp;TEXT('Conn Comps'!K57,"0.0x")&amp;" from Conn Comps mature tier","⚠ FALLBACK — using 25x default")</f>
        <v>✓ LIVE — 5.9x from Conn Comps mature tier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 spans="1:24" x14ac:dyDescent="0.3">
      <c r="A80" t="s">
        <v>114</v>
      </c>
      <c r="B80" s="92">
        <f>X51</f>
        <v>71966.07955928809</v>
      </c>
      <c r="C80" s="92"/>
      <c r="D80" s="92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 spans="1:24" x14ac:dyDescent="0.3">
      <c r="A81" t="s">
        <v>115</v>
      </c>
      <c r="B81" s="101">
        <f>B79*B80</f>
        <v>426422.03171258635</v>
      </c>
      <c r="C81" s="92"/>
      <c r="D81" s="92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 spans="1:24" x14ac:dyDescent="0.3">
      <c r="A82" t="s">
        <v>116</v>
      </c>
      <c r="B82" s="101">
        <f>B81/(1+$B$45)^19.5</f>
        <v>103244.4858272526</v>
      </c>
      <c r="C82" s="92"/>
      <c r="D82" s="92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 spans="1:24" ht="15" thickBot="1" x14ac:dyDescent="0.35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 spans="1:24" ht="15" thickTop="1" x14ac:dyDescent="0.3">
      <c r="A84" s="9" t="s">
        <v>117</v>
      </c>
      <c r="B84" s="58"/>
      <c r="C84" s="130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3"/>
      <c r="P84" s="133"/>
      <c r="Q84" s="133"/>
      <c r="R84" s="133"/>
      <c r="S84" s="133"/>
      <c r="T84" s="133"/>
      <c r="U84" s="133"/>
      <c r="V84" s="133"/>
      <c r="W84" s="133"/>
      <c r="X84" s="133"/>
    </row>
    <row r="85" spans="1:24" x14ac:dyDescent="0.3">
      <c r="A85" s="10"/>
      <c r="B85" s="112" t="s">
        <v>118</v>
      </c>
      <c r="C85" s="113" t="s">
        <v>119</v>
      </c>
      <c r="D85" s="134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</row>
    <row r="86" spans="1:24" x14ac:dyDescent="0.3">
      <c r="A86" s="11" t="s">
        <v>120</v>
      </c>
      <c r="B86" s="92">
        <f>SUM(E69:X69)</f>
        <v>244310.31528659665</v>
      </c>
      <c r="C86" s="106">
        <f>SUM(E69:X69)</f>
        <v>244310.31528659665</v>
      </c>
      <c r="D86" s="92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 spans="1:24" x14ac:dyDescent="0.3">
      <c r="A87" s="11" t="s">
        <v>121</v>
      </c>
      <c r="B87" s="92">
        <f>B76</f>
        <v>280227.27451991366</v>
      </c>
      <c r="C87" s="106">
        <f>B82</f>
        <v>103244.4858272526</v>
      </c>
      <c r="D87" s="92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 spans="1:24" x14ac:dyDescent="0.3">
      <c r="A88" s="20" t="s">
        <v>122</v>
      </c>
      <c r="B88" s="107">
        <f>B86+B87</f>
        <v>524537.58980651037</v>
      </c>
      <c r="C88" s="108">
        <f>C86+C87</f>
        <v>347554.80111384927</v>
      </c>
      <c r="D88" s="92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 spans="1:24" x14ac:dyDescent="0.3">
      <c r="A89" s="11"/>
      <c r="B89" s="92"/>
      <c r="C89" s="106"/>
      <c r="D89" s="92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 spans="1:24" ht="15" thickBot="1" x14ac:dyDescent="0.35">
      <c r="A90" s="12" t="s">
        <v>123</v>
      </c>
      <c r="B90" s="110">
        <f>B87/B88</f>
        <v>0.53423678296017441</v>
      </c>
      <c r="C90" s="111">
        <f>C87/C88</f>
        <v>0.29705958742728628</v>
      </c>
      <c r="D90" s="6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 spans="1:24" ht="15" thickTop="1" x14ac:dyDescent="0.3"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 spans="1:24" x14ac:dyDescent="0.3">
      <c r="A92" s="5" t="s">
        <v>124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</row>
    <row r="94" spans="1:24" x14ac:dyDescent="0.3">
      <c r="A94" s="21" t="s">
        <v>125</v>
      </c>
    </row>
    <row r="96" spans="1:24" x14ac:dyDescent="0.3">
      <c r="B96" s="138" t="s">
        <v>126</v>
      </c>
      <c r="C96" s="43">
        <f>$B$44-0.01</f>
        <v>1.9999999999999997E-2</v>
      </c>
      <c r="D96" s="43">
        <f>$B$44-0.005</f>
        <v>2.4999999999999998E-2</v>
      </c>
      <c r="E96" s="43">
        <f>$B$44</f>
        <v>0.03</v>
      </c>
      <c r="F96" s="43">
        <f>$B$44+0.005</f>
        <v>3.4999999999999996E-2</v>
      </c>
      <c r="G96" s="43">
        <f>$B$44+0.01</f>
        <v>0.04</v>
      </c>
    </row>
    <row r="97" spans="1:7" x14ac:dyDescent="0.3">
      <c r="B97" s="43">
        <f>$B$45-0.02</f>
        <v>5.5445352564102546E-2</v>
      </c>
      <c r="C97" s="40">
        <f t="shared" ref="C97:G101" si="42">SUMPRODUCT($E$61:$X$61,1/(1+$B97)^$E$66:$X$66)+($X$61*(1+C$96)/($B97-C$96))/(1+$B97)^19.5</f>
        <v>815496.34688613052</v>
      </c>
      <c r="D97" s="40">
        <f t="shared" si="42"/>
        <v>902685.75116925198</v>
      </c>
      <c r="E97" s="40">
        <f t="shared" si="42"/>
        <v>1024140.5106143709</v>
      </c>
      <c r="F97" s="40">
        <f t="shared" si="42"/>
        <v>1204999.8506673905</v>
      </c>
      <c r="G97" s="40">
        <f t="shared" si="42"/>
        <v>1502955.4753810572</v>
      </c>
    </row>
    <row r="98" spans="1:7" x14ac:dyDescent="0.3">
      <c r="B98" s="43">
        <f>$B$45-0.01</f>
        <v>6.5445352564102555E-2</v>
      </c>
      <c r="C98" s="40">
        <f t="shared" si="42"/>
        <v>604328.96679126006</v>
      </c>
      <c r="D98" s="40">
        <f t="shared" si="42"/>
        <v>647324.21972937044</v>
      </c>
      <c r="E98" s="40">
        <f t="shared" si="42"/>
        <v>702449.48403084767</v>
      </c>
      <c r="F98" s="40">
        <f t="shared" si="42"/>
        <v>775681.04688328132</v>
      </c>
      <c r="G98" s="40">
        <f t="shared" si="42"/>
        <v>877692.54613783304</v>
      </c>
    </row>
    <row r="99" spans="1:7" x14ac:dyDescent="0.3">
      <c r="B99" s="43">
        <f>$B$45</f>
        <v>7.544535256410255E-2</v>
      </c>
      <c r="C99" s="40">
        <f t="shared" si="42"/>
        <v>471766.46199280204</v>
      </c>
      <c r="D99" s="40">
        <f t="shared" si="42"/>
        <v>495536.76378276187</v>
      </c>
      <c r="E99" s="44">
        <f t="shared" si="42"/>
        <v>524537.58980651037</v>
      </c>
      <c r="F99" s="40">
        <f t="shared" si="42"/>
        <v>560708.78873720369</v>
      </c>
      <c r="G99" s="40">
        <f t="shared" si="42"/>
        <v>607084.76666262664</v>
      </c>
    </row>
    <row r="100" spans="1:7" x14ac:dyDescent="0.3">
      <c r="B100" s="43">
        <f>$B$45+0.01</f>
        <v>8.5445352564102545E-2</v>
      </c>
      <c r="C100" s="40">
        <f t="shared" si="42"/>
        <v>381536.56070365594</v>
      </c>
      <c r="D100" s="40">
        <f t="shared" si="42"/>
        <v>395698.29289095465</v>
      </c>
      <c r="E100" s="40">
        <f t="shared" si="42"/>
        <v>412414.20347777312</v>
      </c>
      <c r="F100" s="40">
        <f t="shared" si="42"/>
        <v>432443.7811790352</v>
      </c>
      <c r="G100" s="40">
        <f t="shared" si="42"/>
        <v>456880.7573426615</v>
      </c>
    </row>
    <row r="101" spans="1:7" x14ac:dyDescent="0.3">
      <c r="B101" s="43">
        <f>$B$45+0.02</f>
        <v>9.5445352564102554E-2</v>
      </c>
      <c r="C101" s="40">
        <f t="shared" si="42"/>
        <v>316625.98800166993</v>
      </c>
      <c r="D101" s="40">
        <f t="shared" si="42"/>
        <v>325521.93775353453</v>
      </c>
      <c r="E101" s="40">
        <f t="shared" si="42"/>
        <v>335777.1818484391</v>
      </c>
      <c r="F101" s="40">
        <f t="shared" si="42"/>
        <v>347729.04010140139</v>
      </c>
      <c r="G101" s="40">
        <f t="shared" si="42"/>
        <v>361836.50882489758</v>
      </c>
    </row>
    <row r="104" spans="1:7" x14ac:dyDescent="0.3">
      <c r="A104" s="21" t="s">
        <v>255</v>
      </c>
    </row>
    <row r="106" spans="1:7" x14ac:dyDescent="0.3">
      <c r="B106" s="66" t="s">
        <v>256</v>
      </c>
      <c r="C106" s="27">
        <f>$B$79-10</f>
        <v>-4.0746802615350823</v>
      </c>
      <c r="D106" s="27">
        <f>$B$79-5</f>
        <v>0.92531973846491766</v>
      </c>
      <c r="E106" s="27">
        <f>$B$79</f>
        <v>5.9253197384649177</v>
      </c>
      <c r="F106" s="27">
        <f>$B$79+5</f>
        <v>10.925319738464918</v>
      </c>
      <c r="G106" s="27">
        <f>$B$79+10</f>
        <v>15.925319738464918</v>
      </c>
    </row>
    <row r="107" spans="1:7" x14ac:dyDescent="0.3">
      <c r="B107" s="27">
        <f>$X$40-0.06</f>
        <v>0.6399999999999999</v>
      </c>
      <c r="C107" s="40">
        <f t="shared" ref="C107:G111" si="43">SUM($E$69:$X$69)+($X$49*$B107*C$106)/(1+$B$45)^19.5</f>
        <v>179397.48508574907</v>
      </c>
      <c r="D107" s="40">
        <f t="shared" si="43"/>
        <v>259051.37942148835</v>
      </c>
      <c r="E107" s="40">
        <f t="shared" si="43"/>
        <v>338705.27375722758</v>
      </c>
      <c r="F107" s="40">
        <f t="shared" si="43"/>
        <v>418359.16809296689</v>
      </c>
      <c r="G107" s="40">
        <f t="shared" si="43"/>
        <v>498013.06242870615</v>
      </c>
    </row>
    <row r="108" spans="1:7" x14ac:dyDescent="0.3">
      <c r="B108" s="27">
        <f>$X$40-0.03</f>
        <v>0.66999999999999993</v>
      </c>
      <c r="C108" s="40">
        <f t="shared" si="43"/>
        <v>176354.69617008435</v>
      </c>
      <c r="D108" s="40">
        <f t="shared" si="43"/>
        <v>259742.36680281139</v>
      </c>
      <c r="E108" s="40">
        <f t="shared" si="43"/>
        <v>343130.03743553843</v>
      </c>
      <c r="F108" s="40">
        <f t="shared" si="43"/>
        <v>426517.70806826546</v>
      </c>
      <c r="G108" s="40">
        <f t="shared" si="43"/>
        <v>509905.3787009925</v>
      </c>
    </row>
    <row r="109" spans="1:7" x14ac:dyDescent="0.3">
      <c r="B109" s="27">
        <f>$X$40</f>
        <v>0.7</v>
      </c>
      <c r="C109" s="40">
        <f t="shared" si="43"/>
        <v>173311.90725441964</v>
      </c>
      <c r="D109" s="40">
        <f t="shared" si="43"/>
        <v>260433.35418413446</v>
      </c>
      <c r="E109" s="44">
        <f t="shared" si="43"/>
        <v>347554.80111384927</v>
      </c>
      <c r="F109" s="40">
        <f t="shared" si="43"/>
        <v>434676.24804356409</v>
      </c>
      <c r="G109" s="40">
        <f t="shared" si="43"/>
        <v>521797.69497327891</v>
      </c>
    </row>
    <row r="110" spans="1:7" x14ac:dyDescent="0.3">
      <c r="B110" s="27">
        <f>$X$40+0.03</f>
        <v>0.73</v>
      </c>
      <c r="C110" s="40">
        <f t="shared" si="43"/>
        <v>170269.11833875487</v>
      </c>
      <c r="D110" s="40">
        <f t="shared" si="43"/>
        <v>261124.34156545749</v>
      </c>
      <c r="E110" s="40">
        <f t="shared" si="43"/>
        <v>351979.56479216012</v>
      </c>
      <c r="F110" s="40">
        <f t="shared" si="43"/>
        <v>442834.78801886272</v>
      </c>
      <c r="G110" s="40">
        <f t="shared" si="43"/>
        <v>533690.01124556537</v>
      </c>
    </row>
    <row r="111" spans="1:7" x14ac:dyDescent="0.3">
      <c r="B111" s="27">
        <f>$X$40+0.06</f>
        <v>0.76</v>
      </c>
      <c r="C111" s="40">
        <f t="shared" si="43"/>
        <v>167226.32942309015</v>
      </c>
      <c r="D111" s="40">
        <f t="shared" si="43"/>
        <v>261815.32894678053</v>
      </c>
      <c r="E111" s="40">
        <f t="shared" si="43"/>
        <v>356404.32847047091</v>
      </c>
      <c r="F111" s="40">
        <f t="shared" si="43"/>
        <v>450993.32799416129</v>
      </c>
      <c r="G111" s="40">
        <f t="shared" si="43"/>
        <v>545582.32751785172</v>
      </c>
    </row>
    <row r="114" spans="1:24" x14ac:dyDescent="0.3">
      <c r="A114" s="21" t="s">
        <v>257</v>
      </c>
    </row>
    <row r="116" spans="1:24" x14ac:dyDescent="0.3">
      <c r="B116" s="66" t="s">
        <v>127</v>
      </c>
      <c r="C116" s="45">
        <f>$B$79-10</f>
        <v>-4.0746802615350823</v>
      </c>
      <c r="D116" s="45">
        <f>$B$79-5</f>
        <v>0.92531973846491766</v>
      </c>
      <c r="E116" s="45">
        <f>$B$79</f>
        <v>5.9253197384649177</v>
      </c>
      <c r="F116" s="45">
        <f>$B$79+5</f>
        <v>10.925319738464918</v>
      </c>
      <c r="G116" s="45">
        <f>$B$79+10</f>
        <v>15.925319738464918</v>
      </c>
    </row>
    <row r="117" spans="1:24" x14ac:dyDescent="0.3">
      <c r="B117" s="43">
        <f>$B$45-0.02</f>
        <v>5.5445352564102546E-2</v>
      </c>
      <c r="C117" s="40">
        <f t="shared" ref="C117:G121" si="44">SUMPRODUCT($E$61:$X$61,1/(1+$B117)^$E$66:$X$66)+($X$51*C$116)/(1+$B117)^19.5</f>
        <v>200041.23568407784</v>
      </c>
      <c r="D117" s="40">
        <f t="shared" si="44"/>
        <v>325673.355201395</v>
      </c>
      <c r="E117" s="40">
        <f t="shared" si="44"/>
        <v>451305.47471871215</v>
      </c>
      <c r="F117" s="40">
        <f t="shared" si="44"/>
        <v>576937.59423602931</v>
      </c>
      <c r="G117" s="40">
        <f t="shared" si="44"/>
        <v>702569.71375334647</v>
      </c>
    </row>
    <row r="118" spans="1:24" x14ac:dyDescent="0.3">
      <c r="B118" s="43">
        <f>$B$45-0.01</f>
        <v>6.5445352564102555E-2</v>
      </c>
      <c r="C118" s="40">
        <f t="shared" si="44"/>
        <v>186186.93824283709</v>
      </c>
      <c r="D118" s="40">
        <f t="shared" si="44"/>
        <v>290716.67375866306</v>
      </c>
      <c r="E118" s="40">
        <f t="shared" si="44"/>
        <v>395246.40927448904</v>
      </c>
      <c r="F118" s="40">
        <f t="shared" si="44"/>
        <v>499776.14479031495</v>
      </c>
      <c r="G118" s="40">
        <f t="shared" si="44"/>
        <v>604305.88030614099</v>
      </c>
    </row>
    <row r="119" spans="1:24" x14ac:dyDescent="0.3">
      <c r="B119" s="43">
        <f>$B$45</f>
        <v>7.544535256410255E-2</v>
      </c>
      <c r="C119" s="40">
        <f t="shared" si="44"/>
        <v>173311.90725441964</v>
      </c>
      <c r="D119" s="40">
        <f t="shared" si="44"/>
        <v>260433.35418413446</v>
      </c>
      <c r="E119" s="44">
        <f t="shared" si="44"/>
        <v>347554.80111384927</v>
      </c>
      <c r="F119" s="40">
        <f t="shared" si="44"/>
        <v>434676.24804356409</v>
      </c>
      <c r="G119" s="40">
        <f t="shared" si="44"/>
        <v>521797.69497327891</v>
      </c>
    </row>
    <row r="120" spans="1:24" x14ac:dyDescent="0.3">
      <c r="B120" s="43">
        <f>$B$45+0.01</f>
        <v>8.5445352564102545E-2</v>
      </c>
      <c r="C120" s="40">
        <f t="shared" si="44"/>
        <v>161382.51538229076</v>
      </c>
      <c r="D120" s="40">
        <f t="shared" si="44"/>
        <v>234117.36755602108</v>
      </c>
      <c r="E120" s="40">
        <f t="shared" si="44"/>
        <v>306852.21972975141</v>
      </c>
      <c r="F120" s="40">
        <f t="shared" si="44"/>
        <v>379587.07190348173</v>
      </c>
      <c r="G120" s="40">
        <f t="shared" si="44"/>
        <v>452321.92407721211</v>
      </c>
    </row>
    <row r="121" spans="1:24" x14ac:dyDescent="0.3">
      <c r="B121" s="43">
        <f>$B$45+0.02</f>
        <v>9.5445352564102554E-2</v>
      </c>
      <c r="C121" s="40">
        <f t="shared" si="44"/>
        <v>150354.31022387283</v>
      </c>
      <c r="D121" s="40">
        <f t="shared" si="44"/>
        <v>211178.85447034007</v>
      </c>
      <c r="E121" s="40">
        <f t="shared" si="44"/>
        <v>272003.39871680731</v>
      </c>
      <c r="F121" s="40">
        <f t="shared" si="44"/>
        <v>332827.94296327455</v>
      </c>
      <c r="G121" s="40">
        <f t="shared" si="44"/>
        <v>393652.48720974184</v>
      </c>
    </row>
    <row r="124" spans="1:24" x14ac:dyDescent="0.3">
      <c r="A124" s="350" t="s">
        <v>265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</row>
    <row r="125" spans="1:24" x14ac:dyDescent="0.3">
      <c r="A125" s="6" t="s">
        <v>266</v>
      </c>
      <c r="B125" s="6"/>
      <c r="C125" s="6"/>
      <c r="D125" s="52" t="s">
        <v>66</v>
      </c>
      <c r="E125" s="52" t="s">
        <v>67</v>
      </c>
      <c r="F125" s="52" t="s">
        <v>68</v>
      </c>
      <c r="G125" s="52" t="s">
        <v>69</v>
      </c>
      <c r="H125" s="52" t="s">
        <v>70</v>
      </c>
      <c r="I125" s="52" t="s">
        <v>71</v>
      </c>
      <c r="J125" s="52" t="s">
        <v>72</v>
      </c>
      <c r="K125" s="52" t="s">
        <v>73</v>
      </c>
      <c r="L125" s="52" t="s">
        <v>74</v>
      </c>
      <c r="M125" s="52" t="s">
        <v>75</v>
      </c>
      <c r="N125" s="52" t="s">
        <v>76</v>
      </c>
      <c r="O125" s="52" t="s">
        <v>245</v>
      </c>
      <c r="P125" s="52" t="s">
        <v>246</v>
      </c>
      <c r="Q125" s="52" t="s">
        <v>247</v>
      </c>
      <c r="R125" s="52" t="s">
        <v>248</v>
      </c>
      <c r="S125" s="52" t="s">
        <v>249</v>
      </c>
      <c r="T125" s="52" t="s">
        <v>250</v>
      </c>
      <c r="U125" s="52" t="s">
        <v>251</v>
      </c>
      <c r="V125" s="52" t="s">
        <v>252</v>
      </c>
      <c r="W125" s="52" t="s">
        <v>253</v>
      </c>
      <c r="X125" s="52" t="s">
        <v>254</v>
      </c>
    </row>
    <row r="126" spans="1:24" x14ac:dyDescent="0.3">
      <c r="A126" t="s">
        <v>267</v>
      </c>
      <c r="D126" s="137">
        <v>400</v>
      </c>
      <c r="E126" s="137">
        <v>408</v>
      </c>
      <c r="F126" s="137">
        <v>417</v>
      </c>
      <c r="G126" s="137">
        <v>425</v>
      </c>
      <c r="H126" s="137">
        <v>433</v>
      </c>
      <c r="I126" s="137">
        <v>441</v>
      </c>
      <c r="J126" s="137">
        <v>450</v>
      </c>
      <c r="K126" s="137">
        <v>458</v>
      </c>
      <c r="L126" s="137">
        <v>466</v>
      </c>
      <c r="M126" s="137">
        <v>474</v>
      </c>
      <c r="N126" s="137">
        <v>483</v>
      </c>
      <c r="O126" s="137">
        <v>491</v>
      </c>
      <c r="P126" s="137">
        <v>499</v>
      </c>
      <c r="Q126" s="137">
        <v>507</v>
      </c>
      <c r="R126" s="137">
        <v>516</v>
      </c>
      <c r="S126" s="137">
        <v>524</v>
      </c>
      <c r="T126" s="137">
        <v>532</v>
      </c>
      <c r="U126" s="137">
        <v>540</v>
      </c>
      <c r="V126" s="137">
        <v>549</v>
      </c>
      <c r="W126" s="137">
        <v>557</v>
      </c>
      <c r="X126" s="137">
        <v>565</v>
      </c>
    </row>
    <row r="127" spans="1:24" x14ac:dyDescent="0.3">
      <c r="A127" t="s">
        <v>268</v>
      </c>
      <c r="D127" s="55">
        <v>0.02</v>
      </c>
      <c r="E127" s="55">
        <v>0.03</v>
      </c>
      <c r="F127" s="55">
        <v>4.2999999999999997E-2</v>
      </c>
      <c r="G127" s="55">
        <v>5.8000000000000003E-2</v>
      </c>
      <c r="H127" s="55">
        <v>7.4999999999999997E-2</v>
      </c>
      <c r="I127" s="55">
        <v>9.2999999999999999E-2</v>
      </c>
      <c r="J127" s="55">
        <v>0.112</v>
      </c>
      <c r="K127" s="55">
        <v>0.13100000000000001</v>
      </c>
      <c r="L127" s="55">
        <v>0.15</v>
      </c>
      <c r="M127" s="55">
        <v>0.16800000000000001</v>
      </c>
      <c r="N127" s="55">
        <v>0.185</v>
      </c>
      <c r="O127" s="55">
        <v>0.20100000000000001</v>
      </c>
      <c r="P127" s="55">
        <v>0.216</v>
      </c>
      <c r="Q127" s="55">
        <v>0.23</v>
      </c>
      <c r="R127" s="55">
        <v>0.24299999999999999</v>
      </c>
      <c r="S127" s="55">
        <v>0.255</v>
      </c>
      <c r="T127" s="55">
        <v>0.26600000000000001</v>
      </c>
      <c r="U127" s="55">
        <v>0.27600000000000002</v>
      </c>
      <c r="V127" s="55">
        <v>0.28499999999999998</v>
      </c>
      <c r="W127" s="55">
        <v>0.29299999999999998</v>
      </c>
      <c r="X127" s="55">
        <v>0.3</v>
      </c>
    </row>
    <row r="128" spans="1:24" x14ac:dyDescent="0.3">
      <c r="A128" t="s">
        <v>269</v>
      </c>
      <c r="D128" s="117">
        <f t="shared" ref="D128:X128" si="45">D126*D127</f>
        <v>8</v>
      </c>
      <c r="E128" s="117">
        <f t="shared" si="45"/>
        <v>12.24</v>
      </c>
      <c r="F128" s="117">
        <f t="shared" si="45"/>
        <v>17.930999999999997</v>
      </c>
      <c r="G128" s="117">
        <f t="shared" si="45"/>
        <v>24.650000000000002</v>
      </c>
      <c r="H128" s="117">
        <f t="shared" si="45"/>
        <v>32.475000000000001</v>
      </c>
      <c r="I128" s="117">
        <f t="shared" si="45"/>
        <v>41.012999999999998</v>
      </c>
      <c r="J128" s="117">
        <f t="shared" si="45"/>
        <v>50.4</v>
      </c>
      <c r="K128" s="117">
        <f t="shared" si="45"/>
        <v>59.998000000000005</v>
      </c>
      <c r="L128" s="117">
        <f t="shared" si="45"/>
        <v>69.899999999999991</v>
      </c>
      <c r="M128" s="117">
        <f t="shared" si="45"/>
        <v>79.632000000000005</v>
      </c>
      <c r="N128" s="117">
        <f t="shared" si="45"/>
        <v>89.355000000000004</v>
      </c>
      <c r="O128" s="117">
        <f t="shared" si="45"/>
        <v>98.691000000000003</v>
      </c>
      <c r="P128" s="117">
        <f t="shared" si="45"/>
        <v>107.78399999999999</v>
      </c>
      <c r="Q128" s="117">
        <f t="shared" si="45"/>
        <v>116.61</v>
      </c>
      <c r="R128" s="117">
        <f t="shared" si="45"/>
        <v>125.38799999999999</v>
      </c>
      <c r="S128" s="117">
        <f t="shared" si="45"/>
        <v>133.62</v>
      </c>
      <c r="T128" s="117">
        <f t="shared" si="45"/>
        <v>141.512</v>
      </c>
      <c r="U128" s="117">
        <f t="shared" si="45"/>
        <v>149.04000000000002</v>
      </c>
      <c r="V128" s="117">
        <f t="shared" si="45"/>
        <v>156.46499999999997</v>
      </c>
      <c r="W128" s="117">
        <f t="shared" si="45"/>
        <v>163.20099999999999</v>
      </c>
      <c r="X128" s="117">
        <f t="shared" si="45"/>
        <v>169.5</v>
      </c>
    </row>
    <row r="129" spans="1:24" x14ac:dyDescent="0.3">
      <c r="A129" t="s">
        <v>270</v>
      </c>
      <c r="D129" s="136">
        <v>81</v>
      </c>
      <c r="E129" s="136">
        <v>78</v>
      </c>
      <c r="F129" s="136">
        <v>75</v>
      </c>
      <c r="G129" s="136">
        <v>73</v>
      </c>
      <c r="H129" s="136">
        <v>70</v>
      </c>
      <c r="I129" s="136">
        <v>67</v>
      </c>
      <c r="J129" s="136">
        <v>64</v>
      </c>
      <c r="K129" s="136">
        <v>61</v>
      </c>
      <c r="L129" s="136">
        <v>59</v>
      </c>
      <c r="M129" s="136">
        <v>56</v>
      </c>
      <c r="N129" s="136">
        <v>53</v>
      </c>
      <c r="O129" s="136">
        <v>50</v>
      </c>
      <c r="P129" s="136">
        <v>47</v>
      </c>
      <c r="Q129" s="136">
        <v>45</v>
      </c>
      <c r="R129" s="136">
        <v>42</v>
      </c>
      <c r="S129" s="136">
        <v>39</v>
      </c>
      <c r="T129" s="136">
        <v>36</v>
      </c>
      <c r="U129" s="136">
        <v>33</v>
      </c>
      <c r="V129" s="136">
        <v>31</v>
      </c>
      <c r="W129" s="136">
        <v>28</v>
      </c>
      <c r="X129" s="136">
        <v>25</v>
      </c>
    </row>
    <row r="130" spans="1:24" x14ac:dyDescent="0.3">
      <c r="A130" t="s">
        <v>271</v>
      </c>
      <c r="D130" s="118">
        <f t="shared" ref="D130:X130" si="46">D128*D129*12</f>
        <v>7776</v>
      </c>
      <c r="E130" s="118">
        <f t="shared" si="46"/>
        <v>11456.64</v>
      </c>
      <c r="F130" s="118">
        <f t="shared" si="46"/>
        <v>16137.899999999998</v>
      </c>
      <c r="G130" s="118">
        <f t="shared" si="46"/>
        <v>21593.4</v>
      </c>
      <c r="H130" s="118">
        <f t="shared" si="46"/>
        <v>27279</v>
      </c>
      <c r="I130" s="118">
        <f t="shared" si="46"/>
        <v>32974.452000000005</v>
      </c>
      <c r="J130" s="118">
        <f t="shared" si="46"/>
        <v>38707.199999999997</v>
      </c>
      <c r="K130" s="118">
        <f t="shared" si="46"/>
        <v>43918.536</v>
      </c>
      <c r="L130" s="118">
        <f t="shared" si="46"/>
        <v>49489.2</v>
      </c>
      <c r="M130" s="118">
        <f t="shared" si="46"/>
        <v>53512.703999999998</v>
      </c>
      <c r="N130" s="118">
        <f t="shared" si="46"/>
        <v>56829.780000000006</v>
      </c>
      <c r="O130" s="118">
        <f t="shared" si="46"/>
        <v>59214.600000000006</v>
      </c>
      <c r="P130" s="118">
        <f t="shared" si="46"/>
        <v>60790.175999999999</v>
      </c>
      <c r="Q130" s="118">
        <f t="shared" si="46"/>
        <v>62969.399999999994</v>
      </c>
      <c r="R130" s="118">
        <f t="shared" si="46"/>
        <v>63195.551999999996</v>
      </c>
      <c r="S130" s="118">
        <f t="shared" si="46"/>
        <v>62534.16</v>
      </c>
      <c r="T130" s="118">
        <f t="shared" si="46"/>
        <v>61133.183999999994</v>
      </c>
      <c r="U130" s="118">
        <f t="shared" si="46"/>
        <v>59019.840000000011</v>
      </c>
      <c r="V130" s="118">
        <f t="shared" si="46"/>
        <v>58204.979999999989</v>
      </c>
      <c r="W130" s="118">
        <f t="shared" si="46"/>
        <v>54835.535999999993</v>
      </c>
      <c r="X130" s="118">
        <f t="shared" si="46"/>
        <v>50850</v>
      </c>
    </row>
    <row r="131" spans="1:24" x14ac:dyDescent="0.3">
      <c r="A131" t="s">
        <v>272</v>
      </c>
      <c r="D131" s="119">
        <v>4179</v>
      </c>
      <c r="E131" s="118">
        <f t="shared" ref="E131:X131" si="47">D131*(1+E132)</f>
        <v>5641.6500000000005</v>
      </c>
      <c r="F131" s="118">
        <f t="shared" si="47"/>
        <v>7334.1450000000013</v>
      </c>
      <c r="G131" s="118">
        <f t="shared" si="47"/>
        <v>9241.0227000000014</v>
      </c>
      <c r="H131" s="118">
        <f t="shared" si="47"/>
        <v>11274.047694000001</v>
      </c>
      <c r="I131" s="118">
        <f t="shared" si="47"/>
        <v>13303.376278920001</v>
      </c>
      <c r="J131" s="118">
        <f t="shared" si="47"/>
        <v>15298.882720758</v>
      </c>
      <c r="K131" s="118">
        <f t="shared" si="47"/>
        <v>17287.737474456539</v>
      </c>
      <c r="L131" s="118">
        <f t="shared" si="47"/>
        <v>19189.388596646761</v>
      </c>
      <c r="M131" s="118">
        <f t="shared" si="47"/>
        <v>21108.327456311439</v>
      </c>
      <c r="N131" s="118">
        <f t="shared" si="47"/>
        <v>23008.076927379472</v>
      </c>
      <c r="O131" s="118">
        <f t="shared" si="47"/>
        <v>24848.723081569831</v>
      </c>
      <c r="P131" s="118">
        <f t="shared" si="47"/>
        <v>26588.133697279722</v>
      </c>
      <c r="Q131" s="118">
        <f t="shared" si="47"/>
        <v>28316.362387602901</v>
      </c>
      <c r="R131" s="118">
        <f t="shared" si="47"/>
        <v>30015.344130859077</v>
      </c>
      <c r="S131" s="118">
        <f t="shared" si="47"/>
        <v>31666.188058056323</v>
      </c>
      <c r="T131" s="118">
        <f t="shared" si="47"/>
        <v>33249.497460959137</v>
      </c>
      <c r="U131" s="118">
        <f t="shared" si="47"/>
        <v>34911.972334007092</v>
      </c>
      <c r="V131" s="118">
        <f t="shared" si="47"/>
        <v>36483.011089037405</v>
      </c>
      <c r="W131" s="118">
        <f t="shared" si="47"/>
        <v>37942.331532598902</v>
      </c>
      <c r="X131" s="118">
        <f t="shared" si="47"/>
        <v>39460.024793902863</v>
      </c>
    </row>
    <row r="132" spans="1:24" x14ac:dyDescent="0.3">
      <c r="A132" t="s">
        <v>273</v>
      </c>
      <c r="D132" s="54"/>
      <c r="E132" s="55">
        <v>0.35</v>
      </c>
      <c r="F132" s="55">
        <v>0.3</v>
      </c>
      <c r="G132" s="55">
        <v>0.26</v>
      </c>
      <c r="H132" s="55">
        <v>0.22</v>
      </c>
      <c r="I132" s="55">
        <v>0.18</v>
      </c>
      <c r="J132" s="55">
        <v>0.15</v>
      </c>
      <c r="K132" s="55">
        <v>0.13</v>
      </c>
      <c r="L132" s="55">
        <v>0.11</v>
      </c>
      <c r="M132" s="55">
        <v>0.1</v>
      </c>
      <c r="N132" s="55">
        <v>0.09</v>
      </c>
      <c r="O132" s="55">
        <v>0.08</v>
      </c>
      <c r="P132" s="55">
        <v>7.0000000000000007E-2</v>
      </c>
      <c r="Q132" s="55">
        <v>6.5000000000000002E-2</v>
      </c>
      <c r="R132" s="55">
        <v>0.06</v>
      </c>
      <c r="S132" s="55">
        <v>5.5E-2</v>
      </c>
      <c r="T132" s="55">
        <v>0.05</v>
      </c>
      <c r="U132" s="55">
        <v>0.05</v>
      </c>
      <c r="V132" s="55">
        <v>4.4999999999999998E-2</v>
      </c>
      <c r="W132" s="55">
        <v>0.04</v>
      </c>
      <c r="X132" s="55">
        <v>0.04</v>
      </c>
    </row>
    <row r="133" spans="1:24" x14ac:dyDescent="0.3">
      <c r="A133" s="1" t="s">
        <v>274</v>
      </c>
      <c r="B133" s="1"/>
      <c r="C133" s="1"/>
      <c r="D133" s="120">
        <f t="shared" ref="D133:X133" si="48">D130+D131</f>
        <v>11955</v>
      </c>
      <c r="E133" s="120">
        <f t="shared" si="48"/>
        <v>17098.29</v>
      </c>
      <c r="F133" s="120">
        <f t="shared" si="48"/>
        <v>23472.044999999998</v>
      </c>
      <c r="G133" s="120">
        <f t="shared" si="48"/>
        <v>30834.422700000003</v>
      </c>
      <c r="H133" s="120">
        <f t="shared" si="48"/>
        <v>38553.047694000001</v>
      </c>
      <c r="I133" s="120">
        <f t="shared" si="48"/>
        <v>46277.828278920002</v>
      </c>
      <c r="J133" s="120">
        <f t="shared" si="48"/>
        <v>54006.082720758001</v>
      </c>
      <c r="K133" s="120">
        <f t="shared" si="48"/>
        <v>61206.273474456539</v>
      </c>
      <c r="L133" s="120">
        <f t="shared" si="48"/>
        <v>68678.588596646761</v>
      </c>
      <c r="M133" s="120">
        <f t="shared" si="48"/>
        <v>74621.031456311437</v>
      </c>
      <c r="N133" s="120">
        <f t="shared" si="48"/>
        <v>79837.856927379471</v>
      </c>
      <c r="O133" s="120">
        <f t="shared" si="48"/>
        <v>84063.323081569833</v>
      </c>
      <c r="P133" s="120">
        <f t="shared" si="48"/>
        <v>87378.309697279721</v>
      </c>
      <c r="Q133" s="120">
        <f t="shared" si="48"/>
        <v>91285.762387602896</v>
      </c>
      <c r="R133" s="120">
        <f t="shared" si="48"/>
        <v>93210.896130859066</v>
      </c>
      <c r="S133" s="120">
        <f t="shared" si="48"/>
        <v>94200.348058056319</v>
      </c>
      <c r="T133" s="120">
        <f t="shared" si="48"/>
        <v>94382.681460959138</v>
      </c>
      <c r="U133" s="120">
        <f t="shared" si="48"/>
        <v>93931.812334007103</v>
      </c>
      <c r="V133" s="120">
        <f t="shared" si="48"/>
        <v>94687.991089037387</v>
      </c>
      <c r="W133" s="120">
        <f t="shared" si="48"/>
        <v>92777.867532598902</v>
      </c>
      <c r="X133" s="120">
        <f t="shared" si="48"/>
        <v>90310.024793902863</v>
      </c>
    </row>
    <row r="134" spans="1:24" x14ac:dyDescent="0.3">
      <c r="A134" t="s">
        <v>275</v>
      </c>
      <c r="D134" s="118">
        <f t="shared" ref="D134:X134" si="49">D49</f>
        <v>11387</v>
      </c>
      <c r="E134" s="118">
        <f t="shared" si="49"/>
        <v>15714.06</v>
      </c>
      <c r="F134" s="118">
        <f t="shared" si="49"/>
        <v>20742.5592</v>
      </c>
      <c r="G134" s="118">
        <f t="shared" si="49"/>
        <v>26135.624592</v>
      </c>
      <c r="H134" s="118">
        <f t="shared" si="49"/>
        <v>31885.462002239998</v>
      </c>
      <c r="I134" s="118">
        <f t="shared" si="49"/>
        <v>37624.845162643192</v>
      </c>
      <c r="J134" s="118">
        <f t="shared" si="49"/>
        <v>43268.571937039669</v>
      </c>
      <c r="K134" s="118">
        <f t="shared" si="49"/>
        <v>48893.486288854823</v>
      </c>
      <c r="L134" s="118">
        <f t="shared" si="49"/>
        <v>54271.769780628856</v>
      </c>
      <c r="M134" s="118">
        <f t="shared" si="49"/>
        <v>59156.22906088546</v>
      </c>
      <c r="N134" s="118">
        <f t="shared" si="49"/>
        <v>63888.727385756298</v>
      </c>
      <c r="O134" s="118">
        <f t="shared" si="49"/>
        <v>68360.938302759241</v>
      </c>
      <c r="P134" s="118">
        <f t="shared" si="49"/>
        <v>72804.399292438582</v>
      </c>
      <c r="Q134" s="118">
        <f t="shared" si="49"/>
        <v>77172.663249984907</v>
      </c>
      <c r="R134" s="118">
        <f t="shared" si="49"/>
        <v>81417.15972873407</v>
      </c>
      <c r="S134" s="118">
        <f t="shared" si="49"/>
        <v>85488.017715170776</v>
      </c>
      <c r="T134" s="118">
        <f t="shared" si="49"/>
        <v>89334.978512353453</v>
      </c>
      <c r="U134" s="118">
        <f t="shared" si="49"/>
        <v>92908.377652847601</v>
      </c>
      <c r="V134" s="118">
        <f t="shared" si="49"/>
        <v>96438.896003655813</v>
      </c>
      <c r="W134" s="118">
        <f t="shared" si="49"/>
        <v>99814.257363783763</v>
      </c>
      <c r="X134" s="118">
        <f t="shared" si="49"/>
        <v>102808.68508469728</v>
      </c>
    </row>
    <row r="135" spans="1:24" x14ac:dyDescent="0.3">
      <c r="A135" s="2" t="s">
        <v>276</v>
      </c>
      <c r="D135" s="64">
        <f t="shared" ref="D135:X135" si="50">IF(D134=0,0,D133/D134-1)</f>
        <v>4.9881443751646604E-2</v>
      </c>
      <c r="E135" s="64">
        <f t="shared" si="50"/>
        <v>8.8088628909397171E-2</v>
      </c>
      <c r="F135" s="64">
        <f t="shared" si="50"/>
        <v>0.13158867108355654</v>
      </c>
      <c r="G135" s="64">
        <f t="shared" si="50"/>
        <v>0.17978518521567244</v>
      </c>
      <c r="H135" s="64">
        <f t="shared" si="50"/>
        <v>0.20911052476804626</v>
      </c>
      <c r="I135" s="64">
        <f t="shared" si="50"/>
        <v>0.22998056414244461</v>
      </c>
      <c r="J135" s="64">
        <f t="shared" si="50"/>
        <v>0.24815958334244415</v>
      </c>
      <c r="K135" s="64">
        <f t="shared" si="50"/>
        <v>0.25182878375372453</v>
      </c>
      <c r="L135" s="64">
        <f t="shared" si="50"/>
        <v>0.26545695624542009</v>
      </c>
      <c r="M135" s="64">
        <f t="shared" si="50"/>
        <v>0.26142305959883139</v>
      </c>
      <c r="N135" s="64">
        <f t="shared" si="50"/>
        <v>0.24963918040381805</v>
      </c>
      <c r="O135" s="64">
        <f t="shared" si="50"/>
        <v>0.22969820439367483</v>
      </c>
      <c r="P135" s="64">
        <f t="shared" si="50"/>
        <v>0.20017898020559288</v>
      </c>
      <c r="Q135" s="64">
        <f t="shared" si="50"/>
        <v>0.18287692225809948</v>
      </c>
      <c r="R135" s="64">
        <f t="shared" si="50"/>
        <v>0.144855659929914</v>
      </c>
      <c r="S135" s="64">
        <f t="shared" si="50"/>
        <v>0.10191288294826673</v>
      </c>
      <c r="T135" s="64">
        <f t="shared" si="50"/>
        <v>5.6503096913015805E-2</v>
      </c>
      <c r="U135" s="64">
        <f t="shared" si="50"/>
        <v>1.1015526339116288E-2</v>
      </c>
      <c r="V135" s="64">
        <f t="shared" si="50"/>
        <v>-1.8155588535066269E-2</v>
      </c>
      <c r="W135" s="64">
        <f t="shared" si="50"/>
        <v>-7.0494837281010692E-2</v>
      </c>
      <c r="X135" s="64">
        <f t="shared" si="50"/>
        <v>-0.12157202750426777</v>
      </c>
    </row>
  </sheetData>
  <mergeCells count="1">
    <mergeCell ref="A124:X1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660A-3C22-402E-97CB-EDD30BD7C37D}">
  <sheetPr>
    <tabColor rgb="FFFFFFFF"/>
  </sheetPr>
  <dimension ref="A1:X134"/>
  <sheetViews>
    <sheetView showGridLines="0" workbookViewId="0">
      <pane ySplit="5" topLeftCell="A6" activePane="bottomLeft" state="frozen"/>
      <selection pane="bottomLeft" activeCell="C5" sqref="C5"/>
    </sheetView>
  </sheetViews>
  <sheetFormatPr defaultRowHeight="14.4" x14ac:dyDescent="0.3"/>
  <cols>
    <col min="1" max="1" width="42.5546875" customWidth="1"/>
    <col min="2" max="3" width="20" customWidth="1"/>
    <col min="4" max="24" width="11.109375" customWidth="1"/>
  </cols>
  <sheetData>
    <row r="1" spans="1:24" ht="30" customHeight="1" x14ac:dyDescent="0.3">
      <c r="A1" s="324" t="s">
        <v>767</v>
      </c>
    </row>
    <row r="2" spans="1:24" x14ac:dyDescent="0.3">
      <c r="A2" s="3" t="s">
        <v>258</v>
      </c>
    </row>
    <row r="3" spans="1:24" x14ac:dyDescent="0.3">
      <c r="A3" s="3"/>
    </row>
    <row r="5" spans="1:24" ht="18" x14ac:dyDescent="0.35">
      <c r="A5" s="1" t="s">
        <v>61</v>
      </c>
      <c r="B5" s="169">
        <f>COVER!B29</f>
        <v>2</v>
      </c>
      <c r="C5" s="23" t="str">
        <f>IF(B5=1,"◀  BEAR",IF(B5=2,"◀  BASE","◀  BULL"))</f>
        <v>◀  BASE</v>
      </c>
      <c r="D5" s="3" t="s">
        <v>62</v>
      </c>
    </row>
    <row r="7" spans="1:24" x14ac:dyDescent="0.3">
      <c r="A7" s="5" t="s">
        <v>63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90"/>
      <c r="P7" s="90"/>
      <c r="Q7" s="90"/>
      <c r="R7" s="90"/>
      <c r="S7" s="90"/>
      <c r="T7" s="90"/>
      <c r="U7" s="90"/>
      <c r="V7" s="90"/>
      <c r="W7" s="90"/>
      <c r="X7" s="90"/>
    </row>
    <row r="8" spans="1:24" x14ac:dyDescent="0.3">
      <c r="A8" s="6"/>
      <c r="B8" s="52" t="s">
        <v>64</v>
      </c>
      <c r="C8" s="52" t="s">
        <v>65</v>
      </c>
      <c r="D8" s="52" t="s">
        <v>66</v>
      </c>
      <c r="E8" s="52" t="s">
        <v>67</v>
      </c>
      <c r="F8" s="52" t="s">
        <v>68</v>
      </c>
      <c r="G8" s="52" t="s">
        <v>69</v>
      </c>
      <c r="H8" s="52" t="s">
        <v>70</v>
      </c>
      <c r="I8" s="52" t="s">
        <v>71</v>
      </c>
      <c r="J8" s="52" t="s">
        <v>72</v>
      </c>
      <c r="K8" s="52" t="s">
        <v>73</v>
      </c>
      <c r="L8" s="52" t="s">
        <v>74</v>
      </c>
      <c r="M8" s="52" t="s">
        <v>75</v>
      </c>
      <c r="N8" s="52" t="s">
        <v>76</v>
      </c>
      <c r="O8" s="52" t="s">
        <v>245</v>
      </c>
      <c r="P8" s="52" t="s">
        <v>246</v>
      </c>
      <c r="Q8" s="52" t="s">
        <v>247</v>
      </c>
      <c r="R8" s="52" t="s">
        <v>248</v>
      </c>
      <c r="S8" s="52" t="s">
        <v>249</v>
      </c>
      <c r="T8" s="52" t="s">
        <v>250</v>
      </c>
      <c r="U8" s="52" t="s">
        <v>251</v>
      </c>
      <c r="V8" s="52" t="s">
        <v>252</v>
      </c>
      <c r="W8" s="52" t="s">
        <v>253</v>
      </c>
      <c r="X8" s="52" t="s">
        <v>254</v>
      </c>
    </row>
    <row r="9" spans="1:24" x14ac:dyDescent="0.3">
      <c r="A9" t="s">
        <v>77</v>
      </c>
      <c r="B9" s="88"/>
      <c r="C9" s="88"/>
      <c r="D9" s="88"/>
      <c r="E9" s="55">
        <v>0.06</v>
      </c>
      <c r="F9" s="55">
        <v>0.08</v>
      </c>
      <c r="G9" s="55">
        <v>0.1</v>
      </c>
      <c r="H9" s="55">
        <v>0.12</v>
      </c>
      <c r="I9" s="55">
        <v>0.15</v>
      </c>
      <c r="J9" s="55">
        <v>0.15</v>
      </c>
      <c r="K9" s="55">
        <v>0.13</v>
      </c>
      <c r="L9" s="55">
        <v>0.12</v>
      </c>
      <c r="M9" s="55">
        <v>0.1</v>
      </c>
      <c r="N9" s="55">
        <v>0.08</v>
      </c>
      <c r="O9" s="55">
        <v>7.0000000000000007E-2</v>
      </c>
      <c r="P9" s="55">
        <v>0.06</v>
      </c>
      <c r="Q9" s="55">
        <v>0.05</v>
      </c>
      <c r="R9" s="55">
        <v>4.4999999999999998E-2</v>
      </c>
      <c r="S9" s="55">
        <v>0.04</v>
      </c>
      <c r="T9" s="55">
        <v>3.5000000000000003E-2</v>
      </c>
      <c r="U9" s="55">
        <v>0.03</v>
      </c>
      <c r="V9" s="55">
        <v>0.03</v>
      </c>
      <c r="W9" s="55">
        <v>2.8000000000000001E-2</v>
      </c>
      <c r="X9" s="55">
        <v>2.5000000000000001E-2</v>
      </c>
    </row>
    <row r="10" spans="1:24" x14ac:dyDescent="0.3">
      <c r="A10" t="s">
        <v>78</v>
      </c>
      <c r="B10" s="88"/>
      <c r="C10" s="88"/>
      <c r="D10" s="88"/>
      <c r="E10" s="55">
        <v>0.1</v>
      </c>
      <c r="F10" s="55">
        <v>0.12</v>
      </c>
      <c r="G10" s="55">
        <v>0.15</v>
      </c>
      <c r="H10" s="55">
        <v>0.18</v>
      </c>
      <c r="I10" s="55">
        <v>0.22</v>
      </c>
      <c r="J10" s="55">
        <v>0.25</v>
      </c>
      <c r="K10" s="55">
        <v>0.27</v>
      </c>
      <c r="L10" s="55">
        <v>0.28000000000000003</v>
      </c>
      <c r="M10" s="55">
        <v>0.28999999999999998</v>
      </c>
      <c r="N10" s="55">
        <v>0.3</v>
      </c>
      <c r="O10" s="55">
        <v>0.31</v>
      </c>
      <c r="P10" s="55">
        <v>0.32</v>
      </c>
      <c r="Q10" s="55">
        <v>0.33</v>
      </c>
      <c r="R10" s="55">
        <v>0.34</v>
      </c>
      <c r="S10" s="55">
        <v>0.34</v>
      </c>
      <c r="T10" s="55">
        <v>0.35</v>
      </c>
      <c r="U10" s="55">
        <v>0.36</v>
      </c>
      <c r="V10" s="55">
        <v>0.37</v>
      </c>
      <c r="W10" s="55">
        <v>0.37</v>
      </c>
      <c r="X10" s="55">
        <v>0.38</v>
      </c>
    </row>
    <row r="11" spans="1:24" x14ac:dyDescent="0.3">
      <c r="A11" t="s">
        <v>79</v>
      </c>
      <c r="B11" s="88"/>
      <c r="C11" s="88"/>
      <c r="D11" s="88"/>
      <c r="E11" s="55">
        <v>0.19</v>
      </c>
      <c r="F11" s="55">
        <v>0.18</v>
      </c>
      <c r="G11" s="55">
        <v>0.17</v>
      </c>
      <c r="H11" s="55">
        <v>0.16</v>
      </c>
      <c r="I11" s="55">
        <v>0.15</v>
      </c>
      <c r="J11" s="55">
        <v>0.14000000000000001</v>
      </c>
      <c r="K11" s="55">
        <v>0.14000000000000001</v>
      </c>
      <c r="L11" s="55">
        <v>0.13</v>
      </c>
      <c r="M11" s="55">
        <v>0.13</v>
      </c>
      <c r="N11" s="55">
        <v>0.12</v>
      </c>
      <c r="O11" s="55">
        <v>0.12</v>
      </c>
      <c r="P11" s="55">
        <v>0.12</v>
      </c>
      <c r="Q11" s="55">
        <v>0.115</v>
      </c>
      <c r="R11" s="55">
        <v>0.115</v>
      </c>
      <c r="S11" s="55">
        <v>0.11</v>
      </c>
      <c r="T11" s="55">
        <v>0.11</v>
      </c>
      <c r="U11" s="55">
        <v>0.11</v>
      </c>
      <c r="V11" s="55">
        <v>0.11</v>
      </c>
      <c r="W11" s="55">
        <v>0.11</v>
      </c>
      <c r="X11" s="55">
        <v>0.11</v>
      </c>
    </row>
    <row r="12" spans="1:24" x14ac:dyDescent="0.3">
      <c r="A12" t="s">
        <v>80</v>
      </c>
      <c r="B12" s="88"/>
      <c r="C12" s="88"/>
      <c r="D12" s="88"/>
      <c r="E12" s="55">
        <v>0.85</v>
      </c>
      <c r="F12" s="55">
        <v>0.75</v>
      </c>
      <c r="G12" s="55">
        <v>0.65</v>
      </c>
      <c r="H12" s="55">
        <v>0.55000000000000004</v>
      </c>
      <c r="I12" s="55">
        <v>0.45</v>
      </c>
      <c r="J12" s="55">
        <v>0.38</v>
      </c>
      <c r="K12" s="55">
        <v>0.32</v>
      </c>
      <c r="L12" s="55">
        <v>0.28000000000000003</v>
      </c>
      <c r="M12" s="55">
        <v>0.24</v>
      </c>
      <c r="N12" s="55">
        <v>0.22</v>
      </c>
      <c r="O12" s="55">
        <v>0.21</v>
      </c>
      <c r="P12" s="55">
        <v>0.2</v>
      </c>
      <c r="Q12" s="55">
        <v>0.19</v>
      </c>
      <c r="R12" s="55">
        <v>0.18</v>
      </c>
      <c r="S12" s="55">
        <v>0.17</v>
      </c>
      <c r="T12" s="55">
        <v>0.16</v>
      </c>
      <c r="U12" s="55">
        <v>0.15</v>
      </c>
      <c r="V12" s="55">
        <v>0.14000000000000001</v>
      </c>
      <c r="W12" s="55">
        <v>0.13</v>
      </c>
      <c r="X12" s="55">
        <v>0.12</v>
      </c>
    </row>
    <row r="13" spans="1:24" x14ac:dyDescent="0.3">
      <c r="A13" t="s">
        <v>81</v>
      </c>
      <c r="B13" s="88"/>
      <c r="C13" s="88"/>
      <c r="D13" s="88"/>
      <c r="E13" s="55">
        <v>0.06</v>
      </c>
      <c r="F13" s="55">
        <v>0.06</v>
      </c>
      <c r="G13" s="55">
        <v>0.05</v>
      </c>
      <c r="H13" s="55">
        <v>0.05</v>
      </c>
      <c r="I13" s="55">
        <v>0.05</v>
      </c>
      <c r="J13" s="55">
        <v>0.04</v>
      </c>
      <c r="K13" s="55">
        <v>0.04</v>
      </c>
      <c r="L13" s="55">
        <v>0.03</v>
      </c>
      <c r="M13" s="55">
        <v>0.03</v>
      </c>
      <c r="N13" s="55">
        <v>0.03</v>
      </c>
      <c r="O13" s="55">
        <v>0.03</v>
      </c>
      <c r="P13" s="55">
        <v>0.03</v>
      </c>
      <c r="Q13" s="55">
        <v>2.5000000000000001E-2</v>
      </c>
      <c r="R13" s="55">
        <v>2.5000000000000001E-2</v>
      </c>
      <c r="S13" s="55">
        <v>2.5000000000000001E-2</v>
      </c>
      <c r="T13" s="55">
        <v>2.5000000000000001E-2</v>
      </c>
      <c r="U13" s="55">
        <v>0.02</v>
      </c>
      <c r="V13" s="55">
        <v>0.02</v>
      </c>
      <c r="W13" s="55">
        <v>0.02</v>
      </c>
      <c r="X13" s="55">
        <v>0.02</v>
      </c>
    </row>
    <row r="14" spans="1:24" x14ac:dyDescent="0.3">
      <c r="A14" t="s">
        <v>82</v>
      </c>
      <c r="B14" s="143">
        <f>WACC!D48</f>
        <v>0.02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 spans="1:24" x14ac:dyDescent="0.3">
      <c r="A15" t="s">
        <v>57</v>
      </c>
      <c r="B15" s="87">
        <f>WACC!B48</f>
        <v>7.9328831862053625E-2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 spans="1:24" x14ac:dyDescent="0.3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 spans="1:24" x14ac:dyDescent="0.3">
      <c r="A17" s="5" t="s">
        <v>83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 spans="1:24" x14ac:dyDescent="0.3">
      <c r="A18" s="6"/>
      <c r="B18" s="52" t="s">
        <v>64</v>
      </c>
      <c r="C18" s="52" t="s">
        <v>65</v>
      </c>
      <c r="D18" s="52" t="s">
        <v>66</v>
      </c>
      <c r="E18" s="52" t="s">
        <v>67</v>
      </c>
      <c r="F18" s="52" t="s">
        <v>68</v>
      </c>
      <c r="G18" s="52" t="s">
        <v>69</v>
      </c>
      <c r="H18" s="52" t="s">
        <v>70</v>
      </c>
      <c r="I18" s="52" t="s">
        <v>71</v>
      </c>
      <c r="J18" s="52" t="s">
        <v>72</v>
      </c>
      <c r="K18" s="52" t="s">
        <v>73</v>
      </c>
      <c r="L18" s="52" t="s">
        <v>74</v>
      </c>
      <c r="M18" s="52" t="s">
        <v>75</v>
      </c>
      <c r="N18" s="52" t="s">
        <v>76</v>
      </c>
      <c r="O18" s="52" t="s">
        <v>245</v>
      </c>
      <c r="P18" s="52" t="s">
        <v>246</v>
      </c>
      <c r="Q18" s="52" t="s">
        <v>247</v>
      </c>
      <c r="R18" s="52" t="s">
        <v>248</v>
      </c>
      <c r="S18" s="52" t="s">
        <v>249</v>
      </c>
      <c r="T18" s="52" t="s">
        <v>250</v>
      </c>
      <c r="U18" s="52" t="s">
        <v>251</v>
      </c>
      <c r="V18" s="52" t="s">
        <v>252</v>
      </c>
      <c r="W18" s="52" t="s">
        <v>253</v>
      </c>
      <c r="X18" s="52" t="s">
        <v>254</v>
      </c>
    </row>
    <row r="19" spans="1:24" x14ac:dyDescent="0.3">
      <c r="A19" t="s">
        <v>77</v>
      </c>
      <c r="B19" s="88"/>
      <c r="C19" s="88"/>
      <c r="D19" s="88"/>
      <c r="E19" s="55">
        <v>0.1</v>
      </c>
      <c r="F19" s="55">
        <v>0.14000000000000001</v>
      </c>
      <c r="G19" s="55">
        <v>0.18</v>
      </c>
      <c r="H19" s="55">
        <v>0.22</v>
      </c>
      <c r="I19" s="55">
        <v>0.26</v>
      </c>
      <c r="J19" s="55">
        <v>0.22</v>
      </c>
      <c r="K19" s="55">
        <v>0.18</v>
      </c>
      <c r="L19" s="55">
        <v>0.15</v>
      </c>
      <c r="M19" s="55">
        <v>0.13</v>
      </c>
      <c r="N19" s="55">
        <v>0.11</v>
      </c>
      <c r="O19" s="55">
        <v>0.1</v>
      </c>
      <c r="P19" s="55">
        <v>0.09</v>
      </c>
      <c r="Q19" s="55">
        <v>0.08</v>
      </c>
      <c r="R19" s="55">
        <v>7.0000000000000007E-2</v>
      </c>
      <c r="S19" s="55">
        <v>0.06</v>
      </c>
      <c r="T19" s="55">
        <v>0.05</v>
      </c>
      <c r="U19" s="55">
        <v>4.4999999999999998E-2</v>
      </c>
      <c r="V19" s="55">
        <v>0.04</v>
      </c>
      <c r="W19" s="55">
        <v>3.5000000000000003E-2</v>
      </c>
      <c r="X19" s="55">
        <v>0.03</v>
      </c>
    </row>
    <row r="20" spans="1:24" x14ac:dyDescent="0.3">
      <c r="A20" t="s">
        <v>78</v>
      </c>
      <c r="B20" s="88"/>
      <c r="C20" s="88"/>
      <c r="D20" s="88"/>
      <c r="E20" s="55">
        <v>0.14000000000000001</v>
      </c>
      <c r="F20" s="55">
        <v>0.18</v>
      </c>
      <c r="G20" s="55">
        <v>0.24</v>
      </c>
      <c r="H20" s="55">
        <v>0.3</v>
      </c>
      <c r="I20" s="55">
        <v>0.36</v>
      </c>
      <c r="J20" s="55">
        <v>0.41</v>
      </c>
      <c r="K20" s="55">
        <v>0.45</v>
      </c>
      <c r="L20" s="55">
        <v>0.47</v>
      </c>
      <c r="M20" s="55">
        <v>0.48</v>
      </c>
      <c r="N20" s="55">
        <v>0.49</v>
      </c>
      <c r="O20" s="55">
        <v>0.5</v>
      </c>
      <c r="P20" s="55">
        <v>0.51</v>
      </c>
      <c r="Q20" s="55">
        <v>0.52</v>
      </c>
      <c r="R20" s="55">
        <v>0.52</v>
      </c>
      <c r="S20" s="55">
        <v>0.53</v>
      </c>
      <c r="T20" s="55">
        <v>0.54</v>
      </c>
      <c r="U20" s="55">
        <v>0.54</v>
      </c>
      <c r="V20" s="55">
        <v>0.55000000000000004</v>
      </c>
      <c r="W20" s="55">
        <v>0.55000000000000004</v>
      </c>
      <c r="X20" s="55">
        <v>0.56000000000000005</v>
      </c>
    </row>
    <row r="21" spans="1:24" x14ac:dyDescent="0.3">
      <c r="A21" t="s">
        <v>79</v>
      </c>
      <c r="B21" s="88"/>
      <c r="C21" s="88"/>
      <c r="D21" s="88"/>
      <c r="E21" s="55">
        <v>0.19</v>
      </c>
      <c r="F21" s="55">
        <v>0.18</v>
      </c>
      <c r="G21" s="55">
        <v>0.17</v>
      </c>
      <c r="H21" s="55">
        <v>0.16</v>
      </c>
      <c r="I21" s="55">
        <v>0.15</v>
      </c>
      <c r="J21" s="55">
        <v>0.14000000000000001</v>
      </c>
      <c r="K21" s="55">
        <v>0.14000000000000001</v>
      </c>
      <c r="L21" s="55">
        <v>0.13</v>
      </c>
      <c r="M21" s="55">
        <v>0.13</v>
      </c>
      <c r="N21" s="55">
        <v>0.12</v>
      </c>
      <c r="O21" s="55">
        <v>0.12</v>
      </c>
      <c r="P21" s="55">
        <v>0.115</v>
      </c>
      <c r="Q21" s="55">
        <v>0.115</v>
      </c>
      <c r="R21" s="55">
        <v>0.11</v>
      </c>
      <c r="S21" s="55">
        <v>0.11</v>
      </c>
      <c r="T21" s="55">
        <v>0.11</v>
      </c>
      <c r="U21" s="55">
        <v>0.105</v>
      </c>
      <c r="V21" s="55">
        <v>0.105</v>
      </c>
      <c r="W21" s="55">
        <v>0.105</v>
      </c>
      <c r="X21" s="55">
        <v>0.105</v>
      </c>
    </row>
    <row r="22" spans="1:24" x14ac:dyDescent="0.3">
      <c r="A22" t="s">
        <v>80</v>
      </c>
      <c r="B22" s="88"/>
      <c r="C22" s="88"/>
      <c r="D22" s="88"/>
      <c r="E22" s="55">
        <v>0.75</v>
      </c>
      <c r="F22" s="55">
        <v>0.65</v>
      </c>
      <c r="G22" s="55">
        <v>0.55000000000000004</v>
      </c>
      <c r="H22" s="55">
        <v>0.45</v>
      </c>
      <c r="I22" s="55">
        <v>0.36</v>
      </c>
      <c r="J22" s="55">
        <v>0.28000000000000003</v>
      </c>
      <c r="K22" s="55">
        <v>0.22</v>
      </c>
      <c r="L22" s="55">
        <v>0.18</v>
      </c>
      <c r="M22" s="55">
        <v>0.15</v>
      </c>
      <c r="N22" s="55">
        <v>0.13</v>
      </c>
      <c r="O22" s="55">
        <v>0.125</v>
      </c>
      <c r="P22" s="55">
        <v>0.12</v>
      </c>
      <c r="Q22" s="55">
        <v>0.115</v>
      </c>
      <c r="R22" s="55">
        <v>0.11</v>
      </c>
      <c r="S22" s="55">
        <v>0.105</v>
      </c>
      <c r="T22" s="55">
        <v>0.1</v>
      </c>
      <c r="U22" s="55">
        <v>9.8000000000000004E-2</v>
      </c>
      <c r="V22" s="55">
        <v>9.5000000000000001E-2</v>
      </c>
      <c r="W22" s="55">
        <v>9.1999999999999998E-2</v>
      </c>
      <c r="X22" s="55">
        <v>0.09</v>
      </c>
    </row>
    <row r="23" spans="1:24" x14ac:dyDescent="0.3">
      <c r="A23" t="s">
        <v>81</v>
      </c>
      <c r="B23" s="88"/>
      <c r="C23" s="88"/>
      <c r="D23" s="88"/>
      <c r="E23" s="55">
        <v>0.05</v>
      </c>
      <c r="F23" s="55">
        <v>0.05</v>
      </c>
      <c r="G23" s="55">
        <v>0.05</v>
      </c>
      <c r="H23" s="55">
        <v>0.04</v>
      </c>
      <c r="I23" s="55">
        <v>0.04</v>
      </c>
      <c r="J23" s="55">
        <v>0.04</v>
      </c>
      <c r="K23" s="55">
        <v>0.03</v>
      </c>
      <c r="L23" s="55">
        <v>0.03</v>
      </c>
      <c r="M23" s="55">
        <v>0.02</v>
      </c>
      <c r="N23" s="55">
        <v>0.02</v>
      </c>
      <c r="O23" s="55">
        <v>0.02</v>
      </c>
      <c r="P23" s="55">
        <v>0.02</v>
      </c>
      <c r="Q23" s="55">
        <v>0.02</v>
      </c>
      <c r="R23" s="55">
        <v>1.7999999999999999E-2</v>
      </c>
      <c r="S23" s="55">
        <v>1.7999999999999999E-2</v>
      </c>
      <c r="T23" s="55">
        <v>1.4999999999999999E-2</v>
      </c>
      <c r="U23" s="55">
        <v>1.4999999999999999E-2</v>
      </c>
      <c r="V23" s="55">
        <v>1.4999999999999999E-2</v>
      </c>
      <c r="W23" s="55">
        <v>1.4999999999999999E-2</v>
      </c>
      <c r="X23" s="55">
        <v>1.4999999999999999E-2</v>
      </c>
    </row>
    <row r="24" spans="1:24" x14ac:dyDescent="0.3">
      <c r="A24" t="s">
        <v>82</v>
      </c>
      <c r="B24" s="143">
        <f>WACC!C48</f>
        <v>2.5000000000000001E-2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 spans="1:24" x14ac:dyDescent="0.3">
      <c r="A25" t="s">
        <v>57</v>
      </c>
      <c r="B25" s="87">
        <f>WACC!B48</f>
        <v>7.9328831862053625E-2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 spans="1:24" x14ac:dyDescent="0.3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 spans="1:24" x14ac:dyDescent="0.3">
      <c r="A27" s="5" t="s">
        <v>84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 spans="1:24" x14ac:dyDescent="0.3">
      <c r="A28" s="6"/>
      <c r="B28" s="52" t="s">
        <v>64</v>
      </c>
      <c r="C28" s="52" t="s">
        <v>65</v>
      </c>
      <c r="D28" s="52" t="s">
        <v>66</v>
      </c>
      <c r="E28" s="52" t="s">
        <v>67</v>
      </c>
      <c r="F28" s="52" t="s">
        <v>68</v>
      </c>
      <c r="G28" s="52" t="s">
        <v>69</v>
      </c>
      <c r="H28" s="52" t="s">
        <v>70</v>
      </c>
      <c r="I28" s="52" t="s">
        <v>71</v>
      </c>
      <c r="J28" s="52" t="s">
        <v>72</v>
      </c>
      <c r="K28" s="52" t="s">
        <v>73</v>
      </c>
      <c r="L28" s="52" t="s">
        <v>74</v>
      </c>
      <c r="M28" s="52" t="s">
        <v>75</v>
      </c>
      <c r="N28" s="52" t="s">
        <v>76</v>
      </c>
      <c r="O28" s="52" t="s">
        <v>245</v>
      </c>
      <c r="P28" s="52" t="s">
        <v>246</v>
      </c>
      <c r="Q28" s="52" t="s">
        <v>247</v>
      </c>
      <c r="R28" s="52" t="s">
        <v>248</v>
      </c>
      <c r="S28" s="52" t="s">
        <v>249</v>
      </c>
      <c r="T28" s="52" t="s">
        <v>250</v>
      </c>
      <c r="U28" s="52" t="s">
        <v>251</v>
      </c>
      <c r="V28" s="52" t="s">
        <v>252</v>
      </c>
      <c r="W28" s="52" t="s">
        <v>253</v>
      </c>
      <c r="X28" s="52" t="s">
        <v>254</v>
      </c>
    </row>
    <row r="29" spans="1:24" x14ac:dyDescent="0.3">
      <c r="A29" t="s">
        <v>77</v>
      </c>
      <c r="B29" s="88"/>
      <c r="C29" s="88"/>
      <c r="D29" s="88"/>
      <c r="E29" s="55">
        <v>0.16</v>
      </c>
      <c r="F29" s="55">
        <v>0.22</v>
      </c>
      <c r="G29" s="55">
        <v>0.28000000000000003</v>
      </c>
      <c r="H29" s="55">
        <v>0.32</v>
      </c>
      <c r="I29" s="55">
        <v>0.36</v>
      </c>
      <c r="J29" s="55">
        <v>0.3</v>
      </c>
      <c r="K29" s="55">
        <v>0.25</v>
      </c>
      <c r="L29" s="55">
        <v>0.2</v>
      </c>
      <c r="M29" s="55">
        <v>0.17</v>
      </c>
      <c r="N29" s="55">
        <v>0.14000000000000001</v>
      </c>
      <c r="O29" s="55">
        <v>0.13</v>
      </c>
      <c r="P29" s="55">
        <v>0.12</v>
      </c>
      <c r="Q29" s="55">
        <v>0.11</v>
      </c>
      <c r="R29" s="55">
        <v>0.1</v>
      </c>
      <c r="S29" s="55">
        <v>0.09</v>
      </c>
      <c r="T29" s="55">
        <v>0.08</v>
      </c>
      <c r="U29" s="55">
        <v>7.0000000000000007E-2</v>
      </c>
      <c r="V29" s="55">
        <v>0.06</v>
      </c>
      <c r="W29" s="55">
        <v>0.05</v>
      </c>
      <c r="X29" s="55">
        <v>0.04</v>
      </c>
    </row>
    <row r="30" spans="1:24" x14ac:dyDescent="0.3">
      <c r="A30" t="s">
        <v>78</v>
      </c>
      <c r="B30" s="88"/>
      <c r="C30" s="88"/>
      <c r="D30" s="88"/>
      <c r="E30" s="55">
        <v>0.18</v>
      </c>
      <c r="F30" s="55">
        <v>0.24</v>
      </c>
      <c r="G30" s="55">
        <v>0.32</v>
      </c>
      <c r="H30" s="55">
        <v>0.4</v>
      </c>
      <c r="I30" s="55">
        <v>0.46</v>
      </c>
      <c r="J30" s="55">
        <v>0.5</v>
      </c>
      <c r="K30" s="55">
        <v>0.52</v>
      </c>
      <c r="L30" s="55">
        <v>0.53</v>
      </c>
      <c r="M30" s="55">
        <v>0.54</v>
      </c>
      <c r="N30" s="55">
        <v>0.55000000000000004</v>
      </c>
      <c r="O30" s="55">
        <v>0.56000000000000005</v>
      </c>
      <c r="P30" s="55">
        <v>0.56999999999999995</v>
      </c>
      <c r="Q30" s="55">
        <v>0.57999999999999996</v>
      </c>
      <c r="R30" s="55">
        <v>0.59</v>
      </c>
      <c r="S30" s="55">
        <v>0.59</v>
      </c>
      <c r="T30" s="55">
        <v>0.6</v>
      </c>
      <c r="U30" s="55">
        <v>0.61</v>
      </c>
      <c r="V30" s="55">
        <v>0.61</v>
      </c>
      <c r="W30" s="55">
        <v>0.62</v>
      </c>
      <c r="X30" s="55">
        <v>0.62</v>
      </c>
    </row>
    <row r="31" spans="1:24" x14ac:dyDescent="0.3">
      <c r="A31" t="s">
        <v>79</v>
      </c>
      <c r="B31" s="88"/>
      <c r="C31" s="88"/>
      <c r="D31" s="88"/>
      <c r="E31" s="55">
        <v>0.19</v>
      </c>
      <c r="F31" s="55">
        <v>0.18</v>
      </c>
      <c r="G31" s="55">
        <v>0.17</v>
      </c>
      <c r="H31" s="55">
        <v>0.16</v>
      </c>
      <c r="I31" s="55">
        <v>0.15</v>
      </c>
      <c r="J31" s="55">
        <v>0.14000000000000001</v>
      </c>
      <c r="K31" s="55">
        <v>0.14000000000000001</v>
      </c>
      <c r="L31" s="55">
        <v>0.13</v>
      </c>
      <c r="M31" s="55">
        <v>0.13</v>
      </c>
      <c r="N31" s="55">
        <v>0.12</v>
      </c>
      <c r="O31" s="55">
        <v>0.12</v>
      </c>
      <c r="P31" s="55">
        <v>0.115</v>
      </c>
      <c r="Q31" s="55">
        <v>0.11</v>
      </c>
      <c r="R31" s="55">
        <v>0.11</v>
      </c>
      <c r="S31" s="55">
        <v>0.105</v>
      </c>
      <c r="T31" s="55">
        <v>0.105</v>
      </c>
      <c r="U31" s="55">
        <v>0.1</v>
      </c>
      <c r="V31" s="55">
        <v>0.1</v>
      </c>
      <c r="W31" s="55">
        <v>0.1</v>
      </c>
      <c r="X31" s="55">
        <v>0.1</v>
      </c>
    </row>
    <row r="32" spans="1:24" x14ac:dyDescent="0.3">
      <c r="A32" t="s">
        <v>80</v>
      </c>
      <c r="B32" s="88"/>
      <c r="C32" s="88"/>
      <c r="D32" s="88"/>
      <c r="E32" s="55">
        <v>0.7</v>
      </c>
      <c r="F32" s="55">
        <v>0.6</v>
      </c>
      <c r="G32" s="55">
        <v>0.5</v>
      </c>
      <c r="H32" s="55">
        <v>0.4</v>
      </c>
      <c r="I32" s="55">
        <v>0.31</v>
      </c>
      <c r="J32" s="55">
        <v>0.24</v>
      </c>
      <c r="K32" s="55">
        <v>0.19</v>
      </c>
      <c r="L32" s="55">
        <v>0.16</v>
      </c>
      <c r="M32" s="55">
        <v>0.13</v>
      </c>
      <c r="N32" s="55">
        <v>0.11</v>
      </c>
      <c r="O32" s="55">
        <v>0.11</v>
      </c>
      <c r="P32" s="55">
        <v>0.105</v>
      </c>
      <c r="Q32" s="55">
        <v>0.1</v>
      </c>
      <c r="R32" s="55">
        <v>9.8000000000000004E-2</v>
      </c>
      <c r="S32" s="55">
        <v>9.5000000000000001E-2</v>
      </c>
      <c r="T32" s="55">
        <v>9.1999999999999998E-2</v>
      </c>
      <c r="U32" s="55">
        <v>0.09</v>
      </c>
      <c r="V32" s="55">
        <v>8.7999999999999995E-2</v>
      </c>
      <c r="W32" s="55">
        <v>8.5000000000000006E-2</v>
      </c>
      <c r="X32" s="55">
        <v>0.08</v>
      </c>
    </row>
    <row r="33" spans="1:24" x14ac:dyDescent="0.3">
      <c r="A33" t="s">
        <v>81</v>
      </c>
      <c r="B33" s="88"/>
      <c r="C33" s="88"/>
      <c r="D33" s="88"/>
      <c r="E33" s="55">
        <v>0.04</v>
      </c>
      <c r="F33" s="55">
        <v>0.04</v>
      </c>
      <c r="G33" s="55">
        <v>0.04</v>
      </c>
      <c r="H33" s="55">
        <v>0.03</v>
      </c>
      <c r="I33" s="55">
        <v>0.03</v>
      </c>
      <c r="J33" s="55">
        <v>0.03</v>
      </c>
      <c r="K33" s="55">
        <v>0.02</v>
      </c>
      <c r="L33" s="55">
        <v>0.02</v>
      </c>
      <c r="M33" s="55">
        <v>0.02</v>
      </c>
      <c r="N33" s="55">
        <v>0.02</v>
      </c>
      <c r="O33" s="55">
        <v>0.02</v>
      </c>
      <c r="P33" s="55">
        <v>1.7999999999999999E-2</v>
      </c>
      <c r="Q33" s="55">
        <v>1.7999999999999999E-2</v>
      </c>
      <c r="R33" s="55">
        <v>1.4999999999999999E-2</v>
      </c>
      <c r="S33" s="55">
        <v>1.4999999999999999E-2</v>
      </c>
      <c r="T33" s="55">
        <v>1.4999999999999999E-2</v>
      </c>
      <c r="U33" s="55">
        <v>1.2E-2</v>
      </c>
      <c r="V33" s="55">
        <v>1.2E-2</v>
      </c>
      <c r="W33" s="55">
        <v>1.2E-2</v>
      </c>
      <c r="X33" s="55">
        <v>1.2E-2</v>
      </c>
    </row>
    <row r="34" spans="1:24" x14ac:dyDescent="0.3">
      <c r="A34" t="s">
        <v>82</v>
      </c>
      <c r="B34" s="143">
        <f>WACC!E48</f>
        <v>0.03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 spans="1:24" x14ac:dyDescent="0.3">
      <c r="A35" t="s">
        <v>57</v>
      </c>
      <c r="B35" s="87">
        <f>WACC!B48</f>
        <v>7.9328831862053625E-2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 spans="1:24" x14ac:dyDescent="0.3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 spans="1:24" x14ac:dyDescent="0.3">
      <c r="A37" s="5" t="s">
        <v>128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1:24" x14ac:dyDescent="0.3">
      <c r="A38" s="6"/>
      <c r="B38" s="52" t="s">
        <v>64</v>
      </c>
      <c r="C38" s="52" t="s">
        <v>65</v>
      </c>
      <c r="D38" s="52" t="s">
        <v>66</v>
      </c>
      <c r="E38" s="52" t="s">
        <v>67</v>
      </c>
      <c r="F38" s="52" t="s">
        <v>68</v>
      </c>
      <c r="G38" s="52" t="s">
        <v>69</v>
      </c>
      <c r="H38" s="52" t="s">
        <v>70</v>
      </c>
      <c r="I38" s="52" t="s">
        <v>71</v>
      </c>
      <c r="J38" s="52" t="s">
        <v>72</v>
      </c>
      <c r="K38" s="52" t="s">
        <v>73</v>
      </c>
      <c r="L38" s="52" t="s">
        <v>74</v>
      </c>
      <c r="M38" s="52" t="s">
        <v>75</v>
      </c>
      <c r="N38" s="52" t="s">
        <v>76</v>
      </c>
      <c r="O38" s="52" t="s">
        <v>245</v>
      </c>
      <c r="P38" s="52" t="s">
        <v>246</v>
      </c>
      <c r="Q38" s="52" t="s">
        <v>247</v>
      </c>
      <c r="R38" s="52" t="s">
        <v>248</v>
      </c>
      <c r="S38" s="52" t="s">
        <v>249</v>
      </c>
      <c r="T38" s="52" t="s">
        <v>250</v>
      </c>
      <c r="U38" s="52" t="s">
        <v>251</v>
      </c>
      <c r="V38" s="52" t="s">
        <v>252</v>
      </c>
      <c r="W38" s="52" t="s">
        <v>253</v>
      </c>
      <c r="X38" s="52" t="s">
        <v>254</v>
      </c>
    </row>
    <row r="39" spans="1:24" x14ac:dyDescent="0.3">
      <c r="A39" t="s">
        <v>77</v>
      </c>
      <c r="B39" s="54"/>
      <c r="C39" s="54"/>
      <c r="D39" s="54"/>
      <c r="E39" s="85">
        <f t="shared" ref="E39:N39" si="0">IF($B$5=1,E9,IF($B$5=2,E19,E29))</f>
        <v>0.1</v>
      </c>
      <c r="F39" s="85">
        <f t="shared" si="0"/>
        <v>0.14000000000000001</v>
      </c>
      <c r="G39" s="85">
        <f t="shared" si="0"/>
        <v>0.18</v>
      </c>
      <c r="H39" s="85">
        <f t="shared" si="0"/>
        <v>0.22</v>
      </c>
      <c r="I39" s="85">
        <f t="shared" si="0"/>
        <v>0.26</v>
      </c>
      <c r="J39" s="85">
        <f t="shared" si="0"/>
        <v>0.22</v>
      </c>
      <c r="K39" s="85">
        <f t="shared" si="0"/>
        <v>0.18</v>
      </c>
      <c r="L39" s="85">
        <f t="shared" si="0"/>
        <v>0.15</v>
      </c>
      <c r="M39" s="85">
        <f t="shared" si="0"/>
        <v>0.13</v>
      </c>
      <c r="N39" s="85">
        <f t="shared" si="0"/>
        <v>0.11</v>
      </c>
      <c r="O39" s="64">
        <f t="shared" ref="O39:X39" si="1">IF($B$5=1,O9,IF($B$5=2,O19,O29))</f>
        <v>0.1</v>
      </c>
      <c r="P39" s="64">
        <f t="shared" si="1"/>
        <v>0.09</v>
      </c>
      <c r="Q39" s="64">
        <f t="shared" si="1"/>
        <v>0.08</v>
      </c>
      <c r="R39" s="64">
        <f t="shared" si="1"/>
        <v>7.0000000000000007E-2</v>
      </c>
      <c r="S39" s="64">
        <f t="shared" si="1"/>
        <v>0.06</v>
      </c>
      <c r="T39" s="64">
        <f t="shared" si="1"/>
        <v>0.05</v>
      </c>
      <c r="U39" s="64">
        <f t="shared" si="1"/>
        <v>4.4999999999999998E-2</v>
      </c>
      <c r="V39" s="64">
        <f t="shared" si="1"/>
        <v>0.04</v>
      </c>
      <c r="W39" s="64">
        <f t="shared" si="1"/>
        <v>3.5000000000000003E-2</v>
      </c>
      <c r="X39" s="64">
        <f t="shared" si="1"/>
        <v>0.03</v>
      </c>
    </row>
    <row r="40" spans="1:24" x14ac:dyDescent="0.3">
      <c r="A40" t="s">
        <v>78</v>
      </c>
      <c r="B40" s="54"/>
      <c r="C40" s="54"/>
      <c r="D40" s="54"/>
      <c r="E40" s="85">
        <f t="shared" ref="E40:N40" si="2">IF($B$5=1,E10,IF($B$5=2,E20,E30))</f>
        <v>0.14000000000000001</v>
      </c>
      <c r="F40" s="85">
        <f t="shared" si="2"/>
        <v>0.18</v>
      </c>
      <c r="G40" s="85">
        <f t="shared" si="2"/>
        <v>0.24</v>
      </c>
      <c r="H40" s="85">
        <f t="shared" si="2"/>
        <v>0.3</v>
      </c>
      <c r="I40" s="85">
        <f t="shared" si="2"/>
        <v>0.36</v>
      </c>
      <c r="J40" s="85">
        <f t="shared" si="2"/>
        <v>0.41</v>
      </c>
      <c r="K40" s="85">
        <f t="shared" si="2"/>
        <v>0.45</v>
      </c>
      <c r="L40" s="85">
        <f t="shared" si="2"/>
        <v>0.47</v>
      </c>
      <c r="M40" s="85">
        <f t="shared" si="2"/>
        <v>0.48</v>
      </c>
      <c r="N40" s="85">
        <f t="shared" si="2"/>
        <v>0.49</v>
      </c>
      <c r="O40" s="64">
        <f t="shared" ref="O40:X40" si="3">IF($B$5=1,O10,IF($B$5=2,O20,O30))</f>
        <v>0.5</v>
      </c>
      <c r="P40" s="64">
        <f t="shared" si="3"/>
        <v>0.51</v>
      </c>
      <c r="Q40" s="64">
        <f t="shared" si="3"/>
        <v>0.52</v>
      </c>
      <c r="R40" s="64">
        <f t="shared" si="3"/>
        <v>0.52</v>
      </c>
      <c r="S40" s="64">
        <f t="shared" si="3"/>
        <v>0.53</v>
      </c>
      <c r="T40" s="64">
        <f t="shared" si="3"/>
        <v>0.54</v>
      </c>
      <c r="U40" s="64">
        <f t="shared" si="3"/>
        <v>0.54</v>
      </c>
      <c r="V40" s="64">
        <f t="shared" si="3"/>
        <v>0.55000000000000004</v>
      </c>
      <c r="W40" s="64">
        <f t="shared" si="3"/>
        <v>0.55000000000000004</v>
      </c>
      <c r="X40" s="64">
        <f t="shared" si="3"/>
        <v>0.56000000000000005</v>
      </c>
    </row>
    <row r="41" spans="1:24" x14ac:dyDescent="0.3">
      <c r="A41" t="s">
        <v>79</v>
      </c>
      <c r="B41" s="54"/>
      <c r="C41" s="54"/>
      <c r="D41" s="54"/>
      <c r="E41" s="85">
        <f t="shared" ref="E41:N41" si="4">IF($B$5=1,E11,IF($B$5=2,E21,E31))</f>
        <v>0.19</v>
      </c>
      <c r="F41" s="85">
        <f t="shared" si="4"/>
        <v>0.18</v>
      </c>
      <c r="G41" s="85">
        <f t="shared" si="4"/>
        <v>0.17</v>
      </c>
      <c r="H41" s="85">
        <f t="shared" si="4"/>
        <v>0.16</v>
      </c>
      <c r="I41" s="85">
        <f t="shared" si="4"/>
        <v>0.15</v>
      </c>
      <c r="J41" s="85">
        <f t="shared" si="4"/>
        <v>0.14000000000000001</v>
      </c>
      <c r="K41" s="85">
        <f t="shared" si="4"/>
        <v>0.14000000000000001</v>
      </c>
      <c r="L41" s="85">
        <f t="shared" si="4"/>
        <v>0.13</v>
      </c>
      <c r="M41" s="85">
        <f t="shared" si="4"/>
        <v>0.13</v>
      </c>
      <c r="N41" s="85">
        <f t="shared" si="4"/>
        <v>0.12</v>
      </c>
      <c r="O41" s="64">
        <f t="shared" ref="O41:X41" si="5">IF($B$5=1,O11,IF($B$5=2,O21,O31))</f>
        <v>0.12</v>
      </c>
      <c r="P41" s="64">
        <f t="shared" si="5"/>
        <v>0.115</v>
      </c>
      <c r="Q41" s="64">
        <f t="shared" si="5"/>
        <v>0.115</v>
      </c>
      <c r="R41" s="64">
        <f t="shared" si="5"/>
        <v>0.11</v>
      </c>
      <c r="S41" s="64">
        <f t="shared" si="5"/>
        <v>0.11</v>
      </c>
      <c r="T41" s="64">
        <f t="shared" si="5"/>
        <v>0.11</v>
      </c>
      <c r="U41" s="64">
        <f t="shared" si="5"/>
        <v>0.105</v>
      </c>
      <c r="V41" s="64">
        <f t="shared" si="5"/>
        <v>0.105</v>
      </c>
      <c r="W41" s="64">
        <f t="shared" si="5"/>
        <v>0.105</v>
      </c>
      <c r="X41" s="64">
        <f t="shared" si="5"/>
        <v>0.105</v>
      </c>
    </row>
    <row r="42" spans="1:24" x14ac:dyDescent="0.3">
      <c r="A42" t="s">
        <v>80</v>
      </c>
      <c r="B42" s="54"/>
      <c r="C42" s="54"/>
      <c r="D42" s="54"/>
      <c r="E42" s="85">
        <f t="shared" ref="E42:N42" si="6">IF($B$5=1,E12,IF($B$5=2,E22,E32))</f>
        <v>0.75</v>
      </c>
      <c r="F42" s="85">
        <f t="shared" si="6"/>
        <v>0.65</v>
      </c>
      <c r="G42" s="85">
        <f t="shared" si="6"/>
        <v>0.55000000000000004</v>
      </c>
      <c r="H42" s="85">
        <f t="shared" si="6"/>
        <v>0.45</v>
      </c>
      <c r="I42" s="85">
        <f t="shared" si="6"/>
        <v>0.36</v>
      </c>
      <c r="J42" s="85">
        <f t="shared" si="6"/>
        <v>0.28000000000000003</v>
      </c>
      <c r="K42" s="85">
        <f t="shared" si="6"/>
        <v>0.22</v>
      </c>
      <c r="L42" s="85">
        <f t="shared" si="6"/>
        <v>0.18</v>
      </c>
      <c r="M42" s="85">
        <f t="shared" si="6"/>
        <v>0.15</v>
      </c>
      <c r="N42" s="85">
        <f t="shared" si="6"/>
        <v>0.13</v>
      </c>
      <c r="O42" s="64">
        <f t="shared" ref="O42:X42" si="7">IF($B$5=1,O12,IF($B$5=2,O22,O32))</f>
        <v>0.125</v>
      </c>
      <c r="P42" s="64">
        <f t="shared" si="7"/>
        <v>0.12</v>
      </c>
      <c r="Q42" s="64">
        <f t="shared" si="7"/>
        <v>0.115</v>
      </c>
      <c r="R42" s="64">
        <f t="shared" si="7"/>
        <v>0.11</v>
      </c>
      <c r="S42" s="64">
        <f t="shared" si="7"/>
        <v>0.105</v>
      </c>
      <c r="T42" s="64">
        <f t="shared" si="7"/>
        <v>0.1</v>
      </c>
      <c r="U42" s="64">
        <f t="shared" si="7"/>
        <v>9.8000000000000004E-2</v>
      </c>
      <c r="V42" s="64">
        <f t="shared" si="7"/>
        <v>9.5000000000000001E-2</v>
      </c>
      <c r="W42" s="64">
        <f t="shared" si="7"/>
        <v>9.1999999999999998E-2</v>
      </c>
      <c r="X42" s="64">
        <f t="shared" si="7"/>
        <v>0.09</v>
      </c>
    </row>
    <row r="43" spans="1:24" x14ac:dyDescent="0.3">
      <c r="A43" t="s">
        <v>81</v>
      </c>
      <c r="B43" s="54"/>
      <c r="C43" s="54"/>
      <c r="D43" s="54"/>
      <c r="E43" s="85">
        <f t="shared" ref="E43:N43" si="8">IF($B$5=1,E13,IF($B$5=2,E23,E33))</f>
        <v>0.05</v>
      </c>
      <c r="F43" s="85">
        <f t="shared" si="8"/>
        <v>0.05</v>
      </c>
      <c r="G43" s="85">
        <f t="shared" si="8"/>
        <v>0.05</v>
      </c>
      <c r="H43" s="85">
        <f t="shared" si="8"/>
        <v>0.04</v>
      </c>
      <c r="I43" s="85">
        <f t="shared" si="8"/>
        <v>0.04</v>
      </c>
      <c r="J43" s="85">
        <f t="shared" si="8"/>
        <v>0.04</v>
      </c>
      <c r="K43" s="85">
        <f t="shared" si="8"/>
        <v>0.03</v>
      </c>
      <c r="L43" s="85">
        <f t="shared" si="8"/>
        <v>0.03</v>
      </c>
      <c r="M43" s="85">
        <f t="shared" si="8"/>
        <v>0.02</v>
      </c>
      <c r="N43" s="85">
        <f t="shared" si="8"/>
        <v>0.02</v>
      </c>
      <c r="O43" s="64">
        <f t="shared" ref="O43:X43" si="9">IF($B$5=1,O13,IF($B$5=2,O23,O33))</f>
        <v>0.02</v>
      </c>
      <c r="P43" s="64">
        <f t="shared" si="9"/>
        <v>0.02</v>
      </c>
      <c r="Q43" s="64">
        <f t="shared" si="9"/>
        <v>0.02</v>
      </c>
      <c r="R43" s="64">
        <f t="shared" si="9"/>
        <v>1.7999999999999999E-2</v>
      </c>
      <c r="S43" s="64">
        <f t="shared" si="9"/>
        <v>1.7999999999999999E-2</v>
      </c>
      <c r="T43" s="64">
        <f t="shared" si="9"/>
        <v>1.4999999999999999E-2</v>
      </c>
      <c r="U43" s="64">
        <f t="shared" si="9"/>
        <v>1.4999999999999999E-2</v>
      </c>
      <c r="V43" s="64">
        <f t="shared" si="9"/>
        <v>1.4999999999999999E-2</v>
      </c>
      <c r="W43" s="64">
        <f t="shared" si="9"/>
        <v>1.4999999999999999E-2</v>
      </c>
      <c r="X43" s="64">
        <f t="shared" si="9"/>
        <v>1.4999999999999999E-2</v>
      </c>
    </row>
    <row r="44" spans="1:24" x14ac:dyDescent="0.3">
      <c r="A44" t="s">
        <v>82</v>
      </c>
      <c r="B44" s="86">
        <f>IF($B$5=1,B14,IF($B$5=2,B24,B34))</f>
        <v>2.5000000000000001E-2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 spans="1:24" x14ac:dyDescent="0.3">
      <c r="A45" t="s">
        <v>57</v>
      </c>
      <c r="B45" s="87">
        <f>IF($B$5=1,B15,IF($B$5=2,B25,B35))</f>
        <v>7.9328831862053625E-2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 spans="1:24" x14ac:dyDescent="0.3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 spans="1:24" x14ac:dyDescent="0.3">
      <c r="A47" s="5" t="s">
        <v>129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0"/>
      <c r="P47" s="90"/>
      <c r="Q47" s="90"/>
      <c r="R47" s="90"/>
      <c r="S47" s="90"/>
      <c r="T47" s="90"/>
      <c r="U47" s="90"/>
      <c r="V47" s="90"/>
      <c r="W47" s="90"/>
      <c r="X47" s="90"/>
    </row>
    <row r="48" spans="1:24" x14ac:dyDescent="0.3">
      <c r="A48" s="6"/>
      <c r="B48" s="52" t="s">
        <v>64</v>
      </c>
      <c r="C48" s="52" t="s">
        <v>65</v>
      </c>
      <c r="D48" s="326" t="s">
        <v>66</v>
      </c>
      <c r="E48" s="52" t="s">
        <v>67</v>
      </c>
      <c r="F48" s="52" t="s">
        <v>68</v>
      </c>
      <c r="G48" s="52" t="s">
        <v>69</v>
      </c>
      <c r="H48" s="52" t="s">
        <v>70</v>
      </c>
      <c r="I48" s="52" t="s">
        <v>71</v>
      </c>
      <c r="J48" s="52" t="s">
        <v>72</v>
      </c>
      <c r="K48" s="52" t="s">
        <v>73</v>
      </c>
      <c r="L48" s="52" t="s">
        <v>74</v>
      </c>
      <c r="M48" s="52" t="s">
        <v>75</v>
      </c>
      <c r="N48" s="52" t="s">
        <v>76</v>
      </c>
      <c r="O48" s="52" t="s">
        <v>245</v>
      </c>
      <c r="P48" s="52" t="s">
        <v>246</v>
      </c>
      <c r="Q48" s="52" t="s">
        <v>247</v>
      </c>
      <c r="R48" s="52" t="s">
        <v>248</v>
      </c>
      <c r="S48" s="52" t="s">
        <v>249</v>
      </c>
      <c r="T48" s="52" t="s">
        <v>250</v>
      </c>
      <c r="U48" s="52" t="s">
        <v>251</v>
      </c>
      <c r="V48" s="52" t="s">
        <v>252</v>
      </c>
      <c r="W48" s="52" t="s">
        <v>253</v>
      </c>
      <c r="X48" s="52" t="s">
        <v>254</v>
      </c>
    </row>
    <row r="49" spans="1:24" x14ac:dyDescent="0.3">
      <c r="A49" t="s">
        <v>87</v>
      </c>
      <c r="B49" s="91">
        <v>3557</v>
      </c>
      <c r="C49" s="91">
        <v>3796</v>
      </c>
      <c r="D49" s="154">
        <f>Actuals!D8</f>
        <v>4086</v>
      </c>
      <c r="E49" s="92">
        <f t="shared" ref="E49:N49" si="10">D49*(1+E39)</f>
        <v>4494.6000000000004</v>
      </c>
      <c r="F49" s="92">
        <f t="shared" si="10"/>
        <v>5123.844000000001</v>
      </c>
      <c r="G49" s="92">
        <f t="shared" si="10"/>
        <v>6046.1359200000006</v>
      </c>
      <c r="H49" s="92">
        <f t="shared" si="10"/>
        <v>7376.2858224000011</v>
      </c>
      <c r="I49" s="92">
        <f t="shared" si="10"/>
        <v>9294.1201362240008</v>
      </c>
      <c r="J49" s="92">
        <f t="shared" si="10"/>
        <v>11338.82656619328</v>
      </c>
      <c r="K49" s="92">
        <f t="shared" si="10"/>
        <v>13379.81534810807</v>
      </c>
      <c r="L49" s="92">
        <f t="shared" si="10"/>
        <v>15386.787650324279</v>
      </c>
      <c r="M49" s="92">
        <f t="shared" si="10"/>
        <v>17387.070044866432</v>
      </c>
      <c r="N49" s="92">
        <f t="shared" si="10"/>
        <v>19299.647749801741</v>
      </c>
      <c r="O49" s="92">
        <f t="shared" ref="O49:X49" si="11">N49*(1+O39)</f>
        <v>21229.612524781918</v>
      </c>
      <c r="P49" s="92">
        <f t="shared" si="11"/>
        <v>23140.277652012293</v>
      </c>
      <c r="Q49" s="92">
        <f t="shared" si="11"/>
        <v>24991.499864173278</v>
      </c>
      <c r="R49" s="92">
        <f t="shared" si="11"/>
        <v>26740.904854665408</v>
      </c>
      <c r="S49" s="92">
        <f t="shared" si="11"/>
        <v>28345.359145945335</v>
      </c>
      <c r="T49" s="92">
        <f t="shared" si="11"/>
        <v>29762.627103242601</v>
      </c>
      <c r="U49" s="92">
        <f t="shared" si="11"/>
        <v>31101.945322888518</v>
      </c>
      <c r="V49" s="92">
        <f t="shared" si="11"/>
        <v>32346.023135804058</v>
      </c>
      <c r="W49" s="92">
        <f t="shared" si="11"/>
        <v>33478.133945557194</v>
      </c>
      <c r="X49" s="92">
        <f t="shared" si="11"/>
        <v>34482.477963923913</v>
      </c>
    </row>
    <row r="50" spans="1:24" x14ac:dyDescent="0.3">
      <c r="A50" t="s">
        <v>88</v>
      </c>
      <c r="B50" s="93"/>
      <c r="C50" s="93">
        <f t="shared" ref="C50:N50" si="12">C49/B49-1</f>
        <v>6.7191453472027041E-2</v>
      </c>
      <c r="D50" s="155">
        <f t="shared" si="12"/>
        <v>7.6396206533192901E-2</v>
      </c>
      <c r="E50" s="64">
        <f t="shared" si="12"/>
        <v>0.10000000000000009</v>
      </c>
      <c r="F50" s="64">
        <f t="shared" si="12"/>
        <v>0.14000000000000012</v>
      </c>
      <c r="G50" s="64">
        <f t="shared" si="12"/>
        <v>0.17999999999999994</v>
      </c>
      <c r="H50" s="64">
        <f t="shared" si="12"/>
        <v>0.21999999999999997</v>
      </c>
      <c r="I50" s="64">
        <f t="shared" si="12"/>
        <v>0.26</v>
      </c>
      <c r="J50" s="64">
        <f t="shared" si="12"/>
        <v>0.21999999999999997</v>
      </c>
      <c r="K50" s="64">
        <f t="shared" si="12"/>
        <v>0.17999999999999994</v>
      </c>
      <c r="L50" s="64">
        <f t="shared" si="12"/>
        <v>0.14999999999999991</v>
      </c>
      <c r="M50" s="64">
        <f t="shared" si="12"/>
        <v>0.12999999999999989</v>
      </c>
      <c r="N50" s="64">
        <f t="shared" si="12"/>
        <v>0.1100000000000001</v>
      </c>
      <c r="O50" s="64">
        <f t="shared" ref="O50:X50" si="13">O49/N49-1</f>
        <v>0.10000000000000009</v>
      </c>
      <c r="P50" s="64">
        <f t="shared" si="13"/>
        <v>9.000000000000008E-2</v>
      </c>
      <c r="Q50" s="64">
        <f t="shared" si="13"/>
        <v>8.0000000000000071E-2</v>
      </c>
      <c r="R50" s="64">
        <f t="shared" si="13"/>
        <v>7.0000000000000062E-2</v>
      </c>
      <c r="S50" s="64">
        <f t="shared" si="13"/>
        <v>6.0000000000000053E-2</v>
      </c>
      <c r="T50" s="64">
        <f t="shared" si="13"/>
        <v>5.0000000000000044E-2</v>
      </c>
      <c r="U50" s="64">
        <f t="shared" si="13"/>
        <v>4.4999999999999929E-2</v>
      </c>
      <c r="V50" s="64">
        <f t="shared" si="13"/>
        <v>4.0000000000000036E-2</v>
      </c>
      <c r="W50" s="64">
        <f t="shared" si="13"/>
        <v>3.499999999999992E-2</v>
      </c>
      <c r="X50" s="64">
        <f t="shared" si="13"/>
        <v>3.0000000000000027E-2</v>
      </c>
    </row>
    <row r="51" spans="1:24" x14ac:dyDescent="0.3">
      <c r="A51" t="s">
        <v>90</v>
      </c>
      <c r="B51" s="91">
        <v>570</v>
      </c>
      <c r="C51" s="91">
        <v>658</v>
      </c>
      <c r="D51" s="154">
        <f>Actuals!D11</f>
        <v>653</v>
      </c>
      <c r="E51" s="92">
        <f t="shared" ref="E51:N51" si="14">E49*E40</f>
        <v>629.24400000000014</v>
      </c>
      <c r="F51" s="92">
        <f t="shared" si="14"/>
        <v>922.29192000000012</v>
      </c>
      <c r="G51" s="92">
        <f t="shared" si="14"/>
        <v>1451.0726208000001</v>
      </c>
      <c r="H51" s="92">
        <f t="shared" si="14"/>
        <v>2212.88574672</v>
      </c>
      <c r="I51" s="92">
        <f t="shared" si="14"/>
        <v>3345.8832490406403</v>
      </c>
      <c r="J51" s="92">
        <f t="shared" si="14"/>
        <v>4648.9188921392442</v>
      </c>
      <c r="K51" s="92">
        <f t="shared" si="14"/>
        <v>6020.916906648632</v>
      </c>
      <c r="L51" s="92">
        <f t="shared" si="14"/>
        <v>7231.7901956524101</v>
      </c>
      <c r="M51" s="92">
        <f t="shared" si="14"/>
        <v>8345.7936215358877</v>
      </c>
      <c r="N51" s="92">
        <f t="shared" si="14"/>
        <v>9456.8273974028525</v>
      </c>
      <c r="O51" s="92">
        <f t="shared" ref="O51:X51" si="15">O49*O40</f>
        <v>10614.806262390959</v>
      </c>
      <c r="P51" s="92">
        <f t="shared" si="15"/>
        <v>11801.541602526269</v>
      </c>
      <c r="Q51" s="92">
        <f t="shared" si="15"/>
        <v>12995.579929370106</v>
      </c>
      <c r="R51" s="92">
        <f t="shared" si="15"/>
        <v>13905.270524426012</v>
      </c>
      <c r="S51" s="92">
        <f t="shared" si="15"/>
        <v>15023.040347351029</v>
      </c>
      <c r="T51" s="92">
        <f t="shared" si="15"/>
        <v>16071.818635751006</v>
      </c>
      <c r="U51" s="92">
        <f t="shared" si="15"/>
        <v>16795.050474359799</v>
      </c>
      <c r="V51" s="92">
        <f t="shared" si="15"/>
        <v>17790.312724692234</v>
      </c>
      <c r="W51" s="92">
        <f t="shared" si="15"/>
        <v>18412.973670056457</v>
      </c>
      <c r="X51" s="92">
        <f t="shared" si="15"/>
        <v>19310.187659797393</v>
      </c>
    </row>
    <row r="52" spans="1:24" x14ac:dyDescent="0.3">
      <c r="A52" t="s">
        <v>91</v>
      </c>
      <c r="B52" s="93">
        <f t="shared" ref="B52:N52" si="16">B51/B49</f>
        <v>0.16024739949395558</v>
      </c>
      <c r="C52" s="93">
        <f t="shared" si="16"/>
        <v>0.17334035827186511</v>
      </c>
      <c r="D52" s="155">
        <f t="shared" si="16"/>
        <v>0.15981399902104748</v>
      </c>
      <c r="E52" s="64">
        <f t="shared" si="16"/>
        <v>0.14000000000000001</v>
      </c>
      <c r="F52" s="64">
        <f t="shared" si="16"/>
        <v>0.18</v>
      </c>
      <c r="G52" s="64">
        <f t="shared" si="16"/>
        <v>0.24</v>
      </c>
      <c r="H52" s="64">
        <f t="shared" si="16"/>
        <v>0.3</v>
      </c>
      <c r="I52" s="64">
        <f t="shared" si="16"/>
        <v>0.36</v>
      </c>
      <c r="J52" s="64">
        <f t="shared" si="16"/>
        <v>0.40999999999999992</v>
      </c>
      <c r="K52" s="64">
        <f t="shared" si="16"/>
        <v>0.45000000000000007</v>
      </c>
      <c r="L52" s="64">
        <f t="shared" si="16"/>
        <v>0.46999999999999992</v>
      </c>
      <c r="M52" s="64">
        <f t="shared" si="16"/>
        <v>0.48000000000000004</v>
      </c>
      <c r="N52" s="64">
        <f t="shared" si="16"/>
        <v>0.49</v>
      </c>
      <c r="O52" s="64">
        <f t="shared" ref="O52:X52" si="17">O51/O49</f>
        <v>0.5</v>
      </c>
      <c r="P52" s="64">
        <f t="shared" si="17"/>
        <v>0.51</v>
      </c>
      <c r="Q52" s="64">
        <f t="shared" si="17"/>
        <v>0.52</v>
      </c>
      <c r="R52" s="64">
        <f t="shared" si="17"/>
        <v>0.52</v>
      </c>
      <c r="S52" s="64">
        <f t="shared" si="17"/>
        <v>0.53</v>
      </c>
      <c r="T52" s="64">
        <f t="shared" si="17"/>
        <v>0.54</v>
      </c>
      <c r="U52" s="64">
        <f t="shared" si="17"/>
        <v>0.54</v>
      </c>
      <c r="V52" s="64">
        <f t="shared" si="17"/>
        <v>0.55000000000000004</v>
      </c>
      <c r="W52" s="64">
        <f t="shared" si="17"/>
        <v>0.55000000000000004</v>
      </c>
      <c r="X52" s="64">
        <f t="shared" si="17"/>
        <v>0.56000000000000005</v>
      </c>
    </row>
    <row r="53" spans="1:24" x14ac:dyDescent="0.3">
      <c r="A53" t="s">
        <v>92</v>
      </c>
      <c r="B53" s="91">
        <v>571</v>
      </c>
      <c r="C53" s="91">
        <v>637</v>
      </c>
      <c r="D53" s="91">
        <v>757</v>
      </c>
      <c r="E53" s="92">
        <f t="shared" ref="E53:N53" si="18">E49*E41</f>
        <v>853.97400000000005</v>
      </c>
      <c r="F53" s="92">
        <f t="shared" si="18"/>
        <v>922.29192000000012</v>
      </c>
      <c r="G53" s="92">
        <f t="shared" si="18"/>
        <v>1027.8431064000001</v>
      </c>
      <c r="H53" s="92">
        <f t="shared" si="18"/>
        <v>1180.2057315840002</v>
      </c>
      <c r="I53" s="92">
        <f t="shared" si="18"/>
        <v>1394.1180204336001</v>
      </c>
      <c r="J53" s="92">
        <f t="shared" si="18"/>
        <v>1587.4357192670593</v>
      </c>
      <c r="K53" s="92">
        <f t="shared" si="18"/>
        <v>1873.1741487351301</v>
      </c>
      <c r="L53" s="92">
        <f t="shared" si="18"/>
        <v>2000.2823945421562</v>
      </c>
      <c r="M53" s="92">
        <f t="shared" si="18"/>
        <v>2260.3191058326361</v>
      </c>
      <c r="N53" s="92">
        <f t="shared" si="18"/>
        <v>2315.9577299762091</v>
      </c>
      <c r="O53" s="92">
        <f t="shared" ref="O53:X53" si="19">O49*O41</f>
        <v>2547.5535029738303</v>
      </c>
      <c r="P53" s="92">
        <f t="shared" si="19"/>
        <v>2661.131929981414</v>
      </c>
      <c r="Q53" s="92">
        <f t="shared" si="19"/>
        <v>2874.0224843799269</v>
      </c>
      <c r="R53" s="92">
        <f t="shared" si="19"/>
        <v>2941.499534013195</v>
      </c>
      <c r="S53" s="92">
        <f t="shared" si="19"/>
        <v>3117.989506053987</v>
      </c>
      <c r="T53" s="92">
        <f t="shared" si="19"/>
        <v>3273.8889813566861</v>
      </c>
      <c r="U53" s="92">
        <f t="shared" si="19"/>
        <v>3265.7042589032944</v>
      </c>
      <c r="V53" s="92">
        <f t="shared" si="19"/>
        <v>3396.3324292594261</v>
      </c>
      <c r="W53" s="92">
        <f t="shared" si="19"/>
        <v>3515.2040642835054</v>
      </c>
      <c r="X53" s="92">
        <f t="shared" si="19"/>
        <v>3620.6601862120106</v>
      </c>
    </row>
    <row r="54" spans="1:24" x14ac:dyDescent="0.3">
      <c r="A54" t="s">
        <v>93</v>
      </c>
      <c r="B54" s="94">
        <f t="shared" ref="B54:N54" si="20">B51-B53</f>
        <v>-1</v>
      </c>
      <c r="C54" s="94">
        <f t="shared" si="20"/>
        <v>21</v>
      </c>
      <c r="D54" s="94">
        <f t="shared" si="20"/>
        <v>-104</v>
      </c>
      <c r="E54" s="92">
        <f t="shared" si="20"/>
        <v>-224.7299999999999</v>
      </c>
      <c r="F54" s="92">
        <f t="shared" si="20"/>
        <v>0</v>
      </c>
      <c r="G54" s="92">
        <f t="shared" si="20"/>
        <v>423.22951439999997</v>
      </c>
      <c r="H54" s="92">
        <f t="shared" si="20"/>
        <v>1032.6800151359998</v>
      </c>
      <c r="I54" s="92">
        <f t="shared" si="20"/>
        <v>1951.7652286070402</v>
      </c>
      <c r="J54" s="92">
        <f t="shared" si="20"/>
        <v>3061.4831728721847</v>
      </c>
      <c r="K54" s="92">
        <f t="shared" si="20"/>
        <v>4147.7427579135019</v>
      </c>
      <c r="L54" s="92">
        <f t="shared" si="20"/>
        <v>5231.5078011102541</v>
      </c>
      <c r="M54" s="92">
        <f t="shared" si="20"/>
        <v>6085.4745157032521</v>
      </c>
      <c r="N54" s="92">
        <f t="shared" si="20"/>
        <v>7140.869667426643</v>
      </c>
      <c r="O54" s="92">
        <f t="shared" ref="O54:X54" si="21">O51-O53</f>
        <v>8067.2527594171288</v>
      </c>
      <c r="P54" s="92">
        <f t="shared" si="21"/>
        <v>9140.4096725448544</v>
      </c>
      <c r="Q54" s="92">
        <f t="shared" si="21"/>
        <v>10121.55744499018</v>
      </c>
      <c r="R54" s="92">
        <f t="shared" si="21"/>
        <v>10963.770990412817</v>
      </c>
      <c r="S54" s="92">
        <f t="shared" si="21"/>
        <v>11905.050841297041</v>
      </c>
      <c r="T54" s="92">
        <f t="shared" si="21"/>
        <v>12797.92965439432</v>
      </c>
      <c r="U54" s="92">
        <f t="shared" si="21"/>
        <v>13529.346215456506</v>
      </c>
      <c r="V54" s="92">
        <f t="shared" si="21"/>
        <v>14393.980295432808</v>
      </c>
      <c r="W54" s="92">
        <f t="shared" si="21"/>
        <v>14897.769605772952</v>
      </c>
      <c r="X54" s="92">
        <f t="shared" si="21"/>
        <v>15689.527473585382</v>
      </c>
    </row>
    <row r="55" spans="1:24" x14ac:dyDescent="0.3">
      <c r="A55" t="s">
        <v>94</v>
      </c>
      <c r="B55" s="93">
        <f t="shared" ref="B55:N55" si="22">B54/B49</f>
        <v>-2.8113578858588698E-4</v>
      </c>
      <c r="C55" s="93">
        <f t="shared" si="22"/>
        <v>5.5321390937829295E-3</v>
      </c>
      <c r="D55" s="93">
        <f t="shared" si="22"/>
        <v>-2.5452765540871267E-2</v>
      </c>
      <c r="E55" s="64">
        <f t="shared" si="22"/>
        <v>-4.9999999999999975E-2</v>
      </c>
      <c r="F55" s="64">
        <f t="shared" si="22"/>
        <v>0</v>
      </c>
      <c r="G55" s="64">
        <f t="shared" si="22"/>
        <v>6.9999999999999993E-2</v>
      </c>
      <c r="H55" s="64">
        <f t="shared" si="22"/>
        <v>0.13999999999999996</v>
      </c>
      <c r="I55" s="64">
        <f t="shared" si="22"/>
        <v>0.21</v>
      </c>
      <c r="J55" s="64">
        <f t="shared" si="22"/>
        <v>0.26999999999999991</v>
      </c>
      <c r="K55" s="64">
        <f t="shared" si="22"/>
        <v>0.31</v>
      </c>
      <c r="L55" s="64">
        <f t="shared" si="22"/>
        <v>0.33999999999999997</v>
      </c>
      <c r="M55" s="64">
        <f t="shared" si="22"/>
        <v>0.35000000000000003</v>
      </c>
      <c r="N55" s="64">
        <f t="shared" si="22"/>
        <v>0.36999999999999994</v>
      </c>
      <c r="O55" s="64">
        <f t="shared" ref="O55:X55" si="23">O54/O49</f>
        <v>0.38</v>
      </c>
      <c r="P55" s="64">
        <f t="shared" si="23"/>
        <v>0.39499999999999996</v>
      </c>
      <c r="Q55" s="64">
        <f t="shared" si="23"/>
        <v>0.40500000000000008</v>
      </c>
      <c r="R55" s="64">
        <f t="shared" si="23"/>
        <v>0.41</v>
      </c>
      <c r="S55" s="64">
        <f t="shared" si="23"/>
        <v>0.42000000000000004</v>
      </c>
      <c r="T55" s="64">
        <f t="shared" si="23"/>
        <v>0.43000000000000005</v>
      </c>
      <c r="U55" s="64">
        <f t="shared" si="23"/>
        <v>0.435</v>
      </c>
      <c r="V55" s="64">
        <f t="shared" si="23"/>
        <v>0.44500000000000006</v>
      </c>
      <c r="W55" s="64">
        <f t="shared" si="23"/>
        <v>0.44500000000000001</v>
      </c>
      <c r="X55" s="64">
        <f t="shared" si="23"/>
        <v>0.45500000000000002</v>
      </c>
    </row>
    <row r="56" spans="1:24" x14ac:dyDescent="0.3">
      <c r="A56" t="s">
        <v>130</v>
      </c>
      <c r="B56" s="94">
        <f>MAX(B54,0)*WACC!$B$8</f>
        <v>0</v>
      </c>
      <c r="C56" s="94">
        <f>MAX(C54,0)*WACC!$B$8</f>
        <v>4.41</v>
      </c>
      <c r="D56" s="94">
        <f>MAX(D54,0)*WACC!$B$8</f>
        <v>0</v>
      </c>
      <c r="E56" s="92">
        <f>MAX(E54,0)*WACC!$B$8</f>
        <v>0</v>
      </c>
      <c r="F56" s="92">
        <f>MAX(F54,0)*WACC!$B$8</f>
        <v>0</v>
      </c>
      <c r="G56" s="92">
        <f>MAX(G54,0)*WACC!$B$8</f>
        <v>88.878198023999985</v>
      </c>
      <c r="H56" s="92">
        <f>MAX(H54,0)*WACC!$B$8</f>
        <v>216.86280317855997</v>
      </c>
      <c r="I56" s="92">
        <f>MAX(I54,0)*WACC!$B$8</f>
        <v>409.87069800747844</v>
      </c>
      <c r="J56" s="92">
        <f>MAX(J54,0)*WACC!$B$8</f>
        <v>642.91146630315882</v>
      </c>
      <c r="K56" s="92">
        <f>MAX(K54,0)*WACC!$B$8</f>
        <v>871.02597916183538</v>
      </c>
      <c r="L56" s="92">
        <f>MAX(L54,0)*WACC!$B$8</f>
        <v>1098.6166382331533</v>
      </c>
      <c r="M56" s="92">
        <f>MAX(M54,0)*WACC!$B$8</f>
        <v>1277.9496482976829</v>
      </c>
      <c r="N56" s="92">
        <f>MAX(N54,0)*WACC!$B$8</f>
        <v>1499.5826301595951</v>
      </c>
      <c r="O56" s="92">
        <f>MAX(O54,0)*WACC!$B$8</f>
        <v>1694.123079477597</v>
      </c>
      <c r="P56" s="92">
        <f>MAX(P54,0)*WACC!$B$8</f>
        <v>1919.4860312344194</v>
      </c>
      <c r="Q56" s="92">
        <f>MAX(Q54,0)*WACC!$B$8</f>
        <v>2125.5270634479375</v>
      </c>
      <c r="R56" s="92">
        <f>MAX(R54,0)*WACC!$B$8</f>
        <v>2302.3919079866914</v>
      </c>
      <c r="S56" s="92">
        <f>MAX(S54,0)*WACC!$B$8</f>
        <v>2500.0606766723786</v>
      </c>
      <c r="T56" s="92">
        <f>MAX(T54,0)*WACC!$B$8</f>
        <v>2687.5652274228073</v>
      </c>
      <c r="U56" s="92">
        <f>MAX(U54,0)*WACC!$B$8</f>
        <v>2841.1627052458662</v>
      </c>
      <c r="V56" s="92">
        <f>MAX(V54,0)*WACC!$B$8</f>
        <v>3022.7358620408895</v>
      </c>
      <c r="W56" s="92">
        <f>MAX(W54,0)*WACC!$B$8</f>
        <v>3128.5316172123198</v>
      </c>
      <c r="X56" s="92">
        <f>MAX(X54,0)*WACC!$B$8</f>
        <v>3294.8007694529301</v>
      </c>
    </row>
    <row r="57" spans="1:24" x14ac:dyDescent="0.3">
      <c r="A57" t="s">
        <v>96</v>
      </c>
      <c r="B57" s="94">
        <f t="shared" ref="B57:N57" si="24">B54-B56</f>
        <v>-1</v>
      </c>
      <c r="C57" s="94">
        <f t="shared" si="24"/>
        <v>16.59</v>
      </c>
      <c r="D57" s="94">
        <f t="shared" si="24"/>
        <v>-104</v>
      </c>
      <c r="E57" s="92">
        <f t="shared" si="24"/>
        <v>-224.7299999999999</v>
      </c>
      <c r="F57" s="92">
        <f t="shared" si="24"/>
        <v>0</v>
      </c>
      <c r="G57" s="92">
        <f t="shared" si="24"/>
        <v>334.351316376</v>
      </c>
      <c r="H57" s="92">
        <f t="shared" si="24"/>
        <v>815.81721195743989</v>
      </c>
      <c r="I57" s="92">
        <f t="shared" si="24"/>
        <v>1541.8945305995617</v>
      </c>
      <c r="J57" s="92">
        <f t="shared" si="24"/>
        <v>2418.571706569026</v>
      </c>
      <c r="K57" s="92">
        <f t="shared" si="24"/>
        <v>3276.7167787516664</v>
      </c>
      <c r="L57" s="92">
        <f t="shared" si="24"/>
        <v>4132.8911628771011</v>
      </c>
      <c r="M57" s="92">
        <f t="shared" si="24"/>
        <v>4807.5248674055692</v>
      </c>
      <c r="N57" s="92">
        <f t="shared" si="24"/>
        <v>5641.2870372670477</v>
      </c>
      <c r="O57" s="92">
        <f t="shared" ref="O57:X57" si="25">O54-O56</f>
        <v>6373.1296799395313</v>
      </c>
      <c r="P57" s="92">
        <f t="shared" si="25"/>
        <v>7220.9236413104354</v>
      </c>
      <c r="Q57" s="92">
        <f t="shared" si="25"/>
        <v>7996.0303815422421</v>
      </c>
      <c r="R57" s="92">
        <f t="shared" si="25"/>
        <v>8661.379082426125</v>
      </c>
      <c r="S57" s="92">
        <f t="shared" si="25"/>
        <v>9404.9901646246617</v>
      </c>
      <c r="T57" s="92">
        <f t="shared" si="25"/>
        <v>10110.364426971513</v>
      </c>
      <c r="U57" s="92">
        <f t="shared" si="25"/>
        <v>10688.18351021064</v>
      </c>
      <c r="V57" s="92">
        <f t="shared" si="25"/>
        <v>11371.244433391919</v>
      </c>
      <c r="W57" s="92">
        <f t="shared" si="25"/>
        <v>11769.237988560631</v>
      </c>
      <c r="X57" s="92">
        <f t="shared" si="25"/>
        <v>12394.726704132452</v>
      </c>
    </row>
    <row r="58" spans="1:24" x14ac:dyDescent="0.3">
      <c r="A58" t="s">
        <v>97</v>
      </c>
      <c r="B58" s="94">
        <f t="shared" ref="B58:N58" si="26">B53</f>
        <v>571</v>
      </c>
      <c r="C58" s="94">
        <f t="shared" si="26"/>
        <v>637</v>
      </c>
      <c r="D58" s="156">
        <f t="shared" si="26"/>
        <v>757</v>
      </c>
      <c r="E58" s="92">
        <f t="shared" si="26"/>
        <v>853.97400000000005</v>
      </c>
      <c r="F58" s="92">
        <f t="shared" si="26"/>
        <v>922.29192000000012</v>
      </c>
      <c r="G58" s="92">
        <f t="shared" si="26"/>
        <v>1027.8431064000001</v>
      </c>
      <c r="H58" s="92">
        <f t="shared" si="26"/>
        <v>1180.2057315840002</v>
      </c>
      <c r="I58" s="92">
        <f t="shared" si="26"/>
        <v>1394.1180204336001</v>
      </c>
      <c r="J58" s="92">
        <f t="shared" si="26"/>
        <v>1587.4357192670593</v>
      </c>
      <c r="K58" s="92">
        <f t="shared" si="26"/>
        <v>1873.1741487351301</v>
      </c>
      <c r="L58" s="92">
        <f t="shared" si="26"/>
        <v>2000.2823945421562</v>
      </c>
      <c r="M58" s="92">
        <f t="shared" si="26"/>
        <v>2260.3191058326361</v>
      </c>
      <c r="N58" s="92">
        <f t="shared" si="26"/>
        <v>2315.9577299762091</v>
      </c>
      <c r="O58" s="92">
        <f t="shared" ref="O58:X58" si="27">O53</f>
        <v>2547.5535029738303</v>
      </c>
      <c r="P58" s="92">
        <f t="shared" si="27"/>
        <v>2661.131929981414</v>
      </c>
      <c r="Q58" s="92">
        <f t="shared" si="27"/>
        <v>2874.0224843799269</v>
      </c>
      <c r="R58" s="92">
        <f t="shared" si="27"/>
        <v>2941.499534013195</v>
      </c>
      <c r="S58" s="92">
        <f t="shared" si="27"/>
        <v>3117.989506053987</v>
      </c>
      <c r="T58" s="92">
        <f t="shared" si="27"/>
        <v>3273.8889813566861</v>
      </c>
      <c r="U58" s="92">
        <f t="shared" si="27"/>
        <v>3265.7042589032944</v>
      </c>
      <c r="V58" s="92">
        <f t="shared" si="27"/>
        <v>3396.3324292594261</v>
      </c>
      <c r="W58" s="92">
        <f t="shared" si="27"/>
        <v>3515.2040642835054</v>
      </c>
      <c r="X58" s="92">
        <f t="shared" si="27"/>
        <v>3620.6601862120106</v>
      </c>
    </row>
    <row r="59" spans="1:24" x14ac:dyDescent="0.3">
      <c r="A59" t="s">
        <v>98</v>
      </c>
      <c r="B59" s="91">
        <v>-1497</v>
      </c>
      <c r="C59" s="91">
        <v>-2032</v>
      </c>
      <c r="D59" s="91">
        <v>-3832</v>
      </c>
      <c r="E59" s="92">
        <f t="shared" ref="E59:N59" si="28">-E49*E42</f>
        <v>-3370.9500000000003</v>
      </c>
      <c r="F59" s="92">
        <f t="shared" si="28"/>
        <v>-3330.4986000000008</v>
      </c>
      <c r="G59" s="92">
        <f t="shared" si="28"/>
        <v>-3325.3747560000006</v>
      </c>
      <c r="H59" s="92">
        <f t="shared" si="28"/>
        <v>-3319.3286200800007</v>
      </c>
      <c r="I59" s="92">
        <f t="shared" si="28"/>
        <v>-3345.8832490406403</v>
      </c>
      <c r="J59" s="92">
        <f t="shared" si="28"/>
        <v>-3174.8714385341186</v>
      </c>
      <c r="K59" s="92">
        <f t="shared" si="28"/>
        <v>-2943.5593765837752</v>
      </c>
      <c r="L59" s="92">
        <f t="shared" si="28"/>
        <v>-2769.6217770583698</v>
      </c>
      <c r="M59" s="92">
        <f t="shared" si="28"/>
        <v>-2608.0605067299648</v>
      </c>
      <c r="N59" s="92">
        <f t="shared" si="28"/>
        <v>-2508.9542074742262</v>
      </c>
      <c r="O59" s="92">
        <f t="shared" ref="O59:X59" si="29">-O49*O42</f>
        <v>-2653.7015655977398</v>
      </c>
      <c r="P59" s="92">
        <f t="shared" si="29"/>
        <v>-2776.8333182414749</v>
      </c>
      <c r="Q59" s="92">
        <f t="shared" si="29"/>
        <v>-2874.0224843799269</v>
      </c>
      <c r="R59" s="92">
        <f t="shared" si="29"/>
        <v>-2941.499534013195</v>
      </c>
      <c r="S59" s="92">
        <f t="shared" si="29"/>
        <v>-2976.2627103242598</v>
      </c>
      <c r="T59" s="92">
        <f t="shared" si="29"/>
        <v>-2976.2627103242603</v>
      </c>
      <c r="U59" s="92">
        <f t="shared" si="29"/>
        <v>-3047.9906416430749</v>
      </c>
      <c r="V59" s="92">
        <f t="shared" si="29"/>
        <v>-3072.8721979013858</v>
      </c>
      <c r="W59" s="92">
        <f t="shared" si="29"/>
        <v>-3079.9883229912616</v>
      </c>
      <c r="X59" s="92">
        <f t="shared" si="29"/>
        <v>-3103.4230167531523</v>
      </c>
    </row>
    <row r="60" spans="1:24" x14ac:dyDescent="0.3">
      <c r="A60" t="s">
        <v>99</v>
      </c>
      <c r="B60" s="91">
        <v>0</v>
      </c>
      <c r="C60" s="91">
        <v>0</v>
      </c>
      <c r="D60" s="91">
        <v>0</v>
      </c>
      <c r="E60" s="92">
        <f t="shared" ref="E60:N60" si="30">-(E49-D49)*E43</f>
        <v>-20.430000000000021</v>
      </c>
      <c r="F60" s="92">
        <f t="shared" si="30"/>
        <v>-31.462200000000031</v>
      </c>
      <c r="G60" s="92">
        <f t="shared" si="30"/>
        <v>-46.114595999999985</v>
      </c>
      <c r="H60" s="92">
        <f t="shared" si="30"/>
        <v>-53.205996096000021</v>
      </c>
      <c r="I60" s="92">
        <f t="shared" si="30"/>
        <v>-76.713372552959996</v>
      </c>
      <c r="J60" s="92">
        <f t="shared" si="30"/>
        <v>-81.788257198771177</v>
      </c>
      <c r="K60" s="92">
        <f t="shared" si="30"/>
        <v>-61.229663457443692</v>
      </c>
      <c r="L60" s="92">
        <f t="shared" si="30"/>
        <v>-60.209169066486261</v>
      </c>
      <c r="M60" s="92">
        <f t="shared" si="30"/>
        <v>-40.005647890843065</v>
      </c>
      <c r="N60" s="92">
        <f t="shared" si="30"/>
        <v>-38.251554098706187</v>
      </c>
      <c r="O60" s="92">
        <f t="shared" ref="O60:X60" si="31">-(O49-N49)*O43</f>
        <v>-38.599295499603542</v>
      </c>
      <c r="P60" s="92">
        <f t="shared" si="31"/>
        <v>-38.213302544607508</v>
      </c>
      <c r="Q60" s="92">
        <f t="shared" si="31"/>
        <v>-37.024444243219698</v>
      </c>
      <c r="R60" s="92">
        <f t="shared" si="31"/>
        <v>-31.489289828858343</v>
      </c>
      <c r="S60" s="92">
        <f t="shared" si="31"/>
        <v>-28.880177243038666</v>
      </c>
      <c r="T60" s="92">
        <f t="shared" si="31"/>
        <v>-21.259019359458996</v>
      </c>
      <c r="U60" s="92">
        <f t="shared" si="31"/>
        <v>-20.089773294688747</v>
      </c>
      <c r="V60" s="92">
        <f t="shared" si="31"/>
        <v>-18.661167193733107</v>
      </c>
      <c r="W60" s="92">
        <f t="shared" si="31"/>
        <v>-16.98166214629704</v>
      </c>
      <c r="X60" s="92">
        <f t="shared" si="31"/>
        <v>-15.065160275500784</v>
      </c>
    </row>
    <row r="61" spans="1:24" x14ac:dyDescent="0.3">
      <c r="A61" s="19" t="s">
        <v>100</v>
      </c>
      <c r="B61" s="95">
        <f t="shared" ref="B61:N61" si="32">B57+B58+B59+B60</f>
        <v>-927</v>
      </c>
      <c r="C61" s="95">
        <f t="shared" si="32"/>
        <v>-1378.4099999999999</v>
      </c>
      <c r="D61" s="95">
        <f t="shared" si="32"/>
        <v>-3179</v>
      </c>
      <c r="E61" s="95">
        <f t="shared" si="32"/>
        <v>-2762.136</v>
      </c>
      <c r="F61" s="95">
        <f t="shared" si="32"/>
        <v>-2439.6688800000006</v>
      </c>
      <c r="G61" s="95">
        <f t="shared" si="32"/>
        <v>-2009.2949292240005</v>
      </c>
      <c r="H61" s="95">
        <f t="shared" si="32"/>
        <v>-1376.5116726345607</v>
      </c>
      <c r="I61" s="95">
        <f t="shared" si="32"/>
        <v>-486.58407056043848</v>
      </c>
      <c r="J61" s="95">
        <f t="shared" si="32"/>
        <v>749.34773010319577</v>
      </c>
      <c r="K61" s="95">
        <f t="shared" si="32"/>
        <v>2145.1018874455776</v>
      </c>
      <c r="L61" s="95">
        <f t="shared" si="32"/>
        <v>3303.3426112944012</v>
      </c>
      <c r="M61" s="95">
        <f t="shared" si="32"/>
        <v>4419.7778186173973</v>
      </c>
      <c r="N61" s="95">
        <f t="shared" si="32"/>
        <v>5410.0390056703254</v>
      </c>
      <c r="O61" s="95">
        <f t="shared" ref="O61:X61" si="33">O57+O58+O59+O60</f>
        <v>6228.3823218160196</v>
      </c>
      <c r="P61" s="95">
        <f t="shared" si="33"/>
        <v>7067.0089505057676</v>
      </c>
      <c r="Q61" s="95">
        <f t="shared" si="33"/>
        <v>7959.0059372990227</v>
      </c>
      <c r="R61" s="95">
        <f t="shared" si="33"/>
        <v>8629.8897925972669</v>
      </c>
      <c r="S61" s="95">
        <f t="shared" si="33"/>
        <v>9517.8367831113519</v>
      </c>
      <c r="T61" s="95">
        <f t="shared" si="33"/>
        <v>10386.731678644479</v>
      </c>
      <c r="U61" s="95">
        <f t="shared" si="33"/>
        <v>10885.807354176171</v>
      </c>
      <c r="V61" s="95">
        <f t="shared" si="33"/>
        <v>11676.043497556226</v>
      </c>
      <c r="W61" s="95">
        <f t="shared" si="33"/>
        <v>12187.472067706578</v>
      </c>
      <c r="X61" s="95">
        <f t="shared" si="33"/>
        <v>12896.89871331581</v>
      </c>
    </row>
    <row r="62" spans="1:24" x14ac:dyDescent="0.3">
      <c r="A62" t="s">
        <v>101</v>
      </c>
      <c r="B62" s="64">
        <f t="shared" ref="B62:N62" si="34">B61/B49</f>
        <v>-0.26061287601911726</v>
      </c>
      <c r="C62" s="64">
        <f t="shared" si="34"/>
        <v>-0.36312170706006319</v>
      </c>
      <c r="D62" s="64">
        <f t="shared" si="34"/>
        <v>-0.77802251590797844</v>
      </c>
      <c r="E62" s="64">
        <f t="shared" si="34"/>
        <v>-0.61454545454545451</v>
      </c>
      <c r="F62" s="64">
        <f t="shared" si="34"/>
        <v>-0.47614035087719303</v>
      </c>
      <c r="G62" s="64">
        <f t="shared" si="34"/>
        <v>-0.33232711864406783</v>
      </c>
      <c r="H62" s="64">
        <f t="shared" si="34"/>
        <v>-0.18661311475409842</v>
      </c>
      <c r="I62" s="64">
        <f t="shared" si="34"/>
        <v>-5.2353968253968257E-2</v>
      </c>
      <c r="J62" s="64">
        <f t="shared" si="34"/>
        <v>6.6086885245901603E-2</v>
      </c>
      <c r="K62" s="64">
        <f t="shared" si="34"/>
        <v>0.16032372881355936</v>
      </c>
      <c r="L62" s="64">
        <f t="shared" si="34"/>
        <v>0.21468695652173914</v>
      </c>
      <c r="M62" s="64">
        <f t="shared" si="34"/>
        <v>0.2541991150442478</v>
      </c>
      <c r="N62" s="64">
        <f t="shared" si="34"/>
        <v>0.28031801801801803</v>
      </c>
      <c r="O62" s="64">
        <f t="shared" ref="O62:X62" si="35">O61/O49</f>
        <v>0.29338181818181824</v>
      </c>
      <c r="P62" s="64">
        <f t="shared" si="35"/>
        <v>0.30539862385321104</v>
      </c>
      <c r="Q62" s="64">
        <f t="shared" si="35"/>
        <v>0.3184685185185186</v>
      </c>
      <c r="R62" s="64">
        <f t="shared" si="35"/>
        <v>0.32272242990654204</v>
      </c>
      <c r="S62" s="64">
        <f t="shared" si="35"/>
        <v>0.33578113207547178</v>
      </c>
      <c r="T62" s="64">
        <f t="shared" si="35"/>
        <v>0.34898571428571429</v>
      </c>
      <c r="U62" s="64">
        <f t="shared" si="35"/>
        <v>0.35000406698564596</v>
      </c>
      <c r="V62" s="64">
        <f t="shared" si="35"/>
        <v>0.36097307692307695</v>
      </c>
      <c r="W62" s="64">
        <f t="shared" si="35"/>
        <v>0.36404275362318839</v>
      </c>
      <c r="X62" s="64">
        <f t="shared" si="35"/>
        <v>0.37401310679611655</v>
      </c>
    </row>
    <row r="63" spans="1:24" x14ac:dyDescent="0.3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</row>
    <row r="64" spans="1:24" x14ac:dyDescent="0.3">
      <c r="A64" s="5" t="s">
        <v>102</v>
      </c>
      <c r="B64" s="89"/>
      <c r="C64" s="89"/>
      <c r="D64" s="89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7"/>
      <c r="P64" s="97"/>
      <c r="Q64" s="97"/>
      <c r="R64" s="97"/>
      <c r="S64" s="97"/>
      <c r="T64" s="97"/>
      <c r="U64" s="97"/>
      <c r="V64" s="97"/>
      <c r="W64" s="97"/>
      <c r="X64" s="97"/>
    </row>
    <row r="65" spans="1:24" x14ac:dyDescent="0.3">
      <c r="A65" s="6"/>
      <c r="B65" s="52"/>
      <c r="C65" s="52"/>
      <c r="D65" s="52"/>
      <c r="E65" s="98" t="s">
        <v>67</v>
      </c>
      <c r="F65" s="98" t="s">
        <v>68</v>
      </c>
      <c r="G65" s="98" t="s">
        <v>69</v>
      </c>
      <c r="H65" s="98" t="s">
        <v>70</v>
      </c>
      <c r="I65" s="98" t="s">
        <v>71</v>
      </c>
      <c r="J65" s="98" t="s">
        <v>72</v>
      </c>
      <c r="K65" s="98" t="s">
        <v>73</v>
      </c>
      <c r="L65" s="98" t="s">
        <v>74</v>
      </c>
      <c r="M65" s="98" t="s">
        <v>75</v>
      </c>
      <c r="N65" s="98" t="s">
        <v>76</v>
      </c>
      <c r="O65" s="98" t="s">
        <v>245</v>
      </c>
      <c r="P65" s="98" t="s">
        <v>246</v>
      </c>
      <c r="Q65" s="98" t="s">
        <v>247</v>
      </c>
      <c r="R65" s="98" t="s">
        <v>248</v>
      </c>
      <c r="S65" s="98" t="s">
        <v>249</v>
      </c>
      <c r="T65" s="98" t="s">
        <v>250</v>
      </c>
      <c r="U65" s="98" t="s">
        <v>251</v>
      </c>
      <c r="V65" s="98" t="s">
        <v>252</v>
      </c>
      <c r="W65" s="98" t="s">
        <v>253</v>
      </c>
      <c r="X65" s="98" t="s">
        <v>254</v>
      </c>
    </row>
    <row r="66" spans="1:24" x14ac:dyDescent="0.3">
      <c r="A66" t="s">
        <v>103</v>
      </c>
      <c r="B66" s="54"/>
      <c r="C66" s="54"/>
      <c r="D66" s="54"/>
      <c r="E66" s="99">
        <v>0.5</v>
      </c>
      <c r="F66" s="99">
        <v>1.5</v>
      </c>
      <c r="G66" s="99">
        <v>2.5</v>
      </c>
      <c r="H66" s="99">
        <v>3.5</v>
      </c>
      <c r="I66" s="99">
        <v>4.5</v>
      </c>
      <c r="J66" s="99">
        <v>5.5</v>
      </c>
      <c r="K66" s="99">
        <v>6.5</v>
      </c>
      <c r="L66" s="99">
        <v>7.5</v>
      </c>
      <c r="M66" s="99">
        <v>8.5</v>
      </c>
      <c r="N66" s="99">
        <v>9.5</v>
      </c>
      <c r="O66" s="99">
        <v>10.5</v>
      </c>
      <c r="P66" s="99">
        <v>11.5</v>
      </c>
      <c r="Q66" s="99">
        <v>12.5</v>
      </c>
      <c r="R66" s="99">
        <v>13.5</v>
      </c>
      <c r="S66" s="99">
        <v>14.5</v>
      </c>
      <c r="T66" s="99">
        <v>15.5</v>
      </c>
      <c r="U66" s="99">
        <v>16.5</v>
      </c>
      <c r="V66" s="99">
        <v>17.5</v>
      </c>
      <c r="W66" s="99">
        <v>18.5</v>
      </c>
      <c r="X66" s="99">
        <v>19.5</v>
      </c>
    </row>
    <row r="67" spans="1:24" x14ac:dyDescent="0.3">
      <c r="A67" t="s">
        <v>104</v>
      </c>
      <c r="B67" s="54"/>
      <c r="C67" s="54"/>
      <c r="D67" s="54"/>
      <c r="E67" s="100">
        <f t="shared" ref="E67:N67" si="36">1/(1+$B$45)^E66</f>
        <v>0.96254958430351478</v>
      </c>
      <c r="F67" s="100">
        <f t="shared" si="36"/>
        <v>0.89180382835037242</v>
      </c>
      <c r="G67" s="100">
        <f t="shared" si="36"/>
        <v>0.82625776503332737</v>
      </c>
      <c r="H67" s="100">
        <f t="shared" si="36"/>
        <v>0.76552922579476645</v>
      </c>
      <c r="I67" s="100">
        <f t="shared" si="36"/>
        <v>0.70926413081551676</v>
      </c>
      <c r="J67" s="100">
        <f t="shared" si="36"/>
        <v>0.65713442454038529</v>
      </c>
      <c r="K67" s="100">
        <f t="shared" si="36"/>
        <v>0.60883616293905507</v>
      </c>
      <c r="L67" s="100">
        <f t="shared" si="36"/>
        <v>0.56408774135005135</v>
      </c>
      <c r="M67" s="100">
        <f t="shared" si="36"/>
        <v>0.52262825257515777</v>
      </c>
      <c r="N67" s="100">
        <f t="shared" si="36"/>
        <v>0.48421596565109981</v>
      </c>
      <c r="O67" s="100">
        <f t="shared" ref="O67:X67" si="37">1/(1+$B$45)^O66</f>
        <v>0.44862691642891855</v>
      </c>
      <c r="P67" s="100">
        <f t="shared" si="37"/>
        <v>0.41565360174336247</v>
      </c>
      <c r="Q67" s="100">
        <f t="shared" si="37"/>
        <v>0.38510376955860481</v>
      </c>
      <c r="R67" s="100">
        <f t="shared" si="37"/>
        <v>0.35679929803619298</v>
      </c>
      <c r="S67" s="100">
        <f t="shared" si="37"/>
        <v>0.33057515698959355</v>
      </c>
      <c r="T67" s="100">
        <f t="shared" si="37"/>
        <v>0.30627844567006207</v>
      </c>
      <c r="U67" s="100">
        <f t="shared" si="37"/>
        <v>0.28376750127361267</v>
      </c>
      <c r="V67" s="100">
        <f t="shared" si="37"/>
        <v>0.26291107297120764</v>
      </c>
      <c r="W67" s="100">
        <f t="shared" si="37"/>
        <v>0.24358755664632303</v>
      </c>
      <c r="X67" s="100">
        <f t="shared" si="37"/>
        <v>0.22568428587799955</v>
      </c>
    </row>
    <row r="68" spans="1:24" x14ac:dyDescent="0.3">
      <c r="A68" t="s">
        <v>105</v>
      </c>
      <c r="B68" s="54"/>
      <c r="C68" s="54"/>
      <c r="D68" s="54"/>
      <c r="E68" s="92">
        <f t="shared" ref="E68:N68" si="38">E61</f>
        <v>-2762.136</v>
      </c>
      <c r="F68" s="92">
        <f t="shared" si="38"/>
        <v>-2439.6688800000006</v>
      </c>
      <c r="G68" s="92">
        <f t="shared" si="38"/>
        <v>-2009.2949292240005</v>
      </c>
      <c r="H68" s="92">
        <f t="shared" si="38"/>
        <v>-1376.5116726345607</v>
      </c>
      <c r="I68" s="92">
        <f t="shared" si="38"/>
        <v>-486.58407056043848</v>
      </c>
      <c r="J68" s="92">
        <f t="shared" si="38"/>
        <v>749.34773010319577</v>
      </c>
      <c r="K68" s="92">
        <f t="shared" si="38"/>
        <v>2145.1018874455776</v>
      </c>
      <c r="L68" s="92">
        <f t="shared" si="38"/>
        <v>3303.3426112944012</v>
      </c>
      <c r="M68" s="92">
        <f t="shared" si="38"/>
        <v>4419.7778186173973</v>
      </c>
      <c r="N68" s="92">
        <f t="shared" si="38"/>
        <v>5410.0390056703254</v>
      </c>
      <c r="O68" s="92">
        <f t="shared" ref="O68:X68" si="39">O61</f>
        <v>6228.3823218160196</v>
      </c>
      <c r="P68" s="92">
        <f t="shared" si="39"/>
        <v>7067.0089505057676</v>
      </c>
      <c r="Q68" s="92">
        <f t="shared" si="39"/>
        <v>7959.0059372990227</v>
      </c>
      <c r="R68" s="92">
        <f t="shared" si="39"/>
        <v>8629.8897925972669</v>
      </c>
      <c r="S68" s="92">
        <f t="shared" si="39"/>
        <v>9517.8367831113519</v>
      </c>
      <c r="T68" s="92">
        <f t="shared" si="39"/>
        <v>10386.731678644479</v>
      </c>
      <c r="U68" s="92">
        <f t="shared" si="39"/>
        <v>10885.807354176171</v>
      </c>
      <c r="V68" s="92">
        <f t="shared" si="39"/>
        <v>11676.043497556226</v>
      </c>
      <c r="W68" s="92">
        <f t="shared" si="39"/>
        <v>12187.472067706578</v>
      </c>
      <c r="X68" s="92">
        <f t="shared" si="39"/>
        <v>12896.89871331581</v>
      </c>
    </row>
    <row r="69" spans="1:24" x14ac:dyDescent="0.3">
      <c r="A69" t="s">
        <v>106</v>
      </c>
      <c r="B69" s="54"/>
      <c r="C69" s="54"/>
      <c r="D69" s="54"/>
      <c r="E69" s="101">
        <f t="shared" ref="E69:N69" si="40">E68*E67</f>
        <v>-2658.6928585897731</v>
      </c>
      <c r="F69" s="101">
        <f t="shared" si="40"/>
        <v>-2175.7060470912661</v>
      </c>
      <c r="G69" s="101">
        <f t="shared" si="40"/>
        <v>-1660.1955375134203</v>
      </c>
      <c r="H69" s="101">
        <f t="shared" si="40"/>
        <v>-1053.7599150493943</v>
      </c>
      <c r="I69" s="101">
        <f t="shared" si="40"/>
        <v>-345.11662787472545</v>
      </c>
      <c r="J69" s="101">
        <f t="shared" si="40"/>
        <v>492.42218940200752</v>
      </c>
      <c r="K69" s="101">
        <f t="shared" si="40"/>
        <v>1306.0156022656902</v>
      </c>
      <c r="L69" s="101">
        <f t="shared" si="40"/>
        <v>1863.3750725104394</v>
      </c>
      <c r="M69" s="101">
        <f t="shared" si="40"/>
        <v>2309.9007581144529</v>
      </c>
      <c r="N69" s="101">
        <f t="shared" si="40"/>
        <v>2619.6272613407723</v>
      </c>
      <c r="O69" s="102">
        <f t="shared" ref="O69:X69" si="41">O68*O67</f>
        <v>2794.2199553767091</v>
      </c>
      <c r="P69" s="102">
        <f t="shared" si="41"/>
        <v>2937.4277238303025</v>
      </c>
      <c r="Q69" s="102">
        <f t="shared" si="41"/>
        <v>3065.0431883931701</v>
      </c>
      <c r="R69" s="102">
        <f t="shared" si="41"/>
        <v>3079.1386201284117</v>
      </c>
      <c r="S69" s="102">
        <f t="shared" si="41"/>
        <v>3146.3603887783634</v>
      </c>
      <c r="T69" s="102">
        <f t="shared" si="41"/>
        <v>3181.2320341272257</v>
      </c>
      <c r="U69" s="102">
        <f t="shared" si="41"/>
        <v>3089.0383522404886</v>
      </c>
      <c r="V69" s="102">
        <f t="shared" si="41"/>
        <v>3069.7611240009992</v>
      </c>
      <c r="W69" s="102">
        <f t="shared" si="41"/>
        <v>2968.7165426679558</v>
      </c>
      <c r="X69" s="102">
        <f t="shared" si="41"/>
        <v>2910.6273761555699</v>
      </c>
    </row>
    <row r="70" spans="1:24" x14ac:dyDescent="0.3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 spans="1:24" x14ac:dyDescent="0.3">
      <c r="A71" s="5" t="s">
        <v>107</v>
      </c>
      <c r="B71" s="103"/>
      <c r="C71" s="103"/>
      <c r="D71" s="10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90"/>
      <c r="P71" s="90"/>
      <c r="Q71" s="90"/>
      <c r="R71" s="90"/>
      <c r="S71" s="90"/>
      <c r="T71" s="90"/>
      <c r="U71" s="90"/>
      <c r="V71" s="90"/>
      <c r="W71" s="90"/>
      <c r="X71" s="90"/>
    </row>
    <row r="72" spans="1:24" x14ac:dyDescent="0.3">
      <c r="A72" s="1" t="s">
        <v>108</v>
      </c>
      <c r="B72" s="92"/>
      <c r="C72" s="92"/>
      <c r="D72" s="92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 spans="1:24" x14ac:dyDescent="0.3">
      <c r="A73" t="s">
        <v>131</v>
      </c>
      <c r="B73" s="92">
        <f>X61</f>
        <v>12896.89871331581</v>
      </c>
      <c r="C73" s="92"/>
      <c r="D73" s="92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 spans="1:24" x14ac:dyDescent="0.3">
      <c r="A74" t="s">
        <v>110</v>
      </c>
      <c r="B74" s="92">
        <f>X61*(1+$B$44)</f>
        <v>13219.321181148704</v>
      </c>
      <c r="C74" s="92"/>
      <c r="D74" s="92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 spans="1:24" x14ac:dyDescent="0.3">
      <c r="A75" t="s">
        <v>111</v>
      </c>
      <c r="B75" s="101">
        <f>B74/($B$45-$B$44)</f>
        <v>243320.54874129986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 spans="1:24" x14ac:dyDescent="0.3">
      <c r="A76" t="s">
        <v>112</v>
      </c>
      <c r="B76" s="101">
        <f>B75/(1+$B$45)^19.5</f>
        <v>54913.624282123237</v>
      </c>
      <c r="C76" s="92"/>
      <c r="D76" s="92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 spans="1:24" x14ac:dyDescent="0.3">
      <c r="B77" s="64"/>
      <c r="C77" s="64"/>
      <c r="D77" s="6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 spans="1:24" x14ac:dyDescent="0.3">
      <c r="A78" s="1" t="s">
        <v>113</v>
      </c>
      <c r="B78" s="92"/>
      <c r="C78" s="92"/>
      <c r="D78" s="92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 spans="1:24" x14ac:dyDescent="0.3">
      <c r="A79" t="s">
        <v>687</v>
      </c>
      <c r="B79" s="248">
        <f>IF(N('Space Comps'!K37)&gt;0,'Space Comps'!K37,18)</f>
        <v>15.138888888888889</v>
      </c>
      <c r="C79" s="54"/>
      <c r="D79" s="332" t="str">
        <f>IF(N('Space Comps'!K37)&gt;0,"✓ LIVE — "&amp;TEXT('Space Comps'!K37,"0.0x")&amp;" from Space Comps mature tier","⚠ FALLBACK — using 18x default")</f>
        <v>✓ LIVE — 15.1x from Space Comps mature tier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 spans="1:24" x14ac:dyDescent="0.3">
      <c r="A80" t="s">
        <v>114</v>
      </c>
      <c r="B80" s="92">
        <f>X51</f>
        <v>19310.187659797393</v>
      </c>
      <c r="C80" s="92"/>
      <c r="D80" s="92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 spans="1:24" x14ac:dyDescent="0.3">
      <c r="A81" t="s">
        <v>115</v>
      </c>
      <c r="B81" s="101">
        <f>B79*B80</f>
        <v>292334.7854052661</v>
      </c>
      <c r="C81" s="92"/>
      <c r="D81" s="92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 spans="1:24" x14ac:dyDescent="0.3">
      <c r="A82" t="s">
        <v>116</v>
      </c>
      <c r="B82" s="101">
        <f>B81/(1+$B$45)^19.5</f>
        <v>65975.367281485727</v>
      </c>
      <c r="C82" s="92"/>
      <c r="D82" s="92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 spans="1:24" ht="15" thickBot="1" x14ac:dyDescent="0.35">
      <c r="B83" s="92"/>
      <c r="C83" s="92"/>
      <c r="D83" s="92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 spans="1:24" ht="15" thickTop="1" x14ac:dyDescent="0.3">
      <c r="A84" s="9" t="s">
        <v>132</v>
      </c>
      <c r="B84" s="126"/>
      <c r="C84" s="127"/>
      <c r="D84" s="131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3"/>
      <c r="P84" s="133"/>
      <c r="Q84" s="133"/>
      <c r="R84" s="133"/>
      <c r="S84" s="133"/>
      <c r="T84" s="133"/>
      <c r="U84" s="133"/>
      <c r="V84" s="133"/>
      <c r="W84" s="133"/>
      <c r="X84" s="133"/>
    </row>
    <row r="85" spans="1:24" x14ac:dyDescent="0.3">
      <c r="A85" s="10"/>
      <c r="B85" s="112" t="s">
        <v>118</v>
      </c>
      <c r="C85" s="113" t="s">
        <v>119</v>
      </c>
      <c r="D85" s="134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</row>
    <row r="86" spans="1:24" x14ac:dyDescent="0.3">
      <c r="A86" s="11" t="s">
        <v>120</v>
      </c>
      <c r="B86" s="92">
        <f>SUM(E69:X69)</f>
        <v>30939.43520321398</v>
      </c>
      <c r="C86" s="106">
        <f>SUM(E69:X69)</f>
        <v>30939.43520321398</v>
      </c>
      <c r="D86" s="92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 spans="1:24" x14ac:dyDescent="0.3">
      <c r="A87" s="11" t="s">
        <v>121</v>
      </c>
      <c r="B87" s="92">
        <f>B76</f>
        <v>54913.624282123237</v>
      </c>
      <c r="C87" s="106">
        <f>B82</f>
        <v>65975.367281485727</v>
      </c>
      <c r="D87" s="92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 spans="1:24" x14ac:dyDescent="0.3">
      <c r="A88" s="20" t="s">
        <v>122</v>
      </c>
      <c r="B88" s="107">
        <f>B86+B87</f>
        <v>85853.059485337217</v>
      </c>
      <c r="C88" s="108">
        <f>C86+C87</f>
        <v>96914.8024846997</v>
      </c>
      <c r="D88" s="92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 spans="1:24" x14ac:dyDescent="0.3">
      <c r="A89" s="11"/>
      <c r="B89" s="54"/>
      <c r="C89" s="71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 spans="1:24" ht="15" thickBot="1" x14ac:dyDescent="0.35">
      <c r="A90" s="12" t="s">
        <v>123</v>
      </c>
      <c r="B90" s="110">
        <f>B87/B88</f>
        <v>0.63962338222206161</v>
      </c>
      <c r="C90" s="111">
        <f>C87/C88</f>
        <v>0.68075635083610164</v>
      </c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 spans="1:24" ht="15" thickTop="1" x14ac:dyDescent="0.3"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 spans="1:24" x14ac:dyDescent="0.3">
      <c r="A92" s="5" t="s">
        <v>133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</row>
    <row r="94" spans="1:24" x14ac:dyDescent="0.3">
      <c r="A94" s="21" t="s">
        <v>125</v>
      </c>
    </row>
    <row r="96" spans="1:24" x14ac:dyDescent="0.3">
      <c r="B96" s="66" t="s">
        <v>134</v>
      </c>
      <c r="C96" s="114">
        <f>$B$44-0.01</f>
        <v>1.5000000000000001E-2</v>
      </c>
      <c r="D96" s="114">
        <f>$B$44-0.005</f>
        <v>0.02</v>
      </c>
      <c r="E96" s="114">
        <f>$B$44</f>
        <v>2.5000000000000001E-2</v>
      </c>
      <c r="F96" s="114">
        <f>$B$44+0.005</f>
        <v>3.0000000000000002E-2</v>
      </c>
      <c r="G96" s="114">
        <f>$B$44+0.01</f>
        <v>3.5000000000000003E-2</v>
      </c>
    </row>
    <row r="97" spans="1:7" x14ac:dyDescent="0.3">
      <c r="B97" s="114">
        <f>$B$45-0.02</f>
        <v>5.9328831862053621E-2</v>
      </c>
      <c r="C97" s="92">
        <f t="shared" ref="C97:G101" si="42">SUMPRODUCT($E$61:$X$61,1/(1+$B97)^$E$66:$X$66)+($X$61*(1+C$96)/($B97-C$96))/(1+$B97)^19.5</f>
        <v>137925.20090323142</v>
      </c>
      <c r="D97" s="92">
        <f t="shared" si="42"/>
        <v>150659.88847138319</v>
      </c>
      <c r="E97" s="92">
        <f t="shared" si="42"/>
        <v>167104.19471206199</v>
      </c>
      <c r="F97" s="92">
        <f t="shared" si="42"/>
        <v>189155.3748705374</v>
      </c>
      <c r="G97" s="92">
        <f t="shared" si="42"/>
        <v>220270.36059251346</v>
      </c>
    </row>
    <row r="98" spans="1:7" x14ac:dyDescent="0.3">
      <c r="B98" s="114">
        <f>$B$45-0.01</f>
        <v>6.932883186205363E-2</v>
      </c>
      <c r="C98" s="92">
        <f t="shared" si="42"/>
        <v>101233.354585662</v>
      </c>
      <c r="D98" s="92">
        <f t="shared" si="42"/>
        <v>108195.85888511129</v>
      </c>
      <c r="E98" s="92">
        <f t="shared" si="42"/>
        <v>116729.01235508596</v>
      </c>
      <c r="F98" s="92">
        <f t="shared" si="42"/>
        <v>127431.85993138564</v>
      </c>
      <c r="G98" s="92">
        <f t="shared" si="42"/>
        <v>141252.45052303403</v>
      </c>
    </row>
    <row r="99" spans="1:7" x14ac:dyDescent="0.3">
      <c r="B99" s="114">
        <f>$B$45</f>
        <v>7.9328831862053625E-2</v>
      </c>
      <c r="C99" s="92">
        <f t="shared" si="42"/>
        <v>76864.204879322177</v>
      </c>
      <c r="D99" s="92">
        <f t="shared" si="42"/>
        <v>80979.859571952198</v>
      </c>
      <c r="E99" s="107">
        <f t="shared" si="42"/>
        <v>85853.059485337217</v>
      </c>
      <c r="F99" s="92">
        <f t="shared" si="42"/>
        <v>91714.160334023676</v>
      </c>
      <c r="G99" s="92">
        <f t="shared" si="42"/>
        <v>98897.448256559845</v>
      </c>
    </row>
    <row r="100" spans="1:7" x14ac:dyDescent="0.3">
      <c r="B100" s="114">
        <f>$B$45+0.01</f>
        <v>8.932883186205362E-2</v>
      </c>
      <c r="C100" s="92">
        <f t="shared" si="42"/>
        <v>59748.859102006842</v>
      </c>
      <c r="D100" s="92">
        <f t="shared" si="42"/>
        <v>62318.91536552574</v>
      </c>
      <c r="E100" s="92">
        <f t="shared" si="42"/>
        <v>65288.490194690297</v>
      </c>
      <c r="F100" s="92">
        <f t="shared" si="42"/>
        <v>68758.593137415097</v>
      </c>
      <c r="G100" s="92">
        <f t="shared" si="42"/>
        <v>72867.418251000447</v>
      </c>
    </row>
    <row r="101" spans="1:7" x14ac:dyDescent="0.3">
      <c r="B101" s="114">
        <f>$B$45+0.02</f>
        <v>9.9328831862053629E-2</v>
      </c>
      <c r="C101" s="92">
        <f t="shared" si="42"/>
        <v>47234.389660591376</v>
      </c>
      <c r="D101" s="92">
        <f t="shared" si="42"/>
        <v>48906.200789064751</v>
      </c>
      <c r="E101" s="92">
        <f t="shared" si="42"/>
        <v>50802.93286498099</v>
      </c>
      <c r="F101" s="92">
        <f t="shared" si="42"/>
        <v>52973.249829748405</v>
      </c>
      <c r="G101" s="92">
        <f t="shared" si="42"/>
        <v>55480.945369867768</v>
      </c>
    </row>
    <row r="102" spans="1:7" x14ac:dyDescent="0.3">
      <c r="B102" s="54"/>
      <c r="C102" s="54"/>
      <c r="D102" s="54"/>
      <c r="E102" s="54"/>
      <c r="F102" s="54"/>
      <c r="G102" s="54"/>
    </row>
    <row r="103" spans="1:7" x14ac:dyDescent="0.3">
      <c r="B103" s="54"/>
      <c r="C103" s="54"/>
      <c r="D103" s="54"/>
      <c r="E103" s="54"/>
      <c r="F103" s="54"/>
      <c r="G103" s="54"/>
    </row>
    <row r="104" spans="1:7" x14ac:dyDescent="0.3">
      <c r="A104" s="21" t="s">
        <v>135</v>
      </c>
      <c r="B104" s="54"/>
      <c r="C104" s="54"/>
      <c r="D104" s="54"/>
      <c r="E104" s="54"/>
      <c r="F104" s="54"/>
      <c r="G104" s="54"/>
    </row>
    <row r="105" spans="1:7" x14ac:dyDescent="0.3">
      <c r="B105" s="54"/>
      <c r="C105" s="54"/>
      <c r="D105" s="54"/>
      <c r="E105" s="54"/>
      <c r="F105" s="54"/>
      <c r="G105" s="54"/>
    </row>
    <row r="106" spans="1:7" x14ac:dyDescent="0.3">
      <c r="B106" s="66" t="s">
        <v>136</v>
      </c>
      <c r="C106" s="115">
        <f>$B$79-8</f>
        <v>7.1388888888888893</v>
      </c>
      <c r="D106" s="115">
        <f>$B$79-4</f>
        <v>11.138888888888889</v>
      </c>
      <c r="E106" s="115">
        <f>$B$79</f>
        <v>15.138888888888889</v>
      </c>
      <c r="F106" s="115">
        <f>$B$79+4</f>
        <v>19.138888888888889</v>
      </c>
      <c r="G106" s="115">
        <f>$B$79+8</f>
        <v>23.138888888888889</v>
      </c>
    </row>
    <row r="107" spans="1:7" x14ac:dyDescent="0.3">
      <c r="B107" s="114">
        <f>$B$45-0.02</f>
        <v>5.9328831862053621E-2</v>
      </c>
      <c r="C107" s="92">
        <f t="shared" ref="C107:G111" si="43">SUMPRODUCT($E$61:$X$61,1/(1+$B107)^$E$66:$X$66)+($X$51*C$106)/(1+$B107)^19.5</f>
        <v>86752.75862424029</v>
      </c>
      <c r="D107" s="92">
        <f t="shared" si="43"/>
        <v>111856.93794182461</v>
      </c>
      <c r="E107" s="92">
        <f t="shared" si="43"/>
        <v>136961.11725940893</v>
      </c>
      <c r="F107" s="92">
        <f t="shared" si="43"/>
        <v>162065.29657699325</v>
      </c>
      <c r="G107" s="92">
        <f t="shared" si="43"/>
        <v>187169.47589457757</v>
      </c>
    </row>
    <row r="108" spans="1:7" x14ac:dyDescent="0.3">
      <c r="B108" s="114">
        <f>$B$45-0.01</f>
        <v>6.932883186205363E-2</v>
      </c>
      <c r="C108" s="92">
        <f t="shared" si="43"/>
        <v>73336.130486653798</v>
      </c>
      <c r="D108" s="92">
        <f t="shared" si="43"/>
        <v>94237.588902622112</v>
      </c>
      <c r="E108" s="92">
        <f t="shared" si="43"/>
        <v>115139.04731859043</v>
      </c>
      <c r="F108" s="92">
        <f t="shared" si="43"/>
        <v>136040.50573455871</v>
      </c>
      <c r="G108" s="92">
        <f t="shared" si="43"/>
        <v>156941.96415052703</v>
      </c>
    </row>
    <row r="109" spans="1:7" x14ac:dyDescent="0.3">
      <c r="B109" s="114">
        <f>$B$45</f>
        <v>7.9328831862053625E-2</v>
      </c>
      <c r="C109" s="92">
        <f t="shared" si="43"/>
        <v>62050.755187327435</v>
      </c>
      <c r="D109" s="92">
        <f t="shared" si="43"/>
        <v>79482.778836013575</v>
      </c>
      <c r="E109" s="107">
        <f t="shared" si="43"/>
        <v>96914.8024846997</v>
      </c>
      <c r="F109" s="92">
        <f t="shared" si="43"/>
        <v>114346.82613338582</v>
      </c>
      <c r="G109" s="92">
        <f t="shared" si="43"/>
        <v>131778.84978207198</v>
      </c>
    </row>
    <row r="110" spans="1:7" x14ac:dyDescent="0.3">
      <c r="B110" s="114">
        <f>$B$45+0.01</f>
        <v>8.932883186205362E-2</v>
      </c>
      <c r="C110" s="92">
        <f t="shared" si="43"/>
        <v>52535.238823529464</v>
      </c>
      <c r="D110" s="92">
        <f t="shared" si="43"/>
        <v>67098.076712231632</v>
      </c>
      <c r="E110" s="92">
        <f t="shared" si="43"/>
        <v>81660.914600933786</v>
      </c>
      <c r="F110" s="92">
        <f t="shared" si="43"/>
        <v>96223.752489635954</v>
      </c>
      <c r="G110" s="92">
        <f t="shared" si="43"/>
        <v>110786.59037833812</v>
      </c>
    </row>
    <row r="111" spans="1:7" x14ac:dyDescent="0.3">
      <c r="B111" s="114">
        <f>$B$45+0.02</f>
        <v>9.9328831862053629E-2</v>
      </c>
      <c r="C111" s="92">
        <f t="shared" si="43"/>
        <v>44492.970297864435</v>
      </c>
      <c r="D111" s="92">
        <f t="shared" si="43"/>
        <v>56678.879264768577</v>
      </c>
      <c r="E111" s="92">
        <f t="shared" si="43"/>
        <v>68864.788231672705</v>
      </c>
      <c r="F111" s="92">
        <f t="shared" si="43"/>
        <v>81050.697198576832</v>
      </c>
      <c r="G111" s="92">
        <f t="shared" si="43"/>
        <v>93236.606165480975</v>
      </c>
    </row>
    <row r="124" spans="1:24" x14ac:dyDescent="0.3">
      <c r="A124" s="350" t="s">
        <v>285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</row>
    <row r="125" spans="1:24" x14ac:dyDescent="0.3">
      <c r="A125" s="6" t="s">
        <v>266</v>
      </c>
      <c r="B125" s="6"/>
      <c r="C125" s="6"/>
      <c r="D125" s="52" t="s">
        <v>66</v>
      </c>
      <c r="E125" s="52" t="s">
        <v>67</v>
      </c>
      <c r="F125" s="52" t="s">
        <v>68</v>
      </c>
      <c r="G125" s="52" t="s">
        <v>69</v>
      </c>
      <c r="H125" s="52" t="s">
        <v>70</v>
      </c>
      <c r="I125" s="52" t="s">
        <v>71</v>
      </c>
      <c r="J125" s="52" t="s">
        <v>72</v>
      </c>
      <c r="K125" s="52" t="s">
        <v>73</v>
      </c>
      <c r="L125" s="52" t="s">
        <v>74</v>
      </c>
      <c r="M125" s="52" t="s">
        <v>75</v>
      </c>
      <c r="N125" s="52" t="s">
        <v>76</v>
      </c>
      <c r="O125" s="52" t="s">
        <v>245</v>
      </c>
      <c r="P125" s="52" t="s">
        <v>246</v>
      </c>
      <c r="Q125" s="52" t="s">
        <v>247</v>
      </c>
      <c r="R125" s="52" t="s">
        <v>248</v>
      </c>
      <c r="S125" s="52" t="s">
        <v>249</v>
      </c>
      <c r="T125" s="52" t="s">
        <v>250</v>
      </c>
      <c r="U125" s="52" t="s">
        <v>251</v>
      </c>
      <c r="V125" s="52" t="s">
        <v>252</v>
      </c>
      <c r="W125" s="52" t="s">
        <v>253</v>
      </c>
      <c r="X125" s="52" t="s">
        <v>254</v>
      </c>
    </row>
    <row r="126" spans="1:24" x14ac:dyDescent="0.3">
      <c r="A126" t="s">
        <v>286</v>
      </c>
      <c r="D126" s="61">
        <v>0.1</v>
      </c>
      <c r="E126" s="61">
        <v>0.16</v>
      </c>
      <c r="F126" s="61">
        <v>0.21</v>
      </c>
      <c r="G126" s="61">
        <v>0.27</v>
      </c>
      <c r="H126" s="61">
        <v>0.32</v>
      </c>
      <c r="I126" s="61">
        <v>0.38</v>
      </c>
      <c r="J126" s="61">
        <v>0.43</v>
      </c>
      <c r="K126" s="61">
        <v>0.49</v>
      </c>
      <c r="L126" s="61">
        <v>0.54</v>
      </c>
      <c r="M126" s="61">
        <v>0.6</v>
      </c>
      <c r="N126" s="61">
        <v>0.65</v>
      </c>
      <c r="O126" s="61">
        <v>0.7</v>
      </c>
      <c r="P126" s="61">
        <v>0.76</v>
      </c>
      <c r="Q126" s="61">
        <v>0.82</v>
      </c>
      <c r="R126" s="61">
        <v>0.87</v>
      </c>
      <c r="S126" s="61">
        <v>0.92</v>
      </c>
      <c r="T126" s="61">
        <v>0.98</v>
      </c>
      <c r="U126" s="61">
        <v>1.03</v>
      </c>
      <c r="V126" s="61">
        <v>1.0900000000000001</v>
      </c>
      <c r="W126" s="61">
        <v>1.1499999999999999</v>
      </c>
      <c r="X126" s="61">
        <v>1.2</v>
      </c>
    </row>
    <row r="127" spans="1:24" x14ac:dyDescent="0.3">
      <c r="A127" t="s">
        <v>287</v>
      </c>
      <c r="D127" s="117">
        <f t="shared" ref="D127:X127" si="44">D126*365</f>
        <v>36.5</v>
      </c>
      <c r="E127" s="117">
        <f t="shared" si="44"/>
        <v>58.4</v>
      </c>
      <c r="F127" s="117">
        <f t="shared" si="44"/>
        <v>76.649999999999991</v>
      </c>
      <c r="G127" s="117">
        <f t="shared" si="44"/>
        <v>98.550000000000011</v>
      </c>
      <c r="H127" s="117">
        <f t="shared" si="44"/>
        <v>116.8</v>
      </c>
      <c r="I127" s="117">
        <f t="shared" si="44"/>
        <v>138.69999999999999</v>
      </c>
      <c r="J127" s="117">
        <f t="shared" si="44"/>
        <v>156.94999999999999</v>
      </c>
      <c r="K127" s="117">
        <f t="shared" si="44"/>
        <v>178.85</v>
      </c>
      <c r="L127" s="117">
        <f t="shared" si="44"/>
        <v>197.10000000000002</v>
      </c>
      <c r="M127" s="117">
        <f t="shared" si="44"/>
        <v>219</v>
      </c>
      <c r="N127" s="117">
        <f t="shared" si="44"/>
        <v>237.25</v>
      </c>
      <c r="O127" s="117">
        <f t="shared" si="44"/>
        <v>255.49999999999997</v>
      </c>
      <c r="P127" s="117">
        <f t="shared" si="44"/>
        <v>277.39999999999998</v>
      </c>
      <c r="Q127" s="117">
        <f t="shared" si="44"/>
        <v>299.29999999999995</v>
      </c>
      <c r="R127" s="117">
        <f t="shared" si="44"/>
        <v>317.55</v>
      </c>
      <c r="S127" s="117">
        <f t="shared" si="44"/>
        <v>335.8</v>
      </c>
      <c r="T127" s="117">
        <f t="shared" si="44"/>
        <v>357.7</v>
      </c>
      <c r="U127" s="117">
        <f t="shared" si="44"/>
        <v>375.95</v>
      </c>
      <c r="V127" s="117">
        <f t="shared" si="44"/>
        <v>397.85</v>
      </c>
      <c r="W127" s="117">
        <f t="shared" si="44"/>
        <v>419.74999999999994</v>
      </c>
      <c r="X127" s="117">
        <f t="shared" si="44"/>
        <v>438</v>
      </c>
    </row>
    <row r="128" spans="1:24" x14ac:dyDescent="0.3">
      <c r="A128" t="s">
        <v>288</v>
      </c>
      <c r="D128" s="136">
        <v>60</v>
      </c>
      <c r="E128" s="136">
        <v>61</v>
      </c>
      <c r="F128" s="136">
        <v>62</v>
      </c>
      <c r="G128" s="136">
        <v>62</v>
      </c>
      <c r="H128" s="136">
        <v>63</v>
      </c>
      <c r="I128" s="136">
        <v>64</v>
      </c>
      <c r="J128" s="136">
        <v>65</v>
      </c>
      <c r="K128" s="136">
        <v>65</v>
      </c>
      <c r="L128" s="136">
        <v>66</v>
      </c>
      <c r="M128" s="136">
        <v>67</v>
      </c>
      <c r="N128" s="136">
        <v>68</v>
      </c>
      <c r="O128" s="136">
        <v>68</v>
      </c>
      <c r="P128" s="136">
        <v>69</v>
      </c>
      <c r="Q128" s="136">
        <v>70</v>
      </c>
      <c r="R128" s="136">
        <v>71</v>
      </c>
      <c r="S128" s="136">
        <v>71</v>
      </c>
      <c r="T128" s="136">
        <v>72</v>
      </c>
      <c r="U128" s="136">
        <v>73</v>
      </c>
      <c r="V128" s="136">
        <v>74</v>
      </c>
      <c r="W128" s="136">
        <v>74</v>
      </c>
      <c r="X128" s="136">
        <v>75</v>
      </c>
    </row>
    <row r="129" spans="1:24" x14ac:dyDescent="0.3">
      <c r="A129" t="s">
        <v>289</v>
      </c>
      <c r="D129" s="118">
        <f t="shared" ref="D129:X129" si="45">D127*D128</f>
        <v>2190</v>
      </c>
      <c r="E129" s="118">
        <f t="shared" si="45"/>
        <v>3562.4</v>
      </c>
      <c r="F129" s="118">
        <f t="shared" si="45"/>
        <v>4752.2999999999993</v>
      </c>
      <c r="G129" s="118">
        <f t="shared" si="45"/>
        <v>6110.1</v>
      </c>
      <c r="H129" s="118">
        <f t="shared" si="45"/>
        <v>7358.4</v>
      </c>
      <c r="I129" s="118">
        <f t="shared" si="45"/>
        <v>8876.7999999999993</v>
      </c>
      <c r="J129" s="118">
        <f t="shared" si="45"/>
        <v>10201.75</v>
      </c>
      <c r="K129" s="118">
        <f t="shared" si="45"/>
        <v>11625.25</v>
      </c>
      <c r="L129" s="118">
        <f t="shared" si="45"/>
        <v>13008.600000000002</v>
      </c>
      <c r="M129" s="118">
        <f t="shared" si="45"/>
        <v>14673</v>
      </c>
      <c r="N129" s="118">
        <f t="shared" si="45"/>
        <v>16133</v>
      </c>
      <c r="O129" s="118">
        <f t="shared" si="45"/>
        <v>17373.999999999996</v>
      </c>
      <c r="P129" s="118">
        <f t="shared" si="45"/>
        <v>19140.599999999999</v>
      </c>
      <c r="Q129" s="118">
        <f t="shared" si="45"/>
        <v>20950.999999999996</v>
      </c>
      <c r="R129" s="118">
        <f t="shared" si="45"/>
        <v>22546.05</v>
      </c>
      <c r="S129" s="118">
        <f t="shared" si="45"/>
        <v>23841.8</v>
      </c>
      <c r="T129" s="118">
        <f t="shared" si="45"/>
        <v>25754.399999999998</v>
      </c>
      <c r="U129" s="118">
        <f t="shared" si="45"/>
        <v>27444.35</v>
      </c>
      <c r="V129" s="118">
        <f t="shared" si="45"/>
        <v>29440.9</v>
      </c>
      <c r="W129" s="118">
        <f t="shared" si="45"/>
        <v>31061.499999999996</v>
      </c>
      <c r="X129" s="118">
        <f t="shared" si="45"/>
        <v>32850</v>
      </c>
    </row>
    <row r="130" spans="1:24" x14ac:dyDescent="0.3">
      <c r="A130" t="s">
        <v>290</v>
      </c>
      <c r="D130" s="119">
        <v>1510</v>
      </c>
      <c r="E130" s="118">
        <f t="shared" ref="E130:X130" si="46">D130*(1+E131)</f>
        <v>1661.0000000000002</v>
      </c>
      <c r="F130" s="118">
        <f t="shared" si="46"/>
        <v>1793.8800000000003</v>
      </c>
      <c r="G130" s="118">
        <f t="shared" si="46"/>
        <v>1919.4516000000006</v>
      </c>
      <c r="H130" s="118">
        <f t="shared" si="46"/>
        <v>2034.6186960000007</v>
      </c>
      <c r="I130" s="118">
        <f t="shared" si="46"/>
        <v>2136.3496308000008</v>
      </c>
      <c r="J130" s="118">
        <f t="shared" si="46"/>
        <v>2243.167112340001</v>
      </c>
      <c r="K130" s="118">
        <f t="shared" si="46"/>
        <v>2332.8937968336013</v>
      </c>
      <c r="L130" s="118">
        <f t="shared" si="46"/>
        <v>2426.2095487069455</v>
      </c>
      <c r="M130" s="118">
        <f t="shared" si="46"/>
        <v>2523.2579306552234</v>
      </c>
      <c r="N130" s="118">
        <f t="shared" si="46"/>
        <v>2598.9556685748803</v>
      </c>
      <c r="O130" s="118">
        <f t="shared" si="46"/>
        <v>2676.9243386321268</v>
      </c>
      <c r="P130" s="118">
        <f t="shared" si="46"/>
        <v>2757.2320687910906</v>
      </c>
      <c r="Q130" s="118">
        <f t="shared" si="46"/>
        <v>2839.9490308548234</v>
      </c>
      <c r="R130" s="118">
        <f t="shared" si="46"/>
        <v>2925.1475017804682</v>
      </c>
      <c r="S130" s="118">
        <f t="shared" si="46"/>
        <v>3012.9019268338825</v>
      </c>
      <c r="T130" s="118">
        <f t="shared" si="46"/>
        <v>3103.2889846388989</v>
      </c>
      <c r="U130" s="118">
        <f t="shared" si="46"/>
        <v>3196.387654178066</v>
      </c>
      <c r="V130" s="118">
        <f t="shared" si="46"/>
        <v>3292.2792838034079</v>
      </c>
      <c r="W130" s="118">
        <f t="shared" si="46"/>
        <v>3391.0476623175105</v>
      </c>
      <c r="X130" s="118">
        <f t="shared" si="46"/>
        <v>3492.779092187036</v>
      </c>
    </row>
    <row r="131" spans="1:24" x14ac:dyDescent="0.3">
      <c r="A131" t="s">
        <v>273</v>
      </c>
      <c r="D131" s="54"/>
      <c r="E131" s="55">
        <v>0.1</v>
      </c>
      <c r="F131" s="55">
        <v>0.08</v>
      </c>
      <c r="G131" s="55">
        <v>7.0000000000000007E-2</v>
      </c>
      <c r="H131" s="55">
        <v>0.06</v>
      </c>
      <c r="I131" s="55">
        <v>0.05</v>
      </c>
      <c r="J131" s="55">
        <v>0.05</v>
      </c>
      <c r="K131" s="55">
        <v>0.04</v>
      </c>
      <c r="L131" s="55">
        <v>0.04</v>
      </c>
      <c r="M131" s="55">
        <v>0.04</v>
      </c>
      <c r="N131" s="55">
        <v>0.03</v>
      </c>
      <c r="O131" s="55">
        <v>0.03</v>
      </c>
      <c r="P131" s="55">
        <v>0.03</v>
      </c>
      <c r="Q131" s="55">
        <v>0.03</v>
      </c>
      <c r="R131" s="55">
        <v>0.03</v>
      </c>
      <c r="S131" s="55">
        <v>0.03</v>
      </c>
      <c r="T131" s="55">
        <v>0.03</v>
      </c>
      <c r="U131" s="55">
        <v>0.03</v>
      </c>
      <c r="V131" s="55">
        <v>0.03</v>
      </c>
      <c r="W131" s="55">
        <v>0.03</v>
      </c>
      <c r="X131" s="55">
        <v>0.03</v>
      </c>
    </row>
    <row r="132" spans="1:24" x14ac:dyDescent="0.3">
      <c r="A132" s="1" t="s">
        <v>274</v>
      </c>
      <c r="B132" s="1"/>
      <c r="C132" s="1"/>
      <c r="D132" s="120">
        <f t="shared" ref="D132:X132" si="47">D129+D130</f>
        <v>3700</v>
      </c>
      <c r="E132" s="120">
        <f t="shared" si="47"/>
        <v>5223.4000000000005</v>
      </c>
      <c r="F132" s="120">
        <f t="shared" si="47"/>
        <v>6546.1799999999994</v>
      </c>
      <c r="G132" s="120">
        <f t="shared" si="47"/>
        <v>8029.5516000000007</v>
      </c>
      <c r="H132" s="120">
        <f t="shared" si="47"/>
        <v>9393.018696000001</v>
      </c>
      <c r="I132" s="120">
        <f t="shared" si="47"/>
        <v>11013.149630800001</v>
      </c>
      <c r="J132" s="120">
        <f t="shared" si="47"/>
        <v>12444.917112340001</v>
      </c>
      <c r="K132" s="120">
        <f t="shared" si="47"/>
        <v>13958.143796833601</v>
      </c>
      <c r="L132" s="120">
        <f t="shared" si="47"/>
        <v>15434.809548706948</v>
      </c>
      <c r="M132" s="120">
        <f t="shared" si="47"/>
        <v>17196.257930655222</v>
      </c>
      <c r="N132" s="120">
        <f t="shared" si="47"/>
        <v>18731.955668574879</v>
      </c>
      <c r="O132" s="120">
        <f t="shared" si="47"/>
        <v>20050.924338632125</v>
      </c>
      <c r="P132" s="120">
        <f t="shared" si="47"/>
        <v>21897.832068791089</v>
      </c>
      <c r="Q132" s="120">
        <f t="shared" si="47"/>
        <v>23790.949030854819</v>
      </c>
      <c r="R132" s="120">
        <f t="shared" si="47"/>
        <v>25471.197501780469</v>
      </c>
      <c r="S132" s="120">
        <f t="shared" si="47"/>
        <v>26854.701926833881</v>
      </c>
      <c r="T132" s="120">
        <f t="shared" si="47"/>
        <v>28857.688984638895</v>
      </c>
      <c r="U132" s="120">
        <f t="shared" si="47"/>
        <v>30640.737654178065</v>
      </c>
      <c r="V132" s="120">
        <f t="shared" si="47"/>
        <v>32733.179283803409</v>
      </c>
      <c r="W132" s="120">
        <f t="shared" si="47"/>
        <v>34452.547662317505</v>
      </c>
      <c r="X132" s="120">
        <f t="shared" si="47"/>
        <v>36342.779092187033</v>
      </c>
    </row>
    <row r="133" spans="1:24" x14ac:dyDescent="0.3">
      <c r="A133" t="s">
        <v>275</v>
      </c>
      <c r="D133" s="118">
        <f t="shared" ref="D133:X133" si="48">D49</f>
        <v>4086</v>
      </c>
      <c r="E133" s="118">
        <f t="shared" si="48"/>
        <v>4494.6000000000004</v>
      </c>
      <c r="F133" s="118">
        <f t="shared" si="48"/>
        <v>5123.844000000001</v>
      </c>
      <c r="G133" s="118">
        <f t="shared" si="48"/>
        <v>6046.1359200000006</v>
      </c>
      <c r="H133" s="118">
        <f t="shared" si="48"/>
        <v>7376.2858224000011</v>
      </c>
      <c r="I133" s="118">
        <f t="shared" si="48"/>
        <v>9294.1201362240008</v>
      </c>
      <c r="J133" s="118">
        <f t="shared" si="48"/>
        <v>11338.82656619328</v>
      </c>
      <c r="K133" s="118">
        <f t="shared" si="48"/>
        <v>13379.81534810807</v>
      </c>
      <c r="L133" s="118">
        <f t="shared" si="48"/>
        <v>15386.787650324279</v>
      </c>
      <c r="M133" s="118">
        <f t="shared" si="48"/>
        <v>17387.070044866432</v>
      </c>
      <c r="N133" s="118">
        <f t="shared" si="48"/>
        <v>19299.647749801741</v>
      </c>
      <c r="O133" s="118">
        <f t="shared" si="48"/>
        <v>21229.612524781918</v>
      </c>
      <c r="P133" s="118">
        <f t="shared" si="48"/>
        <v>23140.277652012293</v>
      </c>
      <c r="Q133" s="118">
        <f t="shared" si="48"/>
        <v>24991.499864173278</v>
      </c>
      <c r="R133" s="118">
        <f t="shared" si="48"/>
        <v>26740.904854665408</v>
      </c>
      <c r="S133" s="118">
        <f t="shared" si="48"/>
        <v>28345.359145945335</v>
      </c>
      <c r="T133" s="118">
        <f t="shared" si="48"/>
        <v>29762.627103242601</v>
      </c>
      <c r="U133" s="118">
        <f t="shared" si="48"/>
        <v>31101.945322888518</v>
      </c>
      <c r="V133" s="118">
        <f t="shared" si="48"/>
        <v>32346.023135804058</v>
      </c>
      <c r="W133" s="118">
        <f t="shared" si="48"/>
        <v>33478.133945557194</v>
      </c>
      <c r="X133" s="118">
        <f t="shared" si="48"/>
        <v>34482.477963923913</v>
      </c>
    </row>
    <row r="134" spans="1:24" x14ac:dyDescent="0.3">
      <c r="A134" s="2" t="s">
        <v>276</v>
      </c>
      <c r="D134" s="64">
        <f t="shared" ref="D134:X134" si="49">IF(D133=0,0,D132/D133-1)</f>
        <v>-9.4468918257464507E-2</v>
      </c>
      <c r="E134" s="64">
        <f t="shared" si="49"/>
        <v>0.16215013571841763</v>
      </c>
      <c r="F134" s="64">
        <f t="shared" si="49"/>
        <v>0.27759158943949069</v>
      </c>
      <c r="G134" s="64">
        <f t="shared" si="49"/>
        <v>0.32804682300294696</v>
      </c>
      <c r="H134" s="64">
        <f t="shared" si="49"/>
        <v>0.27340763660156298</v>
      </c>
      <c r="I134" s="64">
        <f t="shared" si="49"/>
        <v>0.18495882013360809</v>
      </c>
      <c r="J134" s="64">
        <f t="shared" si="49"/>
        <v>9.7548942978326503E-2</v>
      </c>
      <c r="K134" s="64">
        <f t="shared" si="49"/>
        <v>4.3223948438668724E-2</v>
      </c>
      <c r="L134" s="64">
        <f t="shared" si="49"/>
        <v>3.1209827206302165E-3</v>
      </c>
      <c r="M134" s="64">
        <f t="shared" si="49"/>
        <v>-1.0974368523208877E-2</v>
      </c>
      <c r="N134" s="64">
        <f t="shared" si="49"/>
        <v>-2.9414634328374878E-2</v>
      </c>
      <c r="O134" s="64">
        <f t="shared" si="49"/>
        <v>-5.5520946732959819E-2</v>
      </c>
      <c r="P134" s="64">
        <f t="shared" si="49"/>
        <v>-5.3691904734477602E-2</v>
      </c>
      <c r="Q134" s="64">
        <f t="shared" si="49"/>
        <v>-4.8038366638391117E-2</v>
      </c>
      <c r="R134" s="64">
        <f t="shared" si="49"/>
        <v>-4.7481839518359381E-2</v>
      </c>
      <c r="S134" s="64">
        <f t="shared" si="49"/>
        <v>-5.2589110317365129E-2</v>
      </c>
      <c r="T134" s="64">
        <f t="shared" si="49"/>
        <v>-3.0405182830957611E-2</v>
      </c>
      <c r="U134" s="64">
        <f t="shared" si="49"/>
        <v>-1.4828901019610541E-2</v>
      </c>
      <c r="V134" s="64">
        <f t="shared" si="49"/>
        <v>1.1969203953570595E-2</v>
      </c>
      <c r="W134" s="64">
        <f t="shared" si="49"/>
        <v>2.9105974614502816E-2</v>
      </c>
      <c r="X134" s="64">
        <f t="shared" si="49"/>
        <v>5.3949171814432706E-2</v>
      </c>
    </row>
  </sheetData>
  <mergeCells count="1">
    <mergeCell ref="A124:X12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DB10-3AFB-4750-A162-73A87D0EA787}">
  <sheetPr>
    <tabColor rgb="FFFFFFFF"/>
  </sheetPr>
  <dimension ref="A1:X135"/>
  <sheetViews>
    <sheetView showGridLines="0" workbookViewId="0">
      <pane ySplit="5" topLeftCell="A6" activePane="bottomLeft" state="frozen"/>
      <selection pane="bottomLeft" activeCell="C5" sqref="C5"/>
    </sheetView>
  </sheetViews>
  <sheetFormatPr defaultRowHeight="14.4" x14ac:dyDescent="0.3"/>
  <cols>
    <col min="1" max="1" width="42.5546875" customWidth="1"/>
    <col min="2" max="2" width="20" bestFit="1" customWidth="1"/>
    <col min="3" max="3" width="20" customWidth="1"/>
    <col min="4" max="24" width="11.109375" customWidth="1"/>
  </cols>
  <sheetData>
    <row r="1" spans="1:24" ht="30" customHeight="1" x14ac:dyDescent="0.3">
      <c r="A1" s="324" t="s">
        <v>768</v>
      </c>
    </row>
    <row r="2" spans="1:24" x14ac:dyDescent="0.3">
      <c r="A2" s="3" t="s">
        <v>258</v>
      </c>
    </row>
    <row r="3" spans="1:24" x14ac:dyDescent="0.3">
      <c r="A3" s="24" t="s">
        <v>137</v>
      </c>
    </row>
    <row r="5" spans="1:24" ht="18" x14ac:dyDescent="0.35">
      <c r="A5" s="1" t="s">
        <v>61</v>
      </c>
      <c r="B5" s="169">
        <f>COVER!B30</f>
        <v>2</v>
      </c>
      <c r="C5" s="25" t="str">
        <f>IF(B5=1,"◀  BEAR",IF(B5=2,"◀  BASE","◀  BULL"))</f>
        <v>◀  BASE</v>
      </c>
      <c r="D5" s="3" t="s">
        <v>62</v>
      </c>
    </row>
    <row r="7" spans="1:24" x14ac:dyDescent="0.3">
      <c r="A7" s="5" t="s">
        <v>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6"/>
      <c r="B8" s="52" t="s">
        <v>64</v>
      </c>
      <c r="C8" s="52" t="s">
        <v>65</v>
      </c>
      <c r="D8" s="52" t="s">
        <v>66</v>
      </c>
      <c r="E8" s="52" t="s">
        <v>67</v>
      </c>
      <c r="F8" s="52" t="s">
        <v>68</v>
      </c>
      <c r="G8" s="52" t="s">
        <v>69</v>
      </c>
      <c r="H8" s="52" t="s">
        <v>70</v>
      </c>
      <c r="I8" s="52" t="s">
        <v>71</v>
      </c>
      <c r="J8" s="52" t="s">
        <v>72</v>
      </c>
      <c r="K8" s="52" t="s">
        <v>73</v>
      </c>
      <c r="L8" s="52" t="s">
        <v>74</v>
      </c>
      <c r="M8" s="52" t="s">
        <v>75</v>
      </c>
      <c r="N8" s="52" t="s">
        <v>76</v>
      </c>
      <c r="O8" s="52" t="s">
        <v>245</v>
      </c>
      <c r="P8" s="52" t="s">
        <v>246</v>
      </c>
      <c r="Q8" s="52" t="s">
        <v>247</v>
      </c>
      <c r="R8" s="52" t="s">
        <v>248</v>
      </c>
      <c r="S8" s="52" t="s">
        <v>249</v>
      </c>
      <c r="T8" s="52" t="s">
        <v>250</v>
      </c>
      <c r="U8" s="52" t="s">
        <v>251</v>
      </c>
      <c r="V8" s="52" t="s">
        <v>252</v>
      </c>
      <c r="W8" s="52" t="s">
        <v>253</v>
      </c>
      <c r="X8" s="52" t="s">
        <v>254</v>
      </c>
    </row>
    <row r="9" spans="1:24" x14ac:dyDescent="0.3">
      <c r="A9" t="s">
        <v>77</v>
      </c>
      <c r="B9" s="88"/>
      <c r="C9" s="88"/>
      <c r="D9" s="88"/>
      <c r="E9" s="55">
        <v>0.15</v>
      </c>
      <c r="F9" s="55">
        <v>0.2</v>
      </c>
      <c r="G9" s="55">
        <v>0.25</v>
      </c>
      <c r="H9" s="55">
        <v>0.28000000000000003</v>
      </c>
      <c r="I9" s="55">
        <v>0.3</v>
      </c>
      <c r="J9" s="55">
        <v>0.28000000000000003</v>
      </c>
      <c r="K9" s="55">
        <v>0.25</v>
      </c>
      <c r="L9" s="55">
        <v>0.22</v>
      </c>
      <c r="M9" s="55">
        <v>0.18</v>
      </c>
      <c r="N9" s="55">
        <v>0.15</v>
      </c>
      <c r="O9" s="55">
        <v>0.14000000000000001</v>
      </c>
      <c r="P9" s="55">
        <v>0.13</v>
      </c>
      <c r="Q9" s="55">
        <v>0.12</v>
      </c>
      <c r="R9" s="55">
        <v>0.1</v>
      </c>
      <c r="S9" s="55">
        <v>0.09</v>
      </c>
      <c r="T9" s="55">
        <v>0.08</v>
      </c>
      <c r="U9" s="55">
        <v>7.0000000000000007E-2</v>
      </c>
      <c r="V9" s="55">
        <v>0.06</v>
      </c>
      <c r="W9" s="55">
        <v>0.05</v>
      </c>
      <c r="X9" s="55">
        <v>0.04</v>
      </c>
    </row>
    <row r="10" spans="1:24" x14ac:dyDescent="0.3">
      <c r="A10" t="s">
        <v>78</v>
      </c>
      <c r="B10" s="88"/>
      <c r="C10" s="88"/>
      <c r="D10" s="88"/>
      <c r="E10" s="55">
        <v>-0.3</v>
      </c>
      <c r="F10" s="55">
        <v>-0.15</v>
      </c>
      <c r="G10" s="55">
        <v>0</v>
      </c>
      <c r="H10" s="55">
        <v>0.1</v>
      </c>
      <c r="I10" s="55">
        <v>0.18</v>
      </c>
      <c r="J10" s="55">
        <v>0.23</v>
      </c>
      <c r="K10" s="55">
        <v>0.27</v>
      </c>
      <c r="L10" s="55">
        <v>0.3</v>
      </c>
      <c r="M10" s="55">
        <v>0.32</v>
      </c>
      <c r="N10" s="55">
        <v>0.34</v>
      </c>
      <c r="O10" s="55">
        <v>0.36</v>
      </c>
      <c r="P10" s="55">
        <v>0.38</v>
      </c>
      <c r="Q10" s="55">
        <v>0.39</v>
      </c>
      <c r="R10" s="55">
        <v>0.4</v>
      </c>
      <c r="S10" s="55">
        <v>0.41</v>
      </c>
      <c r="T10" s="55">
        <v>0.42</v>
      </c>
      <c r="U10" s="55">
        <v>0.42</v>
      </c>
      <c r="V10" s="55">
        <v>0.43</v>
      </c>
      <c r="W10" s="55">
        <v>0.43</v>
      </c>
      <c r="X10" s="55">
        <v>0.44</v>
      </c>
    </row>
    <row r="11" spans="1:24" x14ac:dyDescent="0.3">
      <c r="A11" t="s">
        <v>79</v>
      </c>
      <c r="B11" s="88"/>
      <c r="C11" s="88"/>
      <c r="D11" s="88"/>
      <c r="E11" s="55">
        <v>1.05</v>
      </c>
      <c r="F11" s="55">
        <v>0.9</v>
      </c>
      <c r="G11" s="55">
        <v>0.75</v>
      </c>
      <c r="H11" s="55">
        <v>0.62</v>
      </c>
      <c r="I11" s="55">
        <v>0.52</v>
      </c>
      <c r="J11" s="55">
        <v>0.44</v>
      </c>
      <c r="K11" s="55">
        <v>0.38</v>
      </c>
      <c r="L11" s="55">
        <v>0.33</v>
      </c>
      <c r="M11" s="55">
        <v>0.28999999999999998</v>
      </c>
      <c r="N11" s="55">
        <v>0.26</v>
      </c>
      <c r="O11" s="55">
        <v>0.24</v>
      </c>
      <c r="P11" s="55">
        <v>0.22</v>
      </c>
      <c r="Q11" s="55">
        <v>0.2</v>
      </c>
      <c r="R11" s="55">
        <v>0.19</v>
      </c>
      <c r="S11" s="55">
        <v>0.18</v>
      </c>
      <c r="T11" s="55">
        <v>0.17</v>
      </c>
      <c r="U11" s="55">
        <v>0.16</v>
      </c>
      <c r="V11" s="55">
        <v>0.16</v>
      </c>
      <c r="W11" s="55">
        <v>0.15</v>
      </c>
      <c r="X11" s="55">
        <v>0.15</v>
      </c>
    </row>
    <row r="12" spans="1:24" x14ac:dyDescent="0.3">
      <c r="A12" t="s">
        <v>80</v>
      </c>
      <c r="B12" s="88"/>
      <c r="C12" s="88"/>
      <c r="D12" s="88"/>
      <c r="E12" s="55">
        <v>3.6</v>
      </c>
      <c r="F12" s="55">
        <v>2.8</v>
      </c>
      <c r="G12" s="55">
        <v>2.1</v>
      </c>
      <c r="H12" s="55">
        <v>1.6</v>
      </c>
      <c r="I12" s="55">
        <v>1.2</v>
      </c>
      <c r="J12" s="55">
        <v>0.95</v>
      </c>
      <c r="K12" s="55">
        <v>0.78</v>
      </c>
      <c r="L12" s="55">
        <v>0.65</v>
      </c>
      <c r="M12" s="55">
        <v>0.55000000000000004</v>
      </c>
      <c r="N12" s="55">
        <v>0.48</v>
      </c>
      <c r="O12" s="55">
        <v>0.44</v>
      </c>
      <c r="P12" s="55">
        <v>0.4</v>
      </c>
      <c r="Q12" s="55">
        <v>0.36</v>
      </c>
      <c r="R12" s="55">
        <v>0.33</v>
      </c>
      <c r="S12" s="55">
        <v>0.3</v>
      </c>
      <c r="T12" s="55">
        <v>0.27</v>
      </c>
      <c r="U12" s="55">
        <v>0.24</v>
      </c>
      <c r="V12" s="55">
        <v>0.22</v>
      </c>
      <c r="W12" s="55">
        <v>0.2</v>
      </c>
      <c r="X12" s="55">
        <v>0.18</v>
      </c>
    </row>
    <row r="13" spans="1:24" x14ac:dyDescent="0.3">
      <c r="A13" t="s">
        <v>81</v>
      </c>
      <c r="B13" s="88"/>
      <c r="C13" s="88"/>
      <c r="D13" s="88"/>
      <c r="E13" s="55">
        <v>0.08</v>
      </c>
      <c r="F13" s="55">
        <v>7.0000000000000007E-2</v>
      </c>
      <c r="G13" s="55">
        <v>0.06</v>
      </c>
      <c r="H13" s="55">
        <v>0.06</v>
      </c>
      <c r="I13" s="55">
        <v>0.05</v>
      </c>
      <c r="J13" s="55">
        <v>0.05</v>
      </c>
      <c r="K13" s="55">
        <v>0.04</v>
      </c>
      <c r="L13" s="55">
        <v>0.04</v>
      </c>
      <c r="M13" s="55">
        <v>0.03</v>
      </c>
      <c r="N13" s="55">
        <v>0.03</v>
      </c>
      <c r="O13" s="55">
        <v>0.03</v>
      </c>
      <c r="P13" s="55">
        <v>0.03</v>
      </c>
      <c r="Q13" s="55">
        <v>2.5000000000000001E-2</v>
      </c>
      <c r="R13" s="55">
        <v>2.5000000000000001E-2</v>
      </c>
      <c r="S13" s="55">
        <v>2.5000000000000001E-2</v>
      </c>
      <c r="T13" s="55">
        <v>0.02</v>
      </c>
      <c r="U13" s="55">
        <v>0.02</v>
      </c>
      <c r="V13" s="55">
        <v>0.02</v>
      </c>
      <c r="W13" s="55">
        <v>0.02</v>
      </c>
      <c r="X13" s="55">
        <v>0.02</v>
      </c>
    </row>
    <row r="14" spans="1:24" x14ac:dyDescent="0.3">
      <c r="A14" t="s">
        <v>82</v>
      </c>
      <c r="B14" s="143">
        <f>WACC!D49</f>
        <v>2.5000000000000001E-2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 spans="1:24" x14ac:dyDescent="0.3">
      <c r="A15" t="s">
        <v>57</v>
      </c>
      <c r="B15" s="87">
        <f>WACC!B49</f>
        <v>0.11585357991614477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 spans="1:24" x14ac:dyDescent="0.3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 spans="1:24" x14ac:dyDescent="0.3">
      <c r="A17" s="5" t="s">
        <v>83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 spans="1:24" x14ac:dyDescent="0.3">
      <c r="A18" s="6"/>
      <c r="B18" s="52" t="s">
        <v>64</v>
      </c>
      <c r="C18" s="52" t="s">
        <v>65</v>
      </c>
      <c r="D18" s="52" t="s">
        <v>66</v>
      </c>
      <c r="E18" s="52" t="s">
        <v>67</v>
      </c>
      <c r="F18" s="52" t="s">
        <v>68</v>
      </c>
      <c r="G18" s="52" t="s">
        <v>69</v>
      </c>
      <c r="H18" s="52" t="s">
        <v>70</v>
      </c>
      <c r="I18" s="52" t="s">
        <v>71</v>
      </c>
      <c r="J18" s="52" t="s">
        <v>72</v>
      </c>
      <c r="K18" s="52" t="s">
        <v>73</v>
      </c>
      <c r="L18" s="52" t="s">
        <v>74</v>
      </c>
      <c r="M18" s="52" t="s">
        <v>75</v>
      </c>
      <c r="N18" s="52" t="s">
        <v>76</v>
      </c>
      <c r="O18" s="52" t="s">
        <v>245</v>
      </c>
      <c r="P18" s="52" t="s">
        <v>246</v>
      </c>
      <c r="Q18" s="52" t="s">
        <v>247</v>
      </c>
      <c r="R18" s="52" t="s">
        <v>248</v>
      </c>
      <c r="S18" s="52" t="s">
        <v>249</v>
      </c>
      <c r="T18" s="52" t="s">
        <v>250</v>
      </c>
      <c r="U18" s="52" t="s">
        <v>251</v>
      </c>
      <c r="V18" s="52" t="s">
        <v>252</v>
      </c>
      <c r="W18" s="52" t="s">
        <v>253</v>
      </c>
      <c r="X18" s="52" t="s">
        <v>254</v>
      </c>
    </row>
    <row r="19" spans="1:24" x14ac:dyDescent="0.3">
      <c r="A19" t="s">
        <v>77</v>
      </c>
      <c r="B19" s="88"/>
      <c r="C19" s="88"/>
      <c r="D19" s="88"/>
      <c r="E19" s="55">
        <v>0.28000000000000003</v>
      </c>
      <c r="F19" s="55">
        <v>0.38</v>
      </c>
      <c r="G19" s="55">
        <v>0.45</v>
      </c>
      <c r="H19" s="55">
        <v>0.48</v>
      </c>
      <c r="I19" s="55">
        <v>0.45</v>
      </c>
      <c r="J19" s="55">
        <v>0.38</v>
      </c>
      <c r="K19" s="55">
        <v>0.32</v>
      </c>
      <c r="L19" s="55">
        <v>0.27</v>
      </c>
      <c r="M19" s="55">
        <v>0.22</v>
      </c>
      <c r="N19" s="55">
        <v>0.18</v>
      </c>
      <c r="O19" s="55">
        <v>0.16</v>
      </c>
      <c r="P19" s="55">
        <v>0.15</v>
      </c>
      <c r="Q19" s="55">
        <v>0.13</v>
      </c>
      <c r="R19" s="55">
        <v>0.12</v>
      </c>
      <c r="S19" s="55">
        <v>0.1</v>
      </c>
      <c r="T19" s="55">
        <v>0.09</v>
      </c>
      <c r="U19" s="55">
        <v>0.08</v>
      </c>
      <c r="V19" s="55">
        <v>7.0000000000000007E-2</v>
      </c>
      <c r="W19" s="55">
        <v>0.06</v>
      </c>
      <c r="X19" s="55">
        <v>0.05</v>
      </c>
    </row>
    <row r="20" spans="1:24" x14ac:dyDescent="0.3">
      <c r="A20" t="s">
        <v>78</v>
      </c>
      <c r="B20" s="88"/>
      <c r="C20" s="88"/>
      <c r="D20" s="88"/>
      <c r="E20" s="55">
        <v>-0.15</v>
      </c>
      <c r="F20" s="55">
        <v>0.02</v>
      </c>
      <c r="G20" s="55">
        <v>0.12</v>
      </c>
      <c r="H20" s="55">
        <v>0.22</v>
      </c>
      <c r="I20" s="55">
        <v>0.3</v>
      </c>
      <c r="J20" s="55">
        <v>0.36</v>
      </c>
      <c r="K20" s="55">
        <v>0.4</v>
      </c>
      <c r="L20" s="55">
        <v>0.43</v>
      </c>
      <c r="M20" s="55">
        <v>0.45</v>
      </c>
      <c r="N20" s="55">
        <v>0.46</v>
      </c>
      <c r="O20" s="55">
        <v>0.48</v>
      </c>
      <c r="P20" s="55">
        <v>0.5</v>
      </c>
      <c r="Q20" s="55">
        <v>0.51</v>
      </c>
      <c r="R20" s="55">
        <v>0.52</v>
      </c>
      <c r="S20" s="55">
        <v>0.53</v>
      </c>
      <c r="T20" s="55">
        <v>0.54</v>
      </c>
      <c r="U20" s="55">
        <v>0.55000000000000004</v>
      </c>
      <c r="V20" s="55">
        <v>0.56000000000000005</v>
      </c>
      <c r="W20" s="55">
        <v>0.56999999999999995</v>
      </c>
      <c r="X20" s="55">
        <v>0.57999999999999996</v>
      </c>
    </row>
    <row r="21" spans="1:24" x14ac:dyDescent="0.3">
      <c r="A21" t="s">
        <v>79</v>
      </c>
      <c r="B21" s="88"/>
      <c r="C21" s="88"/>
      <c r="D21" s="88"/>
      <c r="E21" s="55">
        <v>1.05</v>
      </c>
      <c r="F21" s="55">
        <v>0.9</v>
      </c>
      <c r="G21" s="55">
        <v>0.75</v>
      </c>
      <c r="H21" s="55">
        <v>0.62</v>
      </c>
      <c r="I21" s="55">
        <v>0.52</v>
      </c>
      <c r="J21" s="55">
        <v>0.44</v>
      </c>
      <c r="K21" s="55">
        <v>0.38</v>
      </c>
      <c r="L21" s="55">
        <v>0.33</v>
      </c>
      <c r="M21" s="55">
        <v>0.28999999999999998</v>
      </c>
      <c r="N21" s="55">
        <v>0.26</v>
      </c>
      <c r="O21" s="55">
        <v>0.24</v>
      </c>
      <c r="P21" s="55">
        <v>0.22</v>
      </c>
      <c r="Q21" s="55">
        <v>0.2</v>
      </c>
      <c r="R21" s="55">
        <v>0.19</v>
      </c>
      <c r="S21" s="55">
        <v>0.18</v>
      </c>
      <c r="T21" s="55">
        <v>0.17</v>
      </c>
      <c r="U21" s="55">
        <v>0.16</v>
      </c>
      <c r="V21" s="55">
        <v>0.16</v>
      </c>
      <c r="W21" s="55">
        <v>0.15</v>
      </c>
      <c r="X21" s="55">
        <v>0.15</v>
      </c>
    </row>
    <row r="22" spans="1:24" x14ac:dyDescent="0.3">
      <c r="A22" t="s">
        <v>80</v>
      </c>
      <c r="B22" s="88"/>
      <c r="C22" s="88"/>
      <c r="D22" s="88"/>
      <c r="E22" s="55">
        <v>3.2</v>
      </c>
      <c r="F22" s="55">
        <v>2.4</v>
      </c>
      <c r="G22" s="55">
        <v>1.8</v>
      </c>
      <c r="H22" s="55">
        <v>1.35</v>
      </c>
      <c r="I22" s="55">
        <v>1</v>
      </c>
      <c r="J22" s="55">
        <v>0.8</v>
      </c>
      <c r="K22" s="55">
        <v>0.65</v>
      </c>
      <c r="L22" s="55">
        <v>0.54</v>
      </c>
      <c r="M22" s="55">
        <v>0.46</v>
      </c>
      <c r="N22" s="55">
        <v>0.4</v>
      </c>
      <c r="O22" s="55">
        <v>0.36</v>
      </c>
      <c r="P22" s="55">
        <v>0.33</v>
      </c>
      <c r="Q22" s="55">
        <v>0.3</v>
      </c>
      <c r="R22" s="55">
        <v>0.27</v>
      </c>
      <c r="S22" s="55">
        <v>0.25</v>
      </c>
      <c r="T22" s="55">
        <v>0.22</v>
      </c>
      <c r="U22" s="55">
        <v>0.2</v>
      </c>
      <c r="V22" s="55">
        <v>0.18</v>
      </c>
      <c r="W22" s="55">
        <v>0.16</v>
      </c>
      <c r="X22" s="55">
        <v>0.15</v>
      </c>
    </row>
    <row r="23" spans="1:24" x14ac:dyDescent="0.3">
      <c r="A23" t="s">
        <v>81</v>
      </c>
      <c r="B23" s="88"/>
      <c r="C23" s="88"/>
      <c r="D23" s="88"/>
      <c r="E23" s="55">
        <v>0.06</v>
      </c>
      <c r="F23" s="55">
        <v>0.06</v>
      </c>
      <c r="G23" s="55">
        <v>0.05</v>
      </c>
      <c r="H23" s="55">
        <v>0.05</v>
      </c>
      <c r="I23" s="55">
        <v>0.04</v>
      </c>
      <c r="J23" s="55">
        <v>0.04</v>
      </c>
      <c r="K23" s="55">
        <v>0.03</v>
      </c>
      <c r="L23" s="55">
        <v>0.03</v>
      </c>
      <c r="M23" s="55">
        <v>0.03</v>
      </c>
      <c r="N23" s="55">
        <v>0.02</v>
      </c>
      <c r="O23" s="55">
        <v>0.02</v>
      </c>
      <c r="P23" s="55">
        <v>0.02</v>
      </c>
      <c r="Q23" s="55">
        <v>0.02</v>
      </c>
      <c r="R23" s="55">
        <v>1.7999999999999999E-2</v>
      </c>
      <c r="S23" s="55">
        <v>1.7999999999999999E-2</v>
      </c>
      <c r="T23" s="55">
        <v>1.4999999999999999E-2</v>
      </c>
      <c r="U23" s="55">
        <v>1.4999999999999999E-2</v>
      </c>
      <c r="V23" s="55">
        <v>1.4999999999999999E-2</v>
      </c>
      <c r="W23" s="55">
        <v>1.4999999999999999E-2</v>
      </c>
      <c r="X23" s="55">
        <v>1.4999999999999999E-2</v>
      </c>
    </row>
    <row r="24" spans="1:24" x14ac:dyDescent="0.3">
      <c r="A24" t="s">
        <v>82</v>
      </c>
      <c r="B24" s="143">
        <f>WACC!C49</f>
        <v>3.5000000000000003E-2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 spans="1:24" x14ac:dyDescent="0.3">
      <c r="A25" t="s">
        <v>57</v>
      </c>
      <c r="B25" s="87">
        <f>WACC!B49</f>
        <v>0.11585357991614477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 spans="1:24" x14ac:dyDescent="0.3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 spans="1:24" x14ac:dyDescent="0.3">
      <c r="A27" s="5" t="s">
        <v>84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 spans="1:24" x14ac:dyDescent="0.3">
      <c r="A28" s="6"/>
      <c r="B28" s="52" t="s">
        <v>64</v>
      </c>
      <c r="C28" s="52" t="s">
        <v>65</v>
      </c>
      <c r="D28" s="52" t="s">
        <v>66</v>
      </c>
      <c r="E28" s="52" t="s">
        <v>67</v>
      </c>
      <c r="F28" s="52" t="s">
        <v>68</v>
      </c>
      <c r="G28" s="52" t="s">
        <v>69</v>
      </c>
      <c r="H28" s="52" t="s">
        <v>70</v>
      </c>
      <c r="I28" s="52" t="s">
        <v>71</v>
      </c>
      <c r="J28" s="52" t="s">
        <v>72</v>
      </c>
      <c r="K28" s="52" t="s">
        <v>73</v>
      </c>
      <c r="L28" s="52" t="s">
        <v>74</v>
      </c>
      <c r="M28" s="52" t="s">
        <v>75</v>
      </c>
      <c r="N28" s="52" t="s">
        <v>76</v>
      </c>
      <c r="O28" s="52" t="s">
        <v>245</v>
      </c>
      <c r="P28" s="52" t="s">
        <v>246</v>
      </c>
      <c r="Q28" s="52" t="s">
        <v>247</v>
      </c>
      <c r="R28" s="52" t="s">
        <v>248</v>
      </c>
      <c r="S28" s="52" t="s">
        <v>249</v>
      </c>
      <c r="T28" s="52" t="s">
        <v>250</v>
      </c>
      <c r="U28" s="52" t="s">
        <v>251</v>
      </c>
      <c r="V28" s="52" t="s">
        <v>252</v>
      </c>
      <c r="W28" s="52" t="s">
        <v>253</v>
      </c>
      <c r="X28" s="52" t="s">
        <v>254</v>
      </c>
    </row>
    <row r="29" spans="1:24" x14ac:dyDescent="0.3">
      <c r="A29" t="s">
        <v>77</v>
      </c>
      <c r="B29" s="88"/>
      <c r="C29" s="88"/>
      <c r="D29" s="88"/>
      <c r="E29" s="55">
        <v>0.45</v>
      </c>
      <c r="F29" s="55">
        <v>0.6</v>
      </c>
      <c r="G29" s="55">
        <v>0.7</v>
      </c>
      <c r="H29" s="55">
        <v>0.7</v>
      </c>
      <c r="I29" s="55">
        <v>0.6</v>
      </c>
      <c r="J29" s="55">
        <v>0.5</v>
      </c>
      <c r="K29" s="55">
        <v>0.42</v>
      </c>
      <c r="L29" s="55">
        <v>0.35</v>
      </c>
      <c r="M29" s="55">
        <v>0.28000000000000003</v>
      </c>
      <c r="N29" s="55">
        <v>0.22</v>
      </c>
      <c r="O29" s="55">
        <v>0.2</v>
      </c>
      <c r="P29" s="55">
        <v>0.18</v>
      </c>
      <c r="Q29" s="55">
        <v>0.16</v>
      </c>
      <c r="R29" s="55">
        <v>0.14000000000000001</v>
      </c>
      <c r="S29" s="55">
        <v>0.12</v>
      </c>
      <c r="T29" s="55">
        <v>0.11</v>
      </c>
      <c r="U29" s="55">
        <v>0.1</v>
      </c>
      <c r="V29" s="55">
        <v>0.09</v>
      </c>
      <c r="W29" s="55">
        <v>7.0000000000000007E-2</v>
      </c>
      <c r="X29" s="55">
        <v>0.06</v>
      </c>
    </row>
    <row r="30" spans="1:24" x14ac:dyDescent="0.3">
      <c r="A30" t="s">
        <v>78</v>
      </c>
      <c r="B30" s="88"/>
      <c r="C30" s="88"/>
      <c r="D30" s="88"/>
      <c r="E30" s="55">
        <v>-0.1</v>
      </c>
      <c r="F30" s="55">
        <v>-0.05</v>
      </c>
      <c r="G30" s="55">
        <v>0.05</v>
      </c>
      <c r="H30" s="55">
        <v>0.12</v>
      </c>
      <c r="I30" s="55">
        <v>0.2</v>
      </c>
      <c r="J30" s="55">
        <v>0.28000000000000003</v>
      </c>
      <c r="K30" s="55">
        <v>0.35</v>
      </c>
      <c r="L30" s="55">
        <v>0.42</v>
      </c>
      <c r="M30" s="55">
        <v>0.48</v>
      </c>
      <c r="N30" s="55">
        <v>0.55000000000000004</v>
      </c>
      <c r="O30" s="55">
        <v>0.56999999999999995</v>
      </c>
      <c r="P30" s="55">
        <v>0.59</v>
      </c>
      <c r="Q30" s="55">
        <v>0.6</v>
      </c>
      <c r="R30" s="55">
        <v>0.61</v>
      </c>
      <c r="S30" s="55">
        <v>0.62</v>
      </c>
      <c r="T30" s="55">
        <v>0.63</v>
      </c>
      <c r="U30" s="55">
        <v>0.64</v>
      </c>
      <c r="V30" s="55">
        <v>0.65</v>
      </c>
      <c r="W30" s="55">
        <v>0.65</v>
      </c>
      <c r="X30" s="55">
        <v>0.66</v>
      </c>
    </row>
    <row r="31" spans="1:24" x14ac:dyDescent="0.3">
      <c r="A31" t="s">
        <v>79</v>
      </c>
      <c r="B31" s="88"/>
      <c r="C31" s="88"/>
      <c r="D31" s="88"/>
      <c r="E31" s="55">
        <v>1.05</v>
      </c>
      <c r="F31" s="55">
        <v>0.9</v>
      </c>
      <c r="G31" s="55">
        <v>0.75</v>
      </c>
      <c r="H31" s="55">
        <v>0.62</v>
      </c>
      <c r="I31" s="55">
        <v>0.52</v>
      </c>
      <c r="J31" s="55">
        <v>0.44</v>
      </c>
      <c r="K31" s="55">
        <v>0.38</v>
      </c>
      <c r="L31" s="55">
        <v>0.33</v>
      </c>
      <c r="M31" s="55">
        <v>0.28999999999999998</v>
      </c>
      <c r="N31" s="55">
        <v>0.26</v>
      </c>
      <c r="O31" s="55">
        <v>0.24</v>
      </c>
      <c r="P31" s="55">
        <v>0.22</v>
      </c>
      <c r="Q31" s="55">
        <v>0.2</v>
      </c>
      <c r="R31" s="55">
        <v>0.18</v>
      </c>
      <c r="S31" s="55">
        <v>0.17</v>
      </c>
      <c r="T31" s="55">
        <v>0.16</v>
      </c>
      <c r="U31" s="55">
        <v>0.15</v>
      </c>
      <c r="V31" s="55">
        <v>0.15</v>
      </c>
      <c r="W31" s="55">
        <v>0.14000000000000001</v>
      </c>
      <c r="X31" s="55">
        <v>0.14000000000000001</v>
      </c>
    </row>
    <row r="32" spans="1:24" x14ac:dyDescent="0.3">
      <c r="A32" t="s">
        <v>80</v>
      </c>
      <c r="B32" s="88"/>
      <c r="C32" s="88"/>
      <c r="D32" s="88"/>
      <c r="E32" s="55">
        <v>2.9</v>
      </c>
      <c r="F32" s="55">
        <v>2.1</v>
      </c>
      <c r="G32" s="55">
        <v>1.55</v>
      </c>
      <c r="H32" s="55">
        <v>1.1499999999999999</v>
      </c>
      <c r="I32" s="55">
        <v>0.85</v>
      </c>
      <c r="J32" s="55">
        <v>0.68</v>
      </c>
      <c r="K32" s="55">
        <v>0.55000000000000004</v>
      </c>
      <c r="L32" s="55">
        <v>0.46</v>
      </c>
      <c r="M32" s="55">
        <v>0.39</v>
      </c>
      <c r="N32" s="55">
        <v>0.34</v>
      </c>
      <c r="O32" s="55">
        <v>0.3</v>
      </c>
      <c r="P32" s="55">
        <v>0.27</v>
      </c>
      <c r="Q32" s="55">
        <v>0.25</v>
      </c>
      <c r="R32" s="55">
        <v>0.22</v>
      </c>
      <c r="S32" s="55">
        <v>0.2</v>
      </c>
      <c r="T32" s="55">
        <v>0.18</v>
      </c>
      <c r="U32" s="55">
        <v>0.16</v>
      </c>
      <c r="V32" s="55">
        <v>0.15</v>
      </c>
      <c r="W32" s="55">
        <v>0.14000000000000001</v>
      </c>
      <c r="X32" s="55">
        <v>0.13</v>
      </c>
    </row>
    <row r="33" spans="1:24" x14ac:dyDescent="0.3">
      <c r="A33" t="s">
        <v>81</v>
      </c>
      <c r="B33" s="88"/>
      <c r="C33" s="88"/>
      <c r="D33" s="88"/>
      <c r="E33" s="55">
        <v>0.05</v>
      </c>
      <c r="F33" s="55">
        <v>0.05</v>
      </c>
      <c r="G33" s="55">
        <v>0.04</v>
      </c>
      <c r="H33" s="55">
        <v>0.04</v>
      </c>
      <c r="I33" s="55">
        <v>0.03</v>
      </c>
      <c r="J33" s="55">
        <v>0.03</v>
      </c>
      <c r="K33" s="55">
        <v>0.03</v>
      </c>
      <c r="L33" s="55">
        <v>0.02</v>
      </c>
      <c r="M33" s="55">
        <v>0.02</v>
      </c>
      <c r="N33" s="55">
        <v>0.02</v>
      </c>
      <c r="O33" s="55">
        <v>0.02</v>
      </c>
      <c r="P33" s="55">
        <v>1.7999999999999999E-2</v>
      </c>
      <c r="Q33" s="55">
        <v>1.7999999999999999E-2</v>
      </c>
      <c r="R33" s="55">
        <v>1.4999999999999999E-2</v>
      </c>
      <c r="S33" s="55">
        <v>1.4999999999999999E-2</v>
      </c>
      <c r="T33" s="55">
        <v>1.4999999999999999E-2</v>
      </c>
      <c r="U33" s="55">
        <v>1.2E-2</v>
      </c>
      <c r="V33" s="55">
        <v>1.2E-2</v>
      </c>
      <c r="W33" s="55">
        <v>1.2E-2</v>
      </c>
      <c r="X33" s="55">
        <v>1.2E-2</v>
      </c>
    </row>
    <row r="34" spans="1:24" x14ac:dyDescent="0.3">
      <c r="A34" t="s">
        <v>82</v>
      </c>
      <c r="B34" s="143">
        <f>WACC!E49</f>
        <v>0.04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 spans="1:24" x14ac:dyDescent="0.3">
      <c r="A35" t="s">
        <v>57</v>
      </c>
      <c r="B35" s="87">
        <f>WACC!B49</f>
        <v>0.11585357991614477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 spans="1:24" x14ac:dyDescent="0.3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 spans="1:24" x14ac:dyDescent="0.3">
      <c r="A37" s="5" t="s">
        <v>128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1:24" x14ac:dyDescent="0.3">
      <c r="A38" s="6"/>
      <c r="B38" s="52" t="s">
        <v>64</v>
      </c>
      <c r="C38" s="52" t="s">
        <v>65</v>
      </c>
      <c r="D38" s="52" t="s">
        <v>66</v>
      </c>
      <c r="E38" s="52" t="s">
        <v>67</v>
      </c>
      <c r="F38" s="52" t="s">
        <v>68</v>
      </c>
      <c r="G38" s="52" t="s">
        <v>69</v>
      </c>
      <c r="H38" s="52" t="s">
        <v>70</v>
      </c>
      <c r="I38" s="52" t="s">
        <v>71</v>
      </c>
      <c r="J38" s="52" t="s">
        <v>72</v>
      </c>
      <c r="K38" s="52" t="s">
        <v>73</v>
      </c>
      <c r="L38" s="52" t="s">
        <v>74</v>
      </c>
      <c r="M38" s="52" t="s">
        <v>75</v>
      </c>
      <c r="N38" s="52" t="s">
        <v>76</v>
      </c>
      <c r="O38" s="52" t="s">
        <v>245</v>
      </c>
      <c r="P38" s="52" t="s">
        <v>246</v>
      </c>
      <c r="Q38" s="52" t="s">
        <v>247</v>
      </c>
      <c r="R38" s="52" t="s">
        <v>248</v>
      </c>
      <c r="S38" s="52" t="s">
        <v>249</v>
      </c>
      <c r="T38" s="52" t="s">
        <v>250</v>
      </c>
      <c r="U38" s="52" t="s">
        <v>251</v>
      </c>
      <c r="V38" s="52" t="s">
        <v>252</v>
      </c>
      <c r="W38" s="52" t="s">
        <v>253</v>
      </c>
      <c r="X38" s="52" t="s">
        <v>254</v>
      </c>
    </row>
    <row r="39" spans="1:24" x14ac:dyDescent="0.3">
      <c r="A39" t="s">
        <v>77</v>
      </c>
      <c r="B39" s="54"/>
      <c r="C39" s="54"/>
      <c r="D39" s="54"/>
      <c r="E39" s="85">
        <f t="shared" ref="E39:N39" si="0">IF($B$5=1,E9,IF($B$5=2,E19,E29))</f>
        <v>0.28000000000000003</v>
      </c>
      <c r="F39" s="85">
        <f t="shared" si="0"/>
        <v>0.38</v>
      </c>
      <c r="G39" s="85">
        <f t="shared" si="0"/>
        <v>0.45</v>
      </c>
      <c r="H39" s="85">
        <f t="shared" si="0"/>
        <v>0.48</v>
      </c>
      <c r="I39" s="85">
        <f t="shared" si="0"/>
        <v>0.45</v>
      </c>
      <c r="J39" s="85">
        <f t="shared" si="0"/>
        <v>0.38</v>
      </c>
      <c r="K39" s="85">
        <f t="shared" si="0"/>
        <v>0.32</v>
      </c>
      <c r="L39" s="85">
        <f t="shared" si="0"/>
        <v>0.27</v>
      </c>
      <c r="M39" s="85">
        <f t="shared" si="0"/>
        <v>0.22</v>
      </c>
      <c r="N39" s="85">
        <f t="shared" si="0"/>
        <v>0.18</v>
      </c>
      <c r="O39" s="64">
        <f t="shared" ref="O39:X39" si="1">IF($B$5=1,O9,IF($B$5=2,O19,O29))</f>
        <v>0.16</v>
      </c>
      <c r="P39" s="64">
        <f t="shared" si="1"/>
        <v>0.15</v>
      </c>
      <c r="Q39" s="64">
        <f t="shared" si="1"/>
        <v>0.13</v>
      </c>
      <c r="R39" s="64">
        <f t="shared" si="1"/>
        <v>0.12</v>
      </c>
      <c r="S39" s="64">
        <f t="shared" si="1"/>
        <v>0.1</v>
      </c>
      <c r="T39" s="64">
        <f t="shared" si="1"/>
        <v>0.09</v>
      </c>
      <c r="U39" s="64">
        <f t="shared" si="1"/>
        <v>0.08</v>
      </c>
      <c r="V39" s="64">
        <f t="shared" si="1"/>
        <v>7.0000000000000007E-2</v>
      </c>
      <c r="W39" s="64">
        <f t="shared" si="1"/>
        <v>0.06</v>
      </c>
      <c r="X39" s="64">
        <f t="shared" si="1"/>
        <v>0.05</v>
      </c>
    </row>
    <row r="40" spans="1:24" x14ac:dyDescent="0.3">
      <c r="A40" t="s">
        <v>78</v>
      </c>
      <c r="B40" s="54"/>
      <c r="C40" s="54"/>
      <c r="D40" s="54"/>
      <c r="E40" s="85">
        <f t="shared" ref="E40:N40" si="2">IF($B$5=1,E10,IF($B$5=2,E20,E30))</f>
        <v>-0.15</v>
      </c>
      <c r="F40" s="85">
        <f t="shared" si="2"/>
        <v>0.02</v>
      </c>
      <c r="G40" s="85">
        <f t="shared" si="2"/>
        <v>0.12</v>
      </c>
      <c r="H40" s="85">
        <f t="shared" si="2"/>
        <v>0.22</v>
      </c>
      <c r="I40" s="85">
        <f t="shared" si="2"/>
        <v>0.3</v>
      </c>
      <c r="J40" s="85">
        <f t="shared" si="2"/>
        <v>0.36</v>
      </c>
      <c r="K40" s="85">
        <f t="shared" si="2"/>
        <v>0.4</v>
      </c>
      <c r="L40" s="85">
        <f t="shared" si="2"/>
        <v>0.43</v>
      </c>
      <c r="M40" s="85">
        <f t="shared" si="2"/>
        <v>0.45</v>
      </c>
      <c r="N40" s="85">
        <f t="shared" si="2"/>
        <v>0.46</v>
      </c>
      <c r="O40" s="64">
        <f t="shared" ref="O40:X40" si="3">IF($B$5=1,O10,IF($B$5=2,O20,O30))</f>
        <v>0.48</v>
      </c>
      <c r="P40" s="64">
        <f t="shared" si="3"/>
        <v>0.5</v>
      </c>
      <c r="Q40" s="64">
        <f t="shared" si="3"/>
        <v>0.51</v>
      </c>
      <c r="R40" s="64">
        <f t="shared" si="3"/>
        <v>0.52</v>
      </c>
      <c r="S40" s="64">
        <f t="shared" si="3"/>
        <v>0.53</v>
      </c>
      <c r="T40" s="64">
        <f t="shared" si="3"/>
        <v>0.54</v>
      </c>
      <c r="U40" s="64">
        <f t="shared" si="3"/>
        <v>0.55000000000000004</v>
      </c>
      <c r="V40" s="64">
        <f t="shared" si="3"/>
        <v>0.56000000000000005</v>
      </c>
      <c r="W40" s="64">
        <f t="shared" si="3"/>
        <v>0.56999999999999995</v>
      </c>
      <c r="X40" s="64">
        <f t="shared" si="3"/>
        <v>0.57999999999999996</v>
      </c>
    </row>
    <row r="41" spans="1:24" x14ac:dyDescent="0.3">
      <c r="A41" t="s">
        <v>79</v>
      </c>
      <c r="B41" s="54"/>
      <c r="C41" s="54"/>
      <c r="D41" s="54"/>
      <c r="E41" s="85">
        <f t="shared" ref="E41:N41" si="4">IF($B$5=1,E11,IF($B$5=2,E21,E31))</f>
        <v>1.05</v>
      </c>
      <c r="F41" s="85">
        <f t="shared" si="4"/>
        <v>0.9</v>
      </c>
      <c r="G41" s="85">
        <f t="shared" si="4"/>
        <v>0.75</v>
      </c>
      <c r="H41" s="85">
        <f t="shared" si="4"/>
        <v>0.62</v>
      </c>
      <c r="I41" s="85">
        <f t="shared" si="4"/>
        <v>0.52</v>
      </c>
      <c r="J41" s="85">
        <f t="shared" si="4"/>
        <v>0.44</v>
      </c>
      <c r="K41" s="85">
        <f t="shared" si="4"/>
        <v>0.38</v>
      </c>
      <c r="L41" s="85">
        <f t="shared" si="4"/>
        <v>0.33</v>
      </c>
      <c r="M41" s="85">
        <f t="shared" si="4"/>
        <v>0.28999999999999998</v>
      </c>
      <c r="N41" s="85">
        <f t="shared" si="4"/>
        <v>0.26</v>
      </c>
      <c r="O41" s="64">
        <f t="shared" ref="O41:X41" si="5">IF($B$5=1,O11,IF($B$5=2,O21,O31))</f>
        <v>0.24</v>
      </c>
      <c r="P41" s="64">
        <f t="shared" si="5"/>
        <v>0.22</v>
      </c>
      <c r="Q41" s="64">
        <f t="shared" si="5"/>
        <v>0.2</v>
      </c>
      <c r="R41" s="64">
        <f t="shared" si="5"/>
        <v>0.19</v>
      </c>
      <c r="S41" s="64">
        <f t="shared" si="5"/>
        <v>0.18</v>
      </c>
      <c r="T41" s="64">
        <f t="shared" si="5"/>
        <v>0.17</v>
      </c>
      <c r="U41" s="64">
        <f t="shared" si="5"/>
        <v>0.16</v>
      </c>
      <c r="V41" s="64">
        <f t="shared" si="5"/>
        <v>0.16</v>
      </c>
      <c r="W41" s="64">
        <f t="shared" si="5"/>
        <v>0.15</v>
      </c>
      <c r="X41" s="64">
        <f t="shared" si="5"/>
        <v>0.15</v>
      </c>
    </row>
    <row r="42" spans="1:24" x14ac:dyDescent="0.3">
      <c r="A42" t="s">
        <v>80</v>
      </c>
      <c r="B42" s="54"/>
      <c r="C42" s="54"/>
      <c r="D42" s="54"/>
      <c r="E42" s="85">
        <f t="shared" ref="E42:N42" si="6">IF($B$5=1,E12,IF($B$5=2,E22,E32))</f>
        <v>3.2</v>
      </c>
      <c r="F42" s="85">
        <f t="shared" si="6"/>
        <v>2.4</v>
      </c>
      <c r="G42" s="85">
        <f t="shared" si="6"/>
        <v>1.8</v>
      </c>
      <c r="H42" s="85">
        <f t="shared" si="6"/>
        <v>1.35</v>
      </c>
      <c r="I42" s="85">
        <f t="shared" si="6"/>
        <v>1</v>
      </c>
      <c r="J42" s="85">
        <f t="shared" si="6"/>
        <v>0.8</v>
      </c>
      <c r="K42" s="85">
        <f t="shared" si="6"/>
        <v>0.65</v>
      </c>
      <c r="L42" s="85">
        <f t="shared" si="6"/>
        <v>0.54</v>
      </c>
      <c r="M42" s="85">
        <f t="shared" si="6"/>
        <v>0.46</v>
      </c>
      <c r="N42" s="85">
        <f t="shared" si="6"/>
        <v>0.4</v>
      </c>
      <c r="O42" s="64">
        <f t="shared" ref="O42:X42" si="7">IF($B$5=1,O12,IF($B$5=2,O22,O32))</f>
        <v>0.36</v>
      </c>
      <c r="P42" s="64">
        <f t="shared" si="7"/>
        <v>0.33</v>
      </c>
      <c r="Q42" s="64">
        <f t="shared" si="7"/>
        <v>0.3</v>
      </c>
      <c r="R42" s="64">
        <f t="shared" si="7"/>
        <v>0.27</v>
      </c>
      <c r="S42" s="64">
        <f t="shared" si="7"/>
        <v>0.25</v>
      </c>
      <c r="T42" s="64">
        <f t="shared" si="7"/>
        <v>0.22</v>
      </c>
      <c r="U42" s="64">
        <f t="shared" si="7"/>
        <v>0.2</v>
      </c>
      <c r="V42" s="64">
        <f t="shared" si="7"/>
        <v>0.18</v>
      </c>
      <c r="W42" s="64">
        <f t="shared" si="7"/>
        <v>0.16</v>
      </c>
      <c r="X42" s="64">
        <f t="shared" si="7"/>
        <v>0.15</v>
      </c>
    </row>
    <row r="43" spans="1:24" x14ac:dyDescent="0.3">
      <c r="A43" t="s">
        <v>81</v>
      </c>
      <c r="B43" s="54"/>
      <c r="C43" s="54"/>
      <c r="D43" s="54"/>
      <c r="E43" s="85">
        <f t="shared" ref="E43:N43" si="8">IF($B$5=1,E13,IF($B$5=2,E23,E33))</f>
        <v>0.06</v>
      </c>
      <c r="F43" s="85">
        <f t="shared" si="8"/>
        <v>0.06</v>
      </c>
      <c r="G43" s="85">
        <f t="shared" si="8"/>
        <v>0.05</v>
      </c>
      <c r="H43" s="85">
        <f t="shared" si="8"/>
        <v>0.05</v>
      </c>
      <c r="I43" s="85">
        <f t="shared" si="8"/>
        <v>0.04</v>
      </c>
      <c r="J43" s="85">
        <f t="shared" si="8"/>
        <v>0.04</v>
      </c>
      <c r="K43" s="85">
        <f t="shared" si="8"/>
        <v>0.03</v>
      </c>
      <c r="L43" s="85">
        <f t="shared" si="8"/>
        <v>0.03</v>
      </c>
      <c r="M43" s="85">
        <f t="shared" si="8"/>
        <v>0.03</v>
      </c>
      <c r="N43" s="85">
        <f t="shared" si="8"/>
        <v>0.02</v>
      </c>
      <c r="O43" s="64">
        <f t="shared" ref="O43:X43" si="9">IF($B$5=1,O13,IF($B$5=2,O23,O33))</f>
        <v>0.02</v>
      </c>
      <c r="P43" s="64">
        <f t="shared" si="9"/>
        <v>0.02</v>
      </c>
      <c r="Q43" s="64">
        <f t="shared" si="9"/>
        <v>0.02</v>
      </c>
      <c r="R43" s="64">
        <f t="shared" si="9"/>
        <v>1.7999999999999999E-2</v>
      </c>
      <c r="S43" s="64">
        <f t="shared" si="9"/>
        <v>1.7999999999999999E-2</v>
      </c>
      <c r="T43" s="64">
        <f t="shared" si="9"/>
        <v>1.4999999999999999E-2</v>
      </c>
      <c r="U43" s="64">
        <f t="shared" si="9"/>
        <v>1.4999999999999999E-2</v>
      </c>
      <c r="V43" s="64">
        <f t="shared" si="9"/>
        <v>1.4999999999999999E-2</v>
      </c>
      <c r="W43" s="64">
        <f t="shared" si="9"/>
        <v>1.4999999999999999E-2</v>
      </c>
      <c r="X43" s="64">
        <f t="shared" si="9"/>
        <v>1.4999999999999999E-2</v>
      </c>
    </row>
    <row r="44" spans="1:24" x14ac:dyDescent="0.3">
      <c r="A44" t="s">
        <v>82</v>
      </c>
      <c r="B44" s="86">
        <f>IF($B$5=1,B14,IF($B$5=2,B24,B34))</f>
        <v>3.5000000000000003E-2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 spans="1:24" x14ac:dyDescent="0.3">
      <c r="A45" t="s">
        <v>57</v>
      </c>
      <c r="B45" s="87">
        <f>IF($B$5=1,B15,IF($B$5=2,B25,B35))</f>
        <v>0.11585357991614477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 spans="1:24" x14ac:dyDescent="0.3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 spans="1:24" x14ac:dyDescent="0.3">
      <c r="A47" s="5" t="s">
        <v>138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0"/>
      <c r="P47" s="90"/>
      <c r="Q47" s="90"/>
      <c r="R47" s="90"/>
      <c r="S47" s="90"/>
      <c r="T47" s="90"/>
      <c r="U47" s="90"/>
      <c r="V47" s="90"/>
      <c r="W47" s="90"/>
      <c r="X47" s="90"/>
    </row>
    <row r="48" spans="1:24" x14ac:dyDescent="0.3">
      <c r="A48" s="6"/>
      <c r="B48" s="52" t="s">
        <v>64</v>
      </c>
      <c r="C48" s="52" t="s">
        <v>65</v>
      </c>
      <c r="D48" s="52" t="s">
        <v>66</v>
      </c>
      <c r="E48" s="52" t="s">
        <v>67</v>
      </c>
      <c r="F48" s="52" t="s">
        <v>68</v>
      </c>
      <c r="G48" s="52" t="s">
        <v>69</v>
      </c>
      <c r="H48" s="52" t="s">
        <v>70</v>
      </c>
      <c r="I48" s="52" t="s">
        <v>71</v>
      </c>
      <c r="J48" s="52" t="s">
        <v>72</v>
      </c>
      <c r="K48" s="52" t="s">
        <v>73</v>
      </c>
      <c r="L48" s="52" t="s">
        <v>74</v>
      </c>
      <c r="M48" s="52" t="s">
        <v>75</v>
      </c>
      <c r="N48" s="52" t="s">
        <v>76</v>
      </c>
      <c r="O48" s="52" t="s">
        <v>245</v>
      </c>
      <c r="P48" s="52" t="s">
        <v>246</v>
      </c>
      <c r="Q48" s="52" t="s">
        <v>247</v>
      </c>
      <c r="R48" s="52" t="s">
        <v>248</v>
      </c>
      <c r="S48" s="52" t="s">
        <v>249</v>
      </c>
      <c r="T48" s="52" t="s">
        <v>250</v>
      </c>
      <c r="U48" s="52" t="s">
        <v>251</v>
      </c>
      <c r="V48" s="52" t="s">
        <v>252</v>
      </c>
      <c r="W48" s="52" t="s">
        <v>253</v>
      </c>
      <c r="X48" s="52" t="s">
        <v>254</v>
      </c>
    </row>
    <row r="49" spans="1:24" x14ac:dyDescent="0.3">
      <c r="A49" t="s">
        <v>87</v>
      </c>
      <c r="B49" s="91">
        <v>2961</v>
      </c>
      <c r="C49" s="91">
        <v>2620</v>
      </c>
      <c r="D49" s="154">
        <f>Actuals!D9</f>
        <v>3201</v>
      </c>
      <c r="E49" s="92">
        <f t="shared" ref="E49:N49" si="10">D49*(1+E39)</f>
        <v>4097.28</v>
      </c>
      <c r="F49" s="92">
        <f t="shared" si="10"/>
        <v>5654.2463999999991</v>
      </c>
      <c r="G49" s="92">
        <f t="shared" si="10"/>
        <v>8198.6572799999976</v>
      </c>
      <c r="H49" s="92">
        <f t="shared" si="10"/>
        <v>12134.012774399996</v>
      </c>
      <c r="I49" s="92">
        <f t="shared" si="10"/>
        <v>17594.318522879996</v>
      </c>
      <c r="J49" s="92">
        <f t="shared" si="10"/>
        <v>24280.159561574394</v>
      </c>
      <c r="K49" s="92">
        <f t="shared" si="10"/>
        <v>32049.8106212782</v>
      </c>
      <c r="L49" s="92">
        <f t="shared" si="10"/>
        <v>40703.259489023316</v>
      </c>
      <c r="M49" s="92">
        <f t="shared" si="10"/>
        <v>49657.976576608446</v>
      </c>
      <c r="N49" s="92">
        <f t="shared" si="10"/>
        <v>58596.412360397961</v>
      </c>
      <c r="O49" s="92">
        <f t="shared" ref="O49:X49" si="11">N49*(1+O39)</f>
        <v>67971.838338061629</v>
      </c>
      <c r="P49" s="92">
        <f t="shared" si="11"/>
        <v>78167.614088770861</v>
      </c>
      <c r="Q49" s="92">
        <f t="shared" si="11"/>
        <v>88329.403920311059</v>
      </c>
      <c r="R49" s="92">
        <f t="shared" si="11"/>
        <v>98928.932390748392</v>
      </c>
      <c r="S49" s="92">
        <f t="shared" si="11"/>
        <v>108821.82562982324</v>
      </c>
      <c r="T49" s="92">
        <f t="shared" si="11"/>
        <v>118615.78993650734</v>
      </c>
      <c r="U49" s="92">
        <f t="shared" si="11"/>
        <v>128105.05313142794</v>
      </c>
      <c r="V49" s="92">
        <f t="shared" si="11"/>
        <v>137072.40685062789</v>
      </c>
      <c r="W49" s="92">
        <f t="shared" si="11"/>
        <v>145296.75126166557</v>
      </c>
      <c r="X49" s="92">
        <f t="shared" si="11"/>
        <v>152561.58882474885</v>
      </c>
    </row>
    <row r="50" spans="1:24" x14ac:dyDescent="0.3">
      <c r="A50" t="s">
        <v>88</v>
      </c>
      <c r="B50" s="93"/>
      <c r="C50" s="93">
        <f t="shared" ref="C50:N50" si="12">C49/B49-1</f>
        <v>-0.11516379601485982</v>
      </c>
      <c r="D50" s="93">
        <f t="shared" si="12"/>
        <v>0.22175572519083975</v>
      </c>
      <c r="E50" s="64">
        <f t="shared" si="12"/>
        <v>0.28000000000000003</v>
      </c>
      <c r="F50" s="64">
        <f t="shared" si="12"/>
        <v>0.37999999999999989</v>
      </c>
      <c r="G50" s="64">
        <f t="shared" si="12"/>
        <v>0.44999999999999973</v>
      </c>
      <c r="H50" s="64">
        <f t="shared" si="12"/>
        <v>0.48</v>
      </c>
      <c r="I50" s="64">
        <f t="shared" si="12"/>
        <v>0.45000000000000018</v>
      </c>
      <c r="J50" s="64">
        <f t="shared" si="12"/>
        <v>0.37999999999999989</v>
      </c>
      <c r="K50" s="64">
        <f t="shared" si="12"/>
        <v>0.32000000000000006</v>
      </c>
      <c r="L50" s="64">
        <f t="shared" si="12"/>
        <v>0.27</v>
      </c>
      <c r="M50" s="64">
        <f t="shared" si="12"/>
        <v>0.21999999999999997</v>
      </c>
      <c r="N50" s="64">
        <f t="shared" si="12"/>
        <v>0.17999999999999994</v>
      </c>
      <c r="O50" s="64">
        <f t="shared" ref="O50:X50" si="13">O49/N49-1</f>
        <v>0.15999999999999992</v>
      </c>
      <c r="P50" s="64">
        <f t="shared" si="13"/>
        <v>0.14999999999999991</v>
      </c>
      <c r="Q50" s="64">
        <f t="shared" si="13"/>
        <v>0.12999999999999989</v>
      </c>
      <c r="R50" s="64">
        <f t="shared" si="13"/>
        <v>0.12000000000000011</v>
      </c>
      <c r="S50" s="64">
        <f t="shared" si="13"/>
        <v>0.10000000000000009</v>
      </c>
      <c r="T50" s="64">
        <f t="shared" si="13"/>
        <v>9.000000000000008E-2</v>
      </c>
      <c r="U50" s="64">
        <f t="shared" si="13"/>
        <v>8.0000000000000071E-2</v>
      </c>
      <c r="V50" s="64">
        <f t="shared" si="13"/>
        <v>7.0000000000000062E-2</v>
      </c>
      <c r="W50" s="64">
        <f t="shared" si="13"/>
        <v>6.0000000000000053E-2</v>
      </c>
      <c r="X50" s="64">
        <f t="shared" si="13"/>
        <v>5.0000000000000044E-2</v>
      </c>
    </row>
    <row r="51" spans="1:24" x14ac:dyDescent="0.3">
      <c r="A51" t="s">
        <v>90</v>
      </c>
      <c r="B51" s="91">
        <v>-793</v>
      </c>
      <c r="C51" s="91">
        <v>118</v>
      </c>
      <c r="D51" s="154">
        <f>Actuals!D12</f>
        <v>-1237</v>
      </c>
      <c r="E51" s="92">
        <f t="shared" ref="E51:N51" si="14">E49*E40</f>
        <v>-614.59199999999998</v>
      </c>
      <c r="F51" s="92">
        <f t="shared" si="14"/>
        <v>113.08492799999999</v>
      </c>
      <c r="G51" s="92">
        <f t="shared" si="14"/>
        <v>983.83887359999972</v>
      </c>
      <c r="H51" s="92">
        <f t="shared" si="14"/>
        <v>2669.4828103679993</v>
      </c>
      <c r="I51" s="92">
        <f t="shared" si="14"/>
        <v>5278.2955568639982</v>
      </c>
      <c r="J51" s="92">
        <f t="shared" si="14"/>
        <v>8740.8574421667818</v>
      </c>
      <c r="K51" s="92">
        <f t="shared" si="14"/>
        <v>12819.924248511281</v>
      </c>
      <c r="L51" s="92">
        <f t="shared" si="14"/>
        <v>17502.401580280024</v>
      </c>
      <c r="M51" s="92">
        <f t="shared" si="14"/>
        <v>22346.089459473802</v>
      </c>
      <c r="N51" s="92">
        <f t="shared" si="14"/>
        <v>26954.349685783061</v>
      </c>
      <c r="O51" s="92">
        <f t="shared" ref="O51:X51" si="15">O49*O40</f>
        <v>32626.482402269579</v>
      </c>
      <c r="P51" s="92">
        <f t="shared" si="15"/>
        <v>39083.80704438543</v>
      </c>
      <c r="Q51" s="92">
        <f t="shared" si="15"/>
        <v>45047.995999358638</v>
      </c>
      <c r="R51" s="92">
        <f t="shared" si="15"/>
        <v>51443.044843189164</v>
      </c>
      <c r="S51" s="92">
        <f t="shared" si="15"/>
        <v>57675.567583806325</v>
      </c>
      <c r="T51" s="92">
        <f t="shared" si="15"/>
        <v>64052.526565713968</v>
      </c>
      <c r="U51" s="92">
        <f t="shared" si="15"/>
        <v>70457.779222285375</v>
      </c>
      <c r="V51" s="92">
        <f t="shared" si="15"/>
        <v>76760.54783635163</v>
      </c>
      <c r="W51" s="92">
        <f t="shared" si="15"/>
        <v>82819.148219149371</v>
      </c>
      <c r="X51" s="92">
        <f t="shared" si="15"/>
        <v>88485.72151835433</v>
      </c>
    </row>
    <row r="52" spans="1:24" x14ac:dyDescent="0.3">
      <c r="A52" t="s">
        <v>91</v>
      </c>
      <c r="B52" s="93">
        <f t="shared" ref="B52:N52" si="16">B51/B49</f>
        <v>-0.2678149273893955</v>
      </c>
      <c r="C52" s="93">
        <f t="shared" si="16"/>
        <v>4.5038167938931298E-2</v>
      </c>
      <c r="D52" s="93">
        <f t="shared" si="16"/>
        <v>-0.38644173695720085</v>
      </c>
      <c r="E52" s="64">
        <f t="shared" si="16"/>
        <v>-0.15</v>
      </c>
      <c r="F52" s="64">
        <f t="shared" si="16"/>
        <v>0.02</v>
      </c>
      <c r="G52" s="64">
        <f t="shared" si="16"/>
        <v>0.12</v>
      </c>
      <c r="H52" s="64">
        <f t="shared" si="16"/>
        <v>0.22</v>
      </c>
      <c r="I52" s="64">
        <f t="shared" si="16"/>
        <v>0.3</v>
      </c>
      <c r="J52" s="64">
        <f t="shared" si="16"/>
        <v>0.36</v>
      </c>
      <c r="K52" s="64">
        <f t="shared" si="16"/>
        <v>0.4</v>
      </c>
      <c r="L52" s="64">
        <f t="shared" si="16"/>
        <v>0.42999999999999994</v>
      </c>
      <c r="M52" s="64">
        <f t="shared" si="16"/>
        <v>0.45</v>
      </c>
      <c r="N52" s="64">
        <f t="shared" si="16"/>
        <v>0.46</v>
      </c>
      <c r="O52" s="64">
        <f t="shared" ref="O52:X52" si="17">O51/O49</f>
        <v>0.48</v>
      </c>
      <c r="P52" s="64">
        <f t="shared" si="17"/>
        <v>0.5</v>
      </c>
      <c r="Q52" s="64">
        <f t="shared" si="17"/>
        <v>0.51</v>
      </c>
      <c r="R52" s="64">
        <f t="shared" si="17"/>
        <v>0.52</v>
      </c>
      <c r="S52" s="64">
        <f t="shared" si="17"/>
        <v>0.53</v>
      </c>
      <c r="T52" s="64">
        <f t="shared" si="17"/>
        <v>0.54</v>
      </c>
      <c r="U52" s="64">
        <f t="shared" si="17"/>
        <v>0.55000000000000004</v>
      </c>
      <c r="V52" s="64">
        <f t="shared" si="17"/>
        <v>0.56000000000000005</v>
      </c>
      <c r="W52" s="64">
        <f t="shared" si="17"/>
        <v>0.56999999999999995</v>
      </c>
      <c r="X52" s="64">
        <f t="shared" si="17"/>
        <v>0.57999999999999996</v>
      </c>
    </row>
    <row r="53" spans="1:24" x14ac:dyDescent="0.3">
      <c r="A53" t="s">
        <v>92</v>
      </c>
      <c r="B53" s="91">
        <v>1180</v>
      </c>
      <c r="C53" s="91">
        <v>1679</v>
      </c>
      <c r="D53" s="91">
        <v>3568</v>
      </c>
      <c r="E53" s="92">
        <f t="shared" ref="E53:N53" si="18">E49*E41</f>
        <v>4302.1440000000002</v>
      </c>
      <c r="F53" s="92">
        <f t="shared" si="18"/>
        <v>5088.8217599999989</v>
      </c>
      <c r="G53" s="92">
        <f t="shared" si="18"/>
        <v>6148.9929599999978</v>
      </c>
      <c r="H53" s="92">
        <f t="shared" si="18"/>
        <v>7523.0879201279977</v>
      </c>
      <c r="I53" s="92">
        <f t="shared" si="18"/>
        <v>9149.0456318975976</v>
      </c>
      <c r="J53" s="92">
        <f t="shared" si="18"/>
        <v>10683.270207092733</v>
      </c>
      <c r="K53" s="92">
        <f t="shared" si="18"/>
        <v>12178.928036085716</v>
      </c>
      <c r="L53" s="92">
        <f t="shared" si="18"/>
        <v>13432.075631377695</v>
      </c>
      <c r="M53" s="92">
        <f t="shared" si="18"/>
        <v>14400.813207216448</v>
      </c>
      <c r="N53" s="92">
        <f t="shared" si="18"/>
        <v>15235.067213703471</v>
      </c>
      <c r="O53" s="92">
        <f t="shared" ref="O53:X53" si="19">O49*O41</f>
        <v>16313.24120113479</v>
      </c>
      <c r="P53" s="92">
        <f t="shared" si="19"/>
        <v>17196.875099529589</v>
      </c>
      <c r="Q53" s="92">
        <f t="shared" si="19"/>
        <v>17665.880784062214</v>
      </c>
      <c r="R53" s="92">
        <f t="shared" si="19"/>
        <v>18796.497154242195</v>
      </c>
      <c r="S53" s="92">
        <f t="shared" si="19"/>
        <v>19587.928613368182</v>
      </c>
      <c r="T53" s="92">
        <f t="shared" si="19"/>
        <v>20164.684289206249</v>
      </c>
      <c r="U53" s="92">
        <f t="shared" si="19"/>
        <v>20496.80850102847</v>
      </c>
      <c r="V53" s="92">
        <f t="shared" si="19"/>
        <v>21931.585096100462</v>
      </c>
      <c r="W53" s="92">
        <f t="shared" si="19"/>
        <v>21794.512689249834</v>
      </c>
      <c r="X53" s="92">
        <f t="shared" si="19"/>
        <v>22884.238323712325</v>
      </c>
    </row>
    <row r="54" spans="1:24" x14ac:dyDescent="0.3">
      <c r="A54" t="s">
        <v>93</v>
      </c>
      <c r="B54" s="94">
        <f t="shared" ref="B54:N54" si="20">B51-B53</f>
        <v>-1973</v>
      </c>
      <c r="C54" s="94">
        <f t="shared" si="20"/>
        <v>-1561</v>
      </c>
      <c r="D54" s="94">
        <f t="shared" si="20"/>
        <v>-4805</v>
      </c>
      <c r="E54" s="92">
        <f t="shared" si="20"/>
        <v>-4916.7359999999999</v>
      </c>
      <c r="F54" s="92">
        <f t="shared" si="20"/>
        <v>-4975.7368319999987</v>
      </c>
      <c r="G54" s="92">
        <f t="shared" si="20"/>
        <v>-5165.1540863999981</v>
      </c>
      <c r="H54" s="92">
        <f t="shared" si="20"/>
        <v>-4853.6051097599984</v>
      </c>
      <c r="I54" s="92">
        <f t="shared" si="20"/>
        <v>-3870.7500750335994</v>
      </c>
      <c r="J54" s="92">
        <f t="shared" si="20"/>
        <v>-1942.4127649259517</v>
      </c>
      <c r="K54" s="92">
        <f t="shared" si="20"/>
        <v>640.99621242556532</v>
      </c>
      <c r="L54" s="92">
        <f t="shared" si="20"/>
        <v>4070.3259489023294</v>
      </c>
      <c r="M54" s="92">
        <f t="shared" si="20"/>
        <v>7945.2762522573539</v>
      </c>
      <c r="N54" s="92">
        <f t="shared" si="20"/>
        <v>11719.282472079591</v>
      </c>
      <c r="O54" s="92">
        <f t="shared" ref="O54:X54" si="21">O51-O53</f>
        <v>16313.24120113479</v>
      </c>
      <c r="P54" s="92">
        <f t="shared" si="21"/>
        <v>21886.931944855842</v>
      </c>
      <c r="Q54" s="92">
        <f t="shared" si="21"/>
        <v>27382.115215296424</v>
      </c>
      <c r="R54" s="92">
        <f t="shared" si="21"/>
        <v>32646.547688946968</v>
      </c>
      <c r="S54" s="92">
        <f t="shared" si="21"/>
        <v>38087.638970438144</v>
      </c>
      <c r="T54" s="92">
        <f t="shared" si="21"/>
        <v>43887.842276507719</v>
      </c>
      <c r="U54" s="92">
        <f t="shared" si="21"/>
        <v>49960.970721256905</v>
      </c>
      <c r="V54" s="92">
        <f t="shared" si="21"/>
        <v>54828.962740251169</v>
      </c>
      <c r="W54" s="92">
        <f t="shared" si="21"/>
        <v>61024.635529899533</v>
      </c>
      <c r="X54" s="92">
        <f t="shared" si="21"/>
        <v>65601.483194642002</v>
      </c>
    </row>
    <row r="55" spans="1:24" x14ac:dyDescent="0.3">
      <c r="A55" t="s">
        <v>94</v>
      </c>
      <c r="B55" s="93">
        <f t="shared" ref="B55:N55" si="22">B54/B49</f>
        <v>-0.66632894292468758</v>
      </c>
      <c r="C55" s="93">
        <f t="shared" si="22"/>
        <v>-0.59580152671755726</v>
      </c>
      <c r="D55" s="93">
        <f t="shared" si="22"/>
        <v>-1.5010934083099032</v>
      </c>
      <c r="E55" s="64">
        <f t="shared" si="22"/>
        <v>-1.2</v>
      </c>
      <c r="F55" s="64">
        <f t="shared" si="22"/>
        <v>-0.87999999999999989</v>
      </c>
      <c r="G55" s="64">
        <f t="shared" si="22"/>
        <v>-0.62999999999999989</v>
      </c>
      <c r="H55" s="64">
        <f t="shared" si="22"/>
        <v>-0.39999999999999997</v>
      </c>
      <c r="I55" s="64">
        <f t="shared" si="22"/>
        <v>-0.22000000000000003</v>
      </c>
      <c r="J55" s="64">
        <f t="shared" si="22"/>
        <v>-8.0000000000000016E-2</v>
      </c>
      <c r="K55" s="64">
        <f t="shared" si="22"/>
        <v>2.0000000000000042E-2</v>
      </c>
      <c r="L55" s="64">
        <f t="shared" si="22"/>
        <v>9.999999999999995E-2</v>
      </c>
      <c r="M55" s="64">
        <f t="shared" si="22"/>
        <v>0.16000000000000006</v>
      </c>
      <c r="N55" s="64">
        <f t="shared" si="22"/>
        <v>0.19999999999999998</v>
      </c>
      <c r="O55" s="64">
        <f t="shared" ref="O55:X55" si="23">O54/O49</f>
        <v>0.24</v>
      </c>
      <c r="P55" s="64">
        <f t="shared" si="23"/>
        <v>0.28000000000000003</v>
      </c>
      <c r="Q55" s="64">
        <f t="shared" si="23"/>
        <v>0.30999999999999994</v>
      </c>
      <c r="R55" s="64">
        <f t="shared" si="23"/>
        <v>0.33</v>
      </c>
      <c r="S55" s="64">
        <f t="shared" si="23"/>
        <v>0.35000000000000009</v>
      </c>
      <c r="T55" s="64">
        <f t="shared" si="23"/>
        <v>0.37000000000000005</v>
      </c>
      <c r="U55" s="64">
        <f t="shared" si="23"/>
        <v>0.39000000000000007</v>
      </c>
      <c r="V55" s="64">
        <f t="shared" si="23"/>
        <v>0.40000000000000013</v>
      </c>
      <c r="W55" s="64">
        <f t="shared" si="23"/>
        <v>0.41999999999999993</v>
      </c>
      <c r="X55" s="64">
        <f t="shared" si="23"/>
        <v>0.43</v>
      </c>
    </row>
    <row r="56" spans="1:24" x14ac:dyDescent="0.3">
      <c r="A56" t="s">
        <v>130</v>
      </c>
      <c r="B56" s="94">
        <f>MAX(B54,0)*WACC!$B$8</f>
        <v>0</v>
      </c>
      <c r="C56" s="94">
        <f>MAX(C54,0)*WACC!$B$8</f>
        <v>0</v>
      </c>
      <c r="D56" s="94">
        <f>MAX(D54,0)*WACC!$B$8</f>
        <v>0</v>
      </c>
      <c r="E56" s="92">
        <f>MAX(E54,0)*WACC!$B$8</f>
        <v>0</v>
      </c>
      <c r="F56" s="92">
        <f>MAX(F54,0)*WACC!$B$8</f>
        <v>0</v>
      </c>
      <c r="G56" s="92">
        <f>MAX(G54,0)*WACC!$B$8</f>
        <v>0</v>
      </c>
      <c r="H56" s="92">
        <f>MAX(H54,0)*WACC!$B$8</f>
        <v>0</v>
      </c>
      <c r="I56" s="92">
        <f>MAX(I54,0)*WACC!$B$8</f>
        <v>0</v>
      </c>
      <c r="J56" s="92">
        <f>MAX(J54,0)*WACC!$B$8</f>
        <v>0</v>
      </c>
      <c r="K56" s="92">
        <f>MAX(K54,0)*WACC!$B$8</f>
        <v>134.6092046093687</v>
      </c>
      <c r="L56" s="92">
        <f>MAX(L54,0)*WACC!$B$8</f>
        <v>854.76844926948911</v>
      </c>
      <c r="M56" s="92">
        <f>MAX(M54,0)*WACC!$B$8</f>
        <v>1668.5080129740443</v>
      </c>
      <c r="N56" s="92">
        <f>MAX(N54,0)*WACC!$B$8</f>
        <v>2461.0493191367141</v>
      </c>
      <c r="O56" s="92">
        <f>MAX(O54,0)*WACC!$B$8</f>
        <v>3425.7806522383057</v>
      </c>
      <c r="P56" s="92">
        <f>MAX(P54,0)*WACC!$B$8</f>
        <v>4596.2557084197269</v>
      </c>
      <c r="Q56" s="92">
        <f>MAX(Q54,0)*WACC!$B$8</f>
        <v>5750.244195212249</v>
      </c>
      <c r="R56" s="92">
        <f>MAX(R54,0)*WACC!$B$8</f>
        <v>6855.775014678863</v>
      </c>
      <c r="S56" s="92">
        <f>MAX(S54,0)*WACC!$B$8</f>
        <v>7998.4041837920095</v>
      </c>
      <c r="T56" s="92">
        <f>MAX(T54,0)*WACC!$B$8</f>
        <v>9216.4468780666211</v>
      </c>
      <c r="U56" s="92">
        <f>MAX(U54,0)*WACC!$B$8</f>
        <v>10491.80385146395</v>
      </c>
      <c r="V56" s="92">
        <f>MAX(V54,0)*WACC!$B$8</f>
        <v>11514.082175452744</v>
      </c>
      <c r="W56" s="92">
        <f>MAX(W54,0)*WACC!$B$8</f>
        <v>12815.173461278902</v>
      </c>
      <c r="X56" s="92">
        <f>MAX(X54,0)*WACC!$B$8</f>
        <v>13776.31147087482</v>
      </c>
    </row>
    <row r="57" spans="1:24" x14ac:dyDescent="0.3">
      <c r="A57" t="s">
        <v>96</v>
      </c>
      <c r="B57" s="94">
        <f t="shared" ref="B57:N57" si="24">B54-B56</f>
        <v>-1973</v>
      </c>
      <c r="C57" s="94">
        <f t="shared" si="24"/>
        <v>-1561</v>
      </c>
      <c r="D57" s="94">
        <f t="shared" si="24"/>
        <v>-4805</v>
      </c>
      <c r="E57" s="92">
        <f t="shared" si="24"/>
        <v>-4916.7359999999999</v>
      </c>
      <c r="F57" s="92">
        <f t="shared" si="24"/>
        <v>-4975.7368319999987</v>
      </c>
      <c r="G57" s="92">
        <f t="shared" si="24"/>
        <v>-5165.1540863999981</v>
      </c>
      <c r="H57" s="92">
        <f t="shared" si="24"/>
        <v>-4853.6051097599984</v>
      </c>
      <c r="I57" s="92">
        <f t="shared" si="24"/>
        <v>-3870.7500750335994</v>
      </c>
      <c r="J57" s="92">
        <f t="shared" si="24"/>
        <v>-1942.4127649259517</v>
      </c>
      <c r="K57" s="92">
        <f t="shared" si="24"/>
        <v>506.38700781619661</v>
      </c>
      <c r="L57" s="92">
        <f t="shared" si="24"/>
        <v>3215.5574996328405</v>
      </c>
      <c r="M57" s="92">
        <f t="shared" si="24"/>
        <v>6276.7682392833094</v>
      </c>
      <c r="N57" s="92">
        <f t="shared" si="24"/>
        <v>9258.2331529428775</v>
      </c>
      <c r="O57" s="92">
        <f t="shared" ref="O57:X57" si="25">O54-O56</f>
        <v>12887.460548896484</v>
      </c>
      <c r="P57" s="92">
        <f t="shared" si="25"/>
        <v>17290.676236436113</v>
      </c>
      <c r="Q57" s="92">
        <f t="shared" si="25"/>
        <v>21631.871020084174</v>
      </c>
      <c r="R57" s="92">
        <f t="shared" si="25"/>
        <v>25790.772674268104</v>
      </c>
      <c r="S57" s="92">
        <f t="shared" si="25"/>
        <v>30089.234786646135</v>
      </c>
      <c r="T57" s="92">
        <f t="shared" si="25"/>
        <v>34671.395398441098</v>
      </c>
      <c r="U57" s="92">
        <f t="shared" si="25"/>
        <v>39469.166869792956</v>
      </c>
      <c r="V57" s="92">
        <f t="shared" si="25"/>
        <v>43314.880564798426</v>
      </c>
      <c r="W57" s="92">
        <f t="shared" si="25"/>
        <v>48209.462068620633</v>
      </c>
      <c r="X57" s="92">
        <f t="shared" si="25"/>
        <v>51825.171723767184</v>
      </c>
    </row>
    <row r="58" spans="1:24" x14ac:dyDescent="0.3">
      <c r="A58" t="s">
        <v>97</v>
      </c>
      <c r="B58" s="94">
        <f t="shared" ref="B58:N58" si="26">B53</f>
        <v>1180</v>
      </c>
      <c r="C58" s="94">
        <f t="shared" si="26"/>
        <v>1679</v>
      </c>
      <c r="D58" s="94">
        <f t="shared" si="26"/>
        <v>3568</v>
      </c>
      <c r="E58" s="92">
        <f t="shared" si="26"/>
        <v>4302.1440000000002</v>
      </c>
      <c r="F58" s="92">
        <f t="shared" si="26"/>
        <v>5088.8217599999989</v>
      </c>
      <c r="G58" s="92">
        <f t="shared" si="26"/>
        <v>6148.9929599999978</v>
      </c>
      <c r="H58" s="92">
        <f t="shared" si="26"/>
        <v>7523.0879201279977</v>
      </c>
      <c r="I58" s="92">
        <f t="shared" si="26"/>
        <v>9149.0456318975976</v>
      </c>
      <c r="J58" s="92">
        <f t="shared" si="26"/>
        <v>10683.270207092733</v>
      </c>
      <c r="K58" s="92">
        <f t="shared" si="26"/>
        <v>12178.928036085716</v>
      </c>
      <c r="L58" s="92">
        <f t="shared" si="26"/>
        <v>13432.075631377695</v>
      </c>
      <c r="M58" s="92">
        <f t="shared" si="26"/>
        <v>14400.813207216448</v>
      </c>
      <c r="N58" s="92">
        <f t="shared" si="26"/>
        <v>15235.067213703471</v>
      </c>
      <c r="O58" s="92">
        <f t="shared" ref="O58:X58" si="27">O53</f>
        <v>16313.24120113479</v>
      </c>
      <c r="P58" s="92">
        <f t="shared" si="27"/>
        <v>17196.875099529589</v>
      </c>
      <c r="Q58" s="92">
        <f t="shared" si="27"/>
        <v>17665.880784062214</v>
      </c>
      <c r="R58" s="92">
        <f t="shared" si="27"/>
        <v>18796.497154242195</v>
      </c>
      <c r="S58" s="92">
        <f t="shared" si="27"/>
        <v>19587.928613368182</v>
      </c>
      <c r="T58" s="92">
        <f t="shared" si="27"/>
        <v>20164.684289206249</v>
      </c>
      <c r="U58" s="92">
        <f t="shared" si="27"/>
        <v>20496.80850102847</v>
      </c>
      <c r="V58" s="92">
        <f t="shared" si="27"/>
        <v>21931.585096100462</v>
      </c>
      <c r="W58" s="92">
        <f t="shared" si="27"/>
        <v>21794.512689249834</v>
      </c>
      <c r="X58" s="92">
        <f t="shared" si="27"/>
        <v>22884.238323712325</v>
      </c>
    </row>
    <row r="59" spans="1:24" x14ac:dyDescent="0.3">
      <c r="A59" t="s">
        <v>98</v>
      </c>
      <c r="B59" s="91">
        <v>-463</v>
      </c>
      <c r="C59" s="91">
        <v>-5633</v>
      </c>
      <c r="D59" s="91">
        <v>-12727</v>
      </c>
      <c r="E59" s="92">
        <f t="shared" ref="E59:N59" si="28">-E49*E42</f>
        <v>-13111.296</v>
      </c>
      <c r="F59" s="92">
        <f t="shared" si="28"/>
        <v>-13570.191359999997</v>
      </c>
      <c r="G59" s="92">
        <f t="shared" si="28"/>
        <v>-14757.583103999996</v>
      </c>
      <c r="H59" s="92">
        <f t="shared" si="28"/>
        <v>-16380.917245439996</v>
      </c>
      <c r="I59" s="92">
        <f t="shared" si="28"/>
        <v>-17594.318522879996</v>
      </c>
      <c r="J59" s="92">
        <f t="shared" si="28"/>
        <v>-19424.127649259517</v>
      </c>
      <c r="K59" s="92">
        <f t="shared" si="28"/>
        <v>-20832.376903830831</v>
      </c>
      <c r="L59" s="92">
        <f t="shared" si="28"/>
        <v>-21979.760124072593</v>
      </c>
      <c r="M59" s="92">
        <f t="shared" si="28"/>
        <v>-22842.669225239886</v>
      </c>
      <c r="N59" s="92">
        <f t="shared" si="28"/>
        <v>-23438.564944159185</v>
      </c>
      <c r="O59" s="92">
        <f t="shared" ref="O59:X59" si="29">-O49*O42</f>
        <v>-24469.861801702187</v>
      </c>
      <c r="P59" s="92">
        <f t="shared" si="29"/>
        <v>-25795.312649294385</v>
      </c>
      <c r="Q59" s="92">
        <f t="shared" si="29"/>
        <v>-26498.821176093315</v>
      </c>
      <c r="R59" s="92">
        <f t="shared" si="29"/>
        <v>-26710.811745502069</v>
      </c>
      <c r="S59" s="92">
        <f t="shared" si="29"/>
        <v>-27205.456407455811</v>
      </c>
      <c r="T59" s="92">
        <f t="shared" si="29"/>
        <v>-26095.473786031616</v>
      </c>
      <c r="U59" s="92">
        <f t="shared" si="29"/>
        <v>-25621.010626285588</v>
      </c>
      <c r="V59" s="92">
        <f t="shared" si="29"/>
        <v>-24673.033233113019</v>
      </c>
      <c r="W59" s="92">
        <f t="shared" si="29"/>
        <v>-23247.480201866492</v>
      </c>
      <c r="X59" s="92">
        <f t="shared" si="29"/>
        <v>-22884.238323712325</v>
      </c>
    </row>
    <row r="60" spans="1:24" x14ac:dyDescent="0.3">
      <c r="A60" t="s">
        <v>99</v>
      </c>
      <c r="B60" s="91">
        <v>0</v>
      </c>
      <c r="C60" s="91">
        <v>0</v>
      </c>
      <c r="D60" s="91">
        <v>0</v>
      </c>
      <c r="E60" s="92">
        <f t="shared" ref="E60:N60" si="30">-(E49-D49)*E43</f>
        <v>-53.77679999999998</v>
      </c>
      <c r="F60" s="92">
        <f t="shared" si="30"/>
        <v>-93.417983999999961</v>
      </c>
      <c r="G60" s="92">
        <f t="shared" si="30"/>
        <v>-127.22054399999993</v>
      </c>
      <c r="H60" s="92">
        <f t="shared" si="30"/>
        <v>-196.76777471999995</v>
      </c>
      <c r="I60" s="92">
        <f t="shared" si="30"/>
        <v>-218.41222993919996</v>
      </c>
      <c r="J60" s="92">
        <f t="shared" si="30"/>
        <v>-267.43364154777589</v>
      </c>
      <c r="K60" s="92">
        <f t="shared" si="30"/>
        <v>-233.08953179111418</v>
      </c>
      <c r="L60" s="92">
        <f t="shared" si="30"/>
        <v>-259.60346603235348</v>
      </c>
      <c r="M60" s="92">
        <f t="shared" si="30"/>
        <v>-268.64151262755388</v>
      </c>
      <c r="N60" s="92">
        <f t="shared" si="30"/>
        <v>-178.7687156757903</v>
      </c>
      <c r="O60" s="92">
        <f t="shared" ref="O60:X60" si="31">-(O49-N49)*O43</f>
        <v>-187.50851955327337</v>
      </c>
      <c r="P60" s="92">
        <f t="shared" si="31"/>
        <v>-203.91551501418465</v>
      </c>
      <c r="Q60" s="92">
        <f t="shared" si="31"/>
        <v>-203.23579663080397</v>
      </c>
      <c r="R60" s="92">
        <f t="shared" si="31"/>
        <v>-190.791512467872</v>
      </c>
      <c r="S60" s="92">
        <f t="shared" si="31"/>
        <v>-178.07207830334733</v>
      </c>
      <c r="T60" s="92">
        <f t="shared" si="31"/>
        <v>-146.9094646002614</v>
      </c>
      <c r="U60" s="92">
        <f t="shared" si="31"/>
        <v>-142.33894792380895</v>
      </c>
      <c r="V60" s="92">
        <f t="shared" si="31"/>
        <v>-134.51030578799924</v>
      </c>
      <c r="W60" s="92">
        <f t="shared" si="31"/>
        <v>-123.36516616556531</v>
      </c>
      <c r="X60" s="92">
        <f t="shared" si="31"/>
        <v>-108.97256344624911</v>
      </c>
    </row>
    <row r="61" spans="1:24" x14ac:dyDescent="0.3">
      <c r="A61" s="19" t="s">
        <v>100</v>
      </c>
      <c r="B61" s="95">
        <f t="shared" ref="B61:N61" si="32">B57+B58+B59+B60</f>
        <v>-1256</v>
      </c>
      <c r="C61" s="95">
        <f t="shared" si="32"/>
        <v>-5515</v>
      </c>
      <c r="D61" s="95">
        <f t="shared" si="32"/>
        <v>-13964</v>
      </c>
      <c r="E61" s="95">
        <f t="shared" si="32"/>
        <v>-13779.664799999999</v>
      </c>
      <c r="F61" s="95">
        <f t="shared" si="32"/>
        <v>-13550.524415999997</v>
      </c>
      <c r="G61" s="95">
        <f t="shared" si="32"/>
        <v>-13900.964774399996</v>
      </c>
      <c r="H61" s="95">
        <f t="shared" si="32"/>
        <v>-13908.202209791996</v>
      </c>
      <c r="I61" s="95">
        <f t="shared" si="32"/>
        <v>-12534.435195955197</v>
      </c>
      <c r="J61" s="95">
        <f t="shared" si="32"/>
        <v>-10950.703848640511</v>
      </c>
      <c r="K61" s="95">
        <f t="shared" si="32"/>
        <v>-8380.1513917200336</v>
      </c>
      <c r="L61" s="95">
        <f t="shared" si="32"/>
        <v>-5591.7304590944113</v>
      </c>
      <c r="M61" s="95">
        <f t="shared" si="32"/>
        <v>-2433.7292913676833</v>
      </c>
      <c r="N61" s="95">
        <f t="shared" si="32"/>
        <v>875.966706811373</v>
      </c>
      <c r="O61" s="95">
        <f t="shared" ref="O61:X61" si="33">O57+O58+O59+O60</f>
        <v>4543.3314287758112</v>
      </c>
      <c r="P61" s="95">
        <f t="shared" si="33"/>
        <v>8488.3231716571354</v>
      </c>
      <c r="Q61" s="95">
        <f t="shared" si="33"/>
        <v>12595.694831422272</v>
      </c>
      <c r="R61" s="95">
        <f t="shared" si="33"/>
        <v>17685.666570540354</v>
      </c>
      <c r="S61" s="95">
        <f t="shared" si="33"/>
        <v>22293.634914255159</v>
      </c>
      <c r="T61" s="95">
        <f t="shared" si="33"/>
        <v>28593.696437015467</v>
      </c>
      <c r="U61" s="95">
        <f t="shared" si="33"/>
        <v>34202.625796612032</v>
      </c>
      <c r="V61" s="95">
        <f t="shared" si="33"/>
        <v>40438.922121997872</v>
      </c>
      <c r="W61" s="95">
        <f t="shared" si="33"/>
        <v>46633.12938983841</v>
      </c>
      <c r="X61" s="95">
        <f t="shared" si="33"/>
        <v>51716.199160320932</v>
      </c>
    </row>
    <row r="62" spans="1:24" x14ac:dyDescent="0.3">
      <c r="A62" t="s">
        <v>101</v>
      </c>
      <c r="B62" s="64">
        <f t="shared" ref="B62:N62" si="34">B61/B49</f>
        <v>-0.42418101992570079</v>
      </c>
      <c r="C62" s="64">
        <f t="shared" si="34"/>
        <v>-2.1049618320610688</v>
      </c>
      <c r="D62" s="64">
        <f t="shared" si="34"/>
        <v>-4.3623867541393313</v>
      </c>
      <c r="E62" s="64">
        <f t="shared" si="34"/>
        <v>-3.3631249999999997</v>
      </c>
      <c r="F62" s="64">
        <f t="shared" si="34"/>
        <v>-2.3965217391304345</v>
      </c>
      <c r="G62" s="64">
        <f t="shared" si="34"/>
        <v>-1.6955172413793103</v>
      </c>
      <c r="H62" s="64">
        <f t="shared" si="34"/>
        <v>-1.1462162162162162</v>
      </c>
      <c r="I62" s="64">
        <f t="shared" si="34"/>
        <v>-0.71241379310344832</v>
      </c>
      <c r="J62" s="64">
        <f t="shared" si="34"/>
        <v>-0.45101449275362326</v>
      </c>
      <c r="K62" s="64">
        <f t="shared" si="34"/>
        <v>-0.2614727272727273</v>
      </c>
      <c r="L62" s="64">
        <f t="shared" si="34"/>
        <v>-0.13737795275590559</v>
      </c>
      <c r="M62" s="64">
        <f t="shared" si="34"/>
        <v>-4.9009836065573797E-2</v>
      </c>
      <c r="N62" s="64">
        <f t="shared" si="34"/>
        <v>1.4949152542372883E-2</v>
      </c>
      <c r="O62" s="64">
        <f t="shared" ref="O62:X62" si="35">O61/O49</f>
        <v>6.6841379310344756E-2</v>
      </c>
      <c r="P62" s="64">
        <f t="shared" si="35"/>
        <v>0.10859130434782609</v>
      </c>
      <c r="Q62" s="64">
        <f t="shared" si="35"/>
        <v>0.14259911504424783</v>
      </c>
      <c r="R62" s="64">
        <f t="shared" si="35"/>
        <v>0.17877142857142847</v>
      </c>
      <c r="S62" s="64">
        <f t="shared" si="35"/>
        <v>0.20486363636363641</v>
      </c>
      <c r="T62" s="64">
        <f t="shared" si="35"/>
        <v>0.24106146788990826</v>
      </c>
      <c r="U62" s="64">
        <f t="shared" si="35"/>
        <v>0.266988888888889</v>
      </c>
      <c r="V62" s="64">
        <f t="shared" si="35"/>
        <v>0.29501869158878519</v>
      </c>
      <c r="W62" s="64">
        <f t="shared" si="35"/>
        <v>0.32095094339622637</v>
      </c>
      <c r="X62" s="64">
        <f t="shared" si="35"/>
        <v>0.33898571428571428</v>
      </c>
    </row>
    <row r="63" spans="1:24" x14ac:dyDescent="0.3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</row>
    <row r="64" spans="1:24" x14ac:dyDescent="0.3">
      <c r="A64" s="5" t="s">
        <v>102</v>
      </c>
      <c r="B64" s="89"/>
      <c r="C64" s="89"/>
      <c r="D64" s="89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7"/>
      <c r="P64" s="97"/>
      <c r="Q64" s="97"/>
      <c r="R64" s="97"/>
      <c r="S64" s="97"/>
      <c r="T64" s="97"/>
      <c r="U64" s="97"/>
      <c r="V64" s="97"/>
      <c r="W64" s="97"/>
      <c r="X64" s="97"/>
    </row>
    <row r="65" spans="1:24" x14ac:dyDescent="0.3">
      <c r="A65" s="6" t="s">
        <v>139</v>
      </c>
      <c r="B65" s="52"/>
      <c r="C65" s="52"/>
      <c r="D65" s="52"/>
      <c r="E65" s="98" t="s">
        <v>67</v>
      </c>
      <c r="F65" s="98" t="s">
        <v>68</v>
      </c>
      <c r="G65" s="98" t="s">
        <v>69</v>
      </c>
      <c r="H65" s="98" t="s">
        <v>70</v>
      </c>
      <c r="I65" s="98" t="s">
        <v>71</v>
      </c>
      <c r="J65" s="98" t="s">
        <v>72</v>
      </c>
      <c r="K65" s="98" t="s">
        <v>73</v>
      </c>
      <c r="L65" s="98" t="s">
        <v>74</v>
      </c>
      <c r="M65" s="98" t="s">
        <v>75</v>
      </c>
      <c r="N65" s="98" t="s">
        <v>76</v>
      </c>
      <c r="O65" s="98" t="s">
        <v>245</v>
      </c>
      <c r="P65" s="98" t="s">
        <v>246</v>
      </c>
      <c r="Q65" s="98" t="s">
        <v>247</v>
      </c>
      <c r="R65" s="98" t="s">
        <v>248</v>
      </c>
      <c r="S65" s="98" t="s">
        <v>249</v>
      </c>
      <c r="T65" s="98" t="s">
        <v>250</v>
      </c>
      <c r="U65" s="98" t="s">
        <v>251</v>
      </c>
      <c r="V65" s="98" t="s">
        <v>252</v>
      </c>
      <c r="W65" s="98" t="s">
        <v>253</v>
      </c>
      <c r="X65" s="98" t="s">
        <v>254</v>
      </c>
    </row>
    <row r="66" spans="1:24" x14ac:dyDescent="0.3">
      <c r="A66" t="s">
        <v>103</v>
      </c>
      <c r="B66" s="54"/>
      <c r="C66" s="54"/>
      <c r="D66" s="54"/>
      <c r="E66" s="99">
        <v>0.5</v>
      </c>
      <c r="F66" s="99">
        <v>1.5</v>
      </c>
      <c r="G66" s="99">
        <v>2.5</v>
      </c>
      <c r="H66" s="99">
        <v>3.5</v>
      </c>
      <c r="I66" s="99">
        <v>4.5</v>
      </c>
      <c r="J66" s="99">
        <v>5.5</v>
      </c>
      <c r="K66" s="99">
        <v>6.5</v>
      </c>
      <c r="L66" s="99">
        <v>7.5</v>
      </c>
      <c r="M66" s="99">
        <v>8.5</v>
      </c>
      <c r="N66" s="99">
        <v>9.5</v>
      </c>
      <c r="O66" s="99">
        <v>10.5</v>
      </c>
      <c r="P66" s="99">
        <v>11.5</v>
      </c>
      <c r="Q66" s="99">
        <v>12.5</v>
      </c>
      <c r="R66" s="99">
        <v>13.5</v>
      </c>
      <c r="S66" s="99">
        <v>14.5</v>
      </c>
      <c r="T66" s="99">
        <v>15.5</v>
      </c>
      <c r="U66" s="99">
        <v>16.5</v>
      </c>
      <c r="V66" s="99">
        <v>17.5</v>
      </c>
      <c r="W66" s="99">
        <v>18.5</v>
      </c>
      <c r="X66" s="99">
        <v>19.5</v>
      </c>
    </row>
    <row r="67" spans="1:24" x14ac:dyDescent="0.3">
      <c r="A67" t="s">
        <v>104</v>
      </c>
      <c r="B67" s="54"/>
      <c r="C67" s="54"/>
      <c r="D67" s="54"/>
      <c r="E67" s="100">
        <f t="shared" ref="E67:N67" si="36">1/(1+$B$45)^E66</f>
        <v>0.94666516072493601</v>
      </c>
      <c r="F67" s="100">
        <f t="shared" si="36"/>
        <v>0.84837758086152903</v>
      </c>
      <c r="G67" s="100">
        <f t="shared" si="36"/>
        <v>0.76029471619859268</v>
      </c>
      <c r="H67" s="100">
        <f t="shared" si="36"/>
        <v>0.68135706143070129</v>
      </c>
      <c r="I67" s="100">
        <f t="shared" si="36"/>
        <v>0.61061511446860672</v>
      </c>
      <c r="J67" s="100">
        <f t="shared" si="36"/>
        <v>0.54721795534723627</v>
      </c>
      <c r="K67" s="100">
        <f t="shared" si="36"/>
        <v>0.49040301092940802</v>
      </c>
      <c r="L67" s="100">
        <f t="shared" si="36"/>
        <v>0.43948688228993388</v>
      </c>
      <c r="M67" s="100">
        <f t="shared" si="36"/>
        <v>0.39385712444724225</v>
      </c>
      <c r="N67" s="100">
        <f t="shared" si="36"/>
        <v>0.35296487956496958</v>
      </c>
      <c r="O67" s="100">
        <f t="shared" ref="O67:X67" si="37">1/(1+$B$45)^O66</f>
        <v>0.31631827501193699</v>
      </c>
      <c r="P67" s="100">
        <f t="shared" si="37"/>
        <v>0.28347650686903569</v>
      </c>
      <c r="Q67" s="100">
        <f t="shared" si="37"/>
        <v>0.25404453771644353</v>
      </c>
      <c r="R67" s="100">
        <f t="shared" si="37"/>
        <v>0.22766834492347529</v>
      </c>
      <c r="S67" s="100">
        <f t="shared" si="37"/>
        <v>0.20403066228508612</v>
      </c>
      <c r="T67" s="100">
        <f t="shared" si="37"/>
        <v>0.1828471637832795</v>
      </c>
      <c r="U67" s="100">
        <f t="shared" si="37"/>
        <v>0.16386304356976678</v>
      </c>
      <c r="V67" s="100">
        <f t="shared" si="37"/>
        <v>0.14684995103217835</v>
      </c>
      <c r="W67" s="100">
        <f t="shared" si="37"/>
        <v>0.13160324407725066</v>
      </c>
      <c r="X67" s="100">
        <f t="shared" si="37"/>
        <v>0.11793952759208834</v>
      </c>
    </row>
    <row r="68" spans="1:24" x14ac:dyDescent="0.3">
      <c r="A68" t="s">
        <v>105</v>
      </c>
      <c r="B68" s="54"/>
      <c r="C68" s="54"/>
      <c r="D68" s="54"/>
      <c r="E68" s="92">
        <f t="shared" ref="E68:N68" si="38">E61</f>
        <v>-13779.664799999999</v>
      </c>
      <c r="F68" s="92">
        <f t="shared" si="38"/>
        <v>-13550.524415999997</v>
      </c>
      <c r="G68" s="92">
        <f t="shared" si="38"/>
        <v>-13900.964774399996</v>
      </c>
      <c r="H68" s="92">
        <f t="shared" si="38"/>
        <v>-13908.202209791996</v>
      </c>
      <c r="I68" s="92">
        <f t="shared" si="38"/>
        <v>-12534.435195955197</v>
      </c>
      <c r="J68" s="92">
        <f t="shared" si="38"/>
        <v>-10950.703848640511</v>
      </c>
      <c r="K68" s="92">
        <f t="shared" si="38"/>
        <v>-8380.1513917200336</v>
      </c>
      <c r="L68" s="92">
        <f t="shared" si="38"/>
        <v>-5591.7304590944113</v>
      </c>
      <c r="M68" s="92">
        <f t="shared" si="38"/>
        <v>-2433.7292913676833</v>
      </c>
      <c r="N68" s="92">
        <f t="shared" si="38"/>
        <v>875.966706811373</v>
      </c>
      <c r="O68" s="92">
        <f t="shared" ref="O68:X68" si="39">O61</f>
        <v>4543.3314287758112</v>
      </c>
      <c r="P68" s="92">
        <f t="shared" si="39"/>
        <v>8488.3231716571354</v>
      </c>
      <c r="Q68" s="92">
        <f t="shared" si="39"/>
        <v>12595.694831422272</v>
      </c>
      <c r="R68" s="92">
        <f t="shared" si="39"/>
        <v>17685.666570540354</v>
      </c>
      <c r="S68" s="92">
        <f t="shared" si="39"/>
        <v>22293.634914255159</v>
      </c>
      <c r="T68" s="92">
        <f t="shared" si="39"/>
        <v>28593.696437015467</v>
      </c>
      <c r="U68" s="92">
        <f t="shared" si="39"/>
        <v>34202.625796612032</v>
      </c>
      <c r="V68" s="92">
        <f t="shared" si="39"/>
        <v>40438.922121997872</v>
      </c>
      <c r="W68" s="92">
        <f t="shared" si="39"/>
        <v>46633.12938983841</v>
      </c>
      <c r="X68" s="92">
        <f t="shared" si="39"/>
        <v>51716.199160320932</v>
      </c>
    </row>
    <row r="69" spans="1:24" x14ac:dyDescent="0.3">
      <c r="A69" t="s">
        <v>106</v>
      </c>
      <c r="B69" s="54"/>
      <c r="C69" s="54"/>
      <c r="D69" s="54"/>
      <c r="E69" s="101">
        <f t="shared" ref="E69:N69" si="40">E68*E67</f>
        <v>-13044.728592627742</v>
      </c>
      <c r="F69" s="101">
        <f t="shared" si="40"/>
        <v>-11495.961123451161</v>
      </c>
      <c r="G69" s="101">
        <f t="shared" si="40"/>
        <v>-10568.830068039078</v>
      </c>
      <c r="H69" s="101">
        <f t="shared" si="40"/>
        <v>-9476.4517874478606</v>
      </c>
      <c r="I69" s="101">
        <f t="shared" si="40"/>
        <v>-7653.7155819775153</v>
      </c>
      <c r="J69" s="101">
        <f t="shared" si="40"/>
        <v>-5992.4217696661717</v>
      </c>
      <c r="K69" s="101">
        <f t="shared" si="40"/>
        <v>-4109.6514745437735</v>
      </c>
      <c r="L69" s="101">
        <f t="shared" si="40"/>
        <v>-2457.4921860730633</v>
      </c>
      <c r="M69" s="101">
        <f t="shared" si="40"/>
        <v>-958.5416203811003</v>
      </c>
      <c r="N69" s="101">
        <f t="shared" si="40"/>
        <v>309.18548317259928</v>
      </c>
      <c r="O69" s="102">
        <f t="shared" ref="O69:X69" si="41">O68*O67</f>
        <v>1437.1387603578837</v>
      </c>
      <c r="P69" s="102">
        <f t="shared" si="41"/>
        <v>2406.2402018768589</v>
      </c>
      <c r="Q69" s="102">
        <f t="shared" si="41"/>
        <v>3199.8674706660681</v>
      </c>
      <c r="R69" s="102">
        <f t="shared" si="41"/>
        <v>4026.4664369833577</v>
      </c>
      <c r="S69" s="102">
        <f t="shared" si="41"/>
        <v>4548.5850962973991</v>
      </c>
      <c r="T69" s="102">
        <f t="shared" si="41"/>
        <v>5228.2762955883427</v>
      </c>
      <c r="U69" s="102">
        <f t="shared" si="41"/>
        <v>5604.5463611106661</v>
      </c>
      <c r="V69" s="102">
        <f t="shared" si="41"/>
        <v>5938.4537334094612</v>
      </c>
      <c r="W69" s="102">
        <f t="shared" si="41"/>
        <v>6137.0711091769153</v>
      </c>
      <c r="X69" s="102">
        <f t="shared" si="41"/>
        <v>6099.3840978266062</v>
      </c>
    </row>
    <row r="70" spans="1:24" x14ac:dyDescent="0.3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 spans="1:24" x14ac:dyDescent="0.3">
      <c r="A71" s="5" t="s">
        <v>107</v>
      </c>
      <c r="B71" s="103"/>
      <c r="C71" s="103"/>
      <c r="D71" s="10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90"/>
      <c r="P71" s="90"/>
      <c r="Q71" s="90"/>
      <c r="R71" s="90"/>
      <c r="S71" s="90"/>
      <c r="T71" s="90"/>
      <c r="U71" s="90"/>
      <c r="V71" s="90"/>
      <c r="W71" s="90"/>
      <c r="X71" s="90"/>
    </row>
    <row r="72" spans="1:24" x14ac:dyDescent="0.3">
      <c r="A72" s="1" t="s">
        <v>108</v>
      </c>
      <c r="B72" s="92"/>
      <c r="C72" s="92"/>
      <c r="D72" s="92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 spans="1:24" x14ac:dyDescent="0.3">
      <c r="A73" t="s">
        <v>131</v>
      </c>
      <c r="B73" s="92">
        <f>X61</f>
        <v>51716.199160320932</v>
      </c>
      <c r="C73" s="92"/>
      <c r="D73" s="92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 spans="1:24" x14ac:dyDescent="0.3">
      <c r="A74" t="s">
        <v>110</v>
      </c>
      <c r="B74" s="92">
        <f>X61*(1+$B$44)</f>
        <v>53526.266130932163</v>
      </c>
      <c r="C74" s="92"/>
      <c r="D74" s="92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 spans="1:24" x14ac:dyDescent="0.3">
      <c r="A75" t="s">
        <v>111</v>
      </c>
      <c r="B75" s="101">
        <f>B74/($B$45-$B$44)</f>
        <v>662014.79497191799</v>
      </c>
      <c r="C75" s="92"/>
      <c r="D75" s="92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 spans="1:24" x14ac:dyDescent="0.3">
      <c r="A76" t="s">
        <v>112</v>
      </c>
      <c r="B76" s="104">
        <f>B75/(1+$B$45)^19.5</f>
        <v>78077.712177961221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 spans="1:24" x14ac:dyDescent="0.3">
      <c r="B77" s="64"/>
      <c r="C77" s="64"/>
      <c r="D77" s="6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 spans="1:24" x14ac:dyDescent="0.3">
      <c r="A78" s="1" t="s">
        <v>140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 spans="1:24" x14ac:dyDescent="0.3">
      <c r="A79" t="s">
        <v>788</v>
      </c>
      <c r="B79" s="248">
        <f>IF(N('AI Comps'!J47)&gt;0,'AI Comps'!J47,6)</f>
        <v>3.2301136363636362</v>
      </c>
      <c r="C79" s="92"/>
      <c r="D79" s="333" t="str">
        <f>IF(N('AI Comps'!J47)&gt;0,"✓ LIVE — "&amp;TEXT('AI Comps'!J47,"0.0x")&amp;" from AI Comps Tier 3 (Social Media)","⚠ FALLBACK — using 6.0x default")</f>
        <v>✓ LIVE — 3.2x from AI Comps Tier 3 (Social Media)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 spans="1:24" x14ac:dyDescent="0.3">
      <c r="A80" t="s">
        <v>141</v>
      </c>
      <c r="B80" s="92">
        <f>X49</f>
        <v>152561.58882474885</v>
      </c>
      <c r="C80" s="92"/>
      <c r="D80" s="92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 spans="1:24" x14ac:dyDescent="0.3">
      <c r="A81" t="s">
        <v>142</v>
      </c>
      <c r="B81" s="101">
        <f>B79*B80</f>
        <v>492791.26844812342</v>
      </c>
      <c r="C81" s="92"/>
      <c r="D81" s="92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 spans="1:24" x14ac:dyDescent="0.3">
      <c r="A82" t="s">
        <v>143</v>
      </c>
      <c r="B82" s="101">
        <f>B81/(1+$B$45)^19.5</f>
        <v>58119.569402277659</v>
      </c>
      <c r="C82" s="40"/>
      <c r="D82" s="40"/>
    </row>
    <row r="83" spans="1:24" ht="15" thickBot="1" x14ac:dyDescent="0.35">
      <c r="B83" s="82"/>
      <c r="C83" s="40"/>
      <c r="D83" s="40"/>
    </row>
    <row r="84" spans="1:24" ht="15" thickTop="1" x14ac:dyDescent="0.3">
      <c r="A84" s="9" t="s">
        <v>144</v>
      </c>
      <c r="B84" s="41"/>
      <c r="C84" s="42"/>
      <c r="D84" s="83"/>
    </row>
    <row r="85" spans="1:24" x14ac:dyDescent="0.3">
      <c r="A85" s="10"/>
      <c r="B85" s="112" t="s">
        <v>259</v>
      </c>
      <c r="C85" s="113" t="s">
        <v>260</v>
      </c>
      <c r="D85" s="84"/>
    </row>
    <row r="86" spans="1:24" x14ac:dyDescent="0.3">
      <c r="A86" s="11" t="s">
        <v>120</v>
      </c>
      <c r="B86" s="92">
        <f>SUM(E69:X69)</f>
        <v>-20822.579157741289</v>
      </c>
      <c r="C86" s="106">
        <f>SUM(E69:X69)</f>
        <v>-20822.579157741289</v>
      </c>
      <c r="D86" s="40"/>
    </row>
    <row r="87" spans="1:24" x14ac:dyDescent="0.3">
      <c r="A87" s="11" t="s">
        <v>121</v>
      </c>
      <c r="B87" s="92">
        <f>B82</f>
        <v>58119.569402277659</v>
      </c>
      <c r="C87" s="106">
        <f>B76</f>
        <v>78077.712177961221</v>
      </c>
      <c r="D87" s="40"/>
    </row>
    <row r="88" spans="1:24" x14ac:dyDescent="0.3">
      <c r="A88" s="20" t="s">
        <v>122</v>
      </c>
      <c r="B88" s="107">
        <f>B86+B87</f>
        <v>37296.99024453637</v>
      </c>
      <c r="C88" s="108">
        <f>C86+C87</f>
        <v>57255.133020219931</v>
      </c>
      <c r="D88" s="40"/>
    </row>
    <row r="89" spans="1:24" x14ac:dyDescent="0.3">
      <c r="A89" s="11"/>
      <c r="B89" s="64"/>
      <c r="C89" s="109"/>
      <c r="D89" s="26"/>
    </row>
    <row r="90" spans="1:24" ht="15" thickBot="1" x14ac:dyDescent="0.35">
      <c r="A90" s="12" t="s">
        <v>123</v>
      </c>
      <c r="B90" s="110">
        <f>B87/B88</f>
        <v>1.5582911388082201</v>
      </c>
      <c r="C90" s="111">
        <f>C87/C88</f>
        <v>1.3636805655553659</v>
      </c>
    </row>
    <row r="91" spans="1:24" ht="15" thickTop="1" x14ac:dyDescent="0.3"/>
    <row r="92" spans="1:24" x14ac:dyDescent="0.3">
      <c r="A92" s="5" t="s">
        <v>145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4" spans="1:24" x14ac:dyDescent="0.3">
      <c r="A94" s="21" t="s">
        <v>125</v>
      </c>
    </row>
    <row r="96" spans="1:24" x14ac:dyDescent="0.3">
      <c r="B96" s="66" t="s">
        <v>134</v>
      </c>
      <c r="C96" s="114">
        <f>$B$44-0.01</f>
        <v>2.5000000000000001E-2</v>
      </c>
      <c r="D96" s="114">
        <f>$B$44-0.005</f>
        <v>3.0000000000000002E-2</v>
      </c>
      <c r="E96" s="114">
        <f>$B$44</f>
        <v>3.5000000000000003E-2</v>
      </c>
      <c r="F96" s="114">
        <f>$B$44+0.005</f>
        <v>0.04</v>
      </c>
      <c r="G96" s="114">
        <f>$B$44+0.01</f>
        <v>4.5000000000000005E-2</v>
      </c>
    </row>
    <row r="97" spans="1:7" x14ac:dyDescent="0.3">
      <c r="B97" s="114">
        <f>$B$45-0.02</f>
        <v>9.5853579916144765E-2</v>
      </c>
      <c r="C97" s="92">
        <f t="shared" ref="C97:G101" si="42">SUMPRODUCT($E$61:$X$61,1/(1+$B97)^$E$66:$X$66)+($X$61*(1+C$96)/($B97-C$96))/(1+$B97)^19.5</f>
        <v>115952.83205751327</v>
      </c>
      <c r="D97" s="92">
        <f t="shared" si="42"/>
        <v>126144.22621098087</v>
      </c>
      <c r="E97" s="92">
        <f t="shared" si="42"/>
        <v>138010.36064554795</v>
      </c>
      <c r="F97" s="92">
        <f t="shared" si="42"/>
        <v>152001.00248901924</v>
      </c>
      <c r="G97" s="92">
        <f t="shared" si="42"/>
        <v>168742.80597470744</v>
      </c>
    </row>
    <row r="98" spans="1:7" x14ac:dyDescent="0.3">
      <c r="B98" s="114">
        <f>$B$45-0.01</f>
        <v>0.10585357991614477</v>
      </c>
      <c r="C98" s="92">
        <f t="shared" si="42"/>
        <v>76407.654092278797</v>
      </c>
      <c r="D98" s="92">
        <f t="shared" si="42"/>
        <v>82961.785523248021</v>
      </c>
      <c r="E98" s="92">
        <f t="shared" si="42"/>
        <v>90440.941693789471</v>
      </c>
      <c r="F98" s="92">
        <f t="shared" si="42"/>
        <v>99055.822935020347</v>
      </c>
      <c r="G98" s="92">
        <f t="shared" si="42"/>
        <v>109086.37787254018</v>
      </c>
    </row>
    <row r="99" spans="1:7" x14ac:dyDescent="0.3">
      <c r="B99" s="114">
        <f>$B$45</f>
        <v>0.11585357991614477</v>
      </c>
      <c r="C99" s="92">
        <f t="shared" si="42"/>
        <v>47989.994942724152</v>
      </c>
      <c r="D99" s="92">
        <f t="shared" si="42"/>
        <v>52352.76923073057</v>
      </c>
      <c r="E99" s="107">
        <f t="shared" si="42"/>
        <v>57255.133020219931</v>
      </c>
      <c r="F99" s="92">
        <f t="shared" si="42"/>
        <v>62803.789811952418</v>
      </c>
      <c r="G99" s="92">
        <f t="shared" si="42"/>
        <v>69135.562544798842</v>
      </c>
    </row>
    <row r="100" spans="1:7" x14ac:dyDescent="0.3">
      <c r="B100" s="114">
        <f>$B$45+0.01</f>
        <v>0.12585357991614476</v>
      </c>
      <c r="C100" s="92">
        <f t="shared" si="42"/>
        <v>27109.008083950794</v>
      </c>
      <c r="D100" s="92">
        <f t="shared" si="42"/>
        <v>30093.57661269635</v>
      </c>
      <c r="E100" s="92">
        <f t="shared" si="42"/>
        <v>33406.648270487596</v>
      </c>
      <c r="F100" s="92">
        <f t="shared" si="42"/>
        <v>37105.617832714175</v>
      </c>
      <c r="G100" s="92">
        <f t="shared" si="42"/>
        <v>41262.07728791306</v>
      </c>
    </row>
    <row r="101" spans="1:7" x14ac:dyDescent="0.3">
      <c r="B101" s="114">
        <f>$B$45+0.02</f>
        <v>0.13585357991614477</v>
      </c>
      <c r="C101" s="92">
        <f t="shared" si="42"/>
        <v>11506.037932945736</v>
      </c>
      <c r="D101" s="92">
        <f t="shared" si="42"/>
        <v>13593.784769166909</v>
      </c>
      <c r="E101" s="92">
        <f t="shared" si="42"/>
        <v>15888.539312794892</v>
      </c>
      <c r="F101" s="92">
        <f t="shared" si="42"/>
        <v>18422.695926291897</v>
      </c>
      <c r="G101" s="92">
        <f t="shared" si="42"/>
        <v>21235.780086269289</v>
      </c>
    </row>
    <row r="102" spans="1:7" x14ac:dyDescent="0.3">
      <c r="B102" s="54"/>
      <c r="C102" s="54"/>
      <c r="D102" s="54"/>
      <c r="E102" s="54"/>
      <c r="F102" s="54"/>
      <c r="G102" s="54"/>
    </row>
    <row r="103" spans="1:7" x14ac:dyDescent="0.3">
      <c r="B103" s="54"/>
      <c r="C103" s="54"/>
      <c r="D103" s="54"/>
      <c r="E103" s="54"/>
      <c r="F103" s="54"/>
      <c r="G103" s="54"/>
    </row>
    <row r="104" spans="1:7" x14ac:dyDescent="0.3">
      <c r="A104" s="21" t="s">
        <v>146</v>
      </c>
      <c r="B104" s="54"/>
      <c r="C104" s="54"/>
      <c r="D104" s="54"/>
      <c r="E104" s="54"/>
      <c r="F104" s="54"/>
      <c r="G104" s="54"/>
    </row>
    <row r="105" spans="1:7" x14ac:dyDescent="0.3">
      <c r="B105" s="54"/>
      <c r="C105" s="54"/>
      <c r="D105" s="54"/>
      <c r="E105" s="54"/>
      <c r="F105" s="54"/>
      <c r="G105" s="54"/>
    </row>
    <row r="106" spans="1:7" x14ac:dyDescent="0.3">
      <c r="B106" s="66" t="s">
        <v>147</v>
      </c>
      <c r="C106" s="115">
        <f>$B$79-4</f>
        <v>-0.76988636363636376</v>
      </c>
      <c r="D106" s="115">
        <f>$B$79-2</f>
        <v>1.2301136363636362</v>
      </c>
      <c r="E106" s="115">
        <f>$B$79</f>
        <v>3.2301136363636362</v>
      </c>
      <c r="F106" s="115">
        <f>$B$79+2</f>
        <v>5.2301136363636367</v>
      </c>
      <c r="G106" s="115">
        <f>$B$79+4</f>
        <v>7.2301136363636367</v>
      </c>
    </row>
    <row r="107" spans="1:7" x14ac:dyDescent="0.3">
      <c r="B107" s="114">
        <f>$B$45-0.02</f>
        <v>9.5853579916144765E-2</v>
      </c>
      <c r="C107" s="92">
        <f t="shared" ref="C107:G111" si="43">SUMPRODUCT($E$61:$X$61,1/(1+$B107)^$E$66:$X$66)+($X$49*C$106)/(1+$B107)^19.5</f>
        <v>-29306.967033012585</v>
      </c>
      <c r="D107" s="92">
        <f t="shared" si="43"/>
        <v>21896.674635612617</v>
      </c>
      <c r="E107" s="92">
        <f t="shared" si="43"/>
        <v>73100.316304237829</v>
      </c>
      <c r="F107" s="92">
        <f t="shared" si="43"/>
        <v>124303.95797286303</v>
      </c>
      <c r="G107" s="92">
        <f t="shared" si="43"/>
        <v>175507.5996414882</v>
      </c>
    </row>
    <row r="108" spans="1:7" x14ac:dyDescent="0.3">
      <c r="B108" s="114">
        <f>$B$45-0.01</f>
        <v>0.10585357991614477</v>
      </c>
      <c r="C108" s="92">
        <f t="shared" si="43"/>
        <v>-32264.204521747044</v>
      </c>
      <c r="D108" s="92">
        <f t="shared" si="43"/>
        <v>10627.31663035107</v>
      </c>
      <c r="E108" s="92">
        <f t="shared" si="43"/>
        <v>53518.837782449184</v>
      </c>
      <c r="F108" s="92">
        <f t="shared" si="43"/>
        <v>96410.358934547286</v>
      </c>
      <c r="G108" s="92">
        <f t="shared" si="43"/>
        <v>139301.88008664543</v>
      </c>
    </row>
    <row r="109" spans="1:7" x14ac:dyDescent="0.3">
      <c r="B109" s="114">
        <f>$B$45</f>
        <v>0.11585357991614477</v>
      </c>
      <c r="C109" s="92">
        <f t="shared" si="43"/>
        <v>-34675.176614220836</v>
      </c>
      <c r="D109" s="107">
        <f t="shared" si="43"/>
        <v>1310.906815157763</v>
      </c>
      <c r="E109" s="107">
        <f t="shared" si="43"/>
        <v>37296.99024453637</v>
      </c>
      <c r="F109" s="92">
        <f t="shared" si="43"/>
        <v>73283.073673914972</v>
      </c>
      <c r="G109" s="92">
        <f t="shared" si="43"/>
        <v>109269.15710329358</v>
      </c>
    </row>
    <row r="110" spans="1:7" x14ac:dyDescent="0.3">
      <c r="B110" s="114">
        <f>$B$45+0.01</f>
        <v>0.12585357991614476</v>
      </c>
      <c r="C110" s="92">
        <f t="shared" si="43"/>
        <v>-36622.466919177314</v>
      </c>
      <c r="D110" s="92">
        <f t="shared" si="43"/>
        <v>-6382.7380355854693</v>
      </c>
      <c r="E110" s="92">
        <f t="shared" si="43"/>
        <v>23856.990848006375</v>
      </c>
      <c r="F110" s="92">
        <f t="shared" si="43"/>
        <v>54096.719731598212</v>
      </c>
      <c r="G110" s="92">
        <f t="shared" si="43"/>
        <v>84336.448615190049</v>
      </c>
    </row>
    <row r="111" spans="1:7" x14ac:dyDescent="0.3">
      <c r="B111" s="114">
        <f>$B$45+0.02</f>
        <v>0.13585357991614477</v>
      </c>
      <c r="C111" s="92">
        <f t="shared" si="43"/>
        <v>-38176.287896796312</v>
      </c>
      <c r="D111" s="92">
        <f t="shared" si="43"/>
        <v>-12726.196217974551</v>
      </c>
      <c r="E111" s="92">
        <f t="shared" si="43"/>
        <v>12723.895460847205</v>
      </c>
      <c r="F111" s="92">
        <f t="shared" si="43"/>
        <v>38173.987139668963</v>
      </c>
      <c r="G111" s="92">
        <f t="shared" si="43"/>
        <v>63624.078818490721</v>
      </c>
    </row>
    <row r="124" spans="1:24" x14ac:dyDescent="0.3">
      <c r="A124" s="350" t="s">
        <v>277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</row>
    <row r="125" spans="1:24" x14ac:dyDescent="0.3">
      <c r="A125" s="6" t="s">
        <v>266</v>
      </c>
      <c r="B125" s="6"/>
      <c r="C125" s="52"/>
      <c r="D125" s="52" t="s">
        <v>66</v>
      </c>
      <c r="E125" s="52" t="s">
        <v>67</v>
      </c>
      <c r="F125" s="52" t="s">
        <v>68</v>
      </c>
      <c r="G125" s="52" t="s">
        <v>69</v>
      </c>
      <c r="H125" s="52" t="s">
        <v>70</v>
      </c>
      <c r="I125" s="52" t="s">
        <v>71</v>
      </c>
      <c r="J125" s="52" t="s">
        <v>72</v>
      </c>
      <c r="K125" s="52" t="s">
        <v>73</v>
      </c>
      <c r="L125" s="52" t="s">
        <v>74</v>
      </c>
      <c r="M125" s="52" t="s">
        <v>75</v>
      </c>
      <c r="N125" s="52" t="s">
        <v>76</v>
      </c>
      <c r="O125" s="52" t="s">
        <v>245</v>
      </c>
      <c r="P125" s="52" t="s">
        <v>246</v>
      </c>
      <c r="Q125" s="52" t="s">
        <v>247</v>
      </c>
      <c r="R125" s="52" t="s">
        <v>248</v>
      </c>
      <c r="S125" s="52" t="s">
        <v>249</v>
      </c>
      <c r="T125" s="52" t="s">
        <v>250</v>
      </c>
      <c r="U125" s="52" t="s">
        <v>251</v>
      </c>
      <c r="V125" s="52" t="s">
        <v>252</v>
      </c>
      <c r="W125" s="52" t="s">
        <v>253</v>
      </c>
      <c r="X125" s="52" t="s">
        <v>254</v>
      </c>
    </row>
    <row r="126" spans="1:24" x14ac:dyDescent="0.3">
      <c r="A126" t="s">
        <v>278</v>
      </c>
      <c r="C126" s="54"/>
      <c r="D126" s="116">
        <v>31</v>
      </c>
      <c r="E126" s="116">
        <v>34.799999999999997</v>
      </c>
      <c r="F126" s="116">
        <v>39.1</v>
      </c>
      <c r="G126" s="116">
        <v>43.8</v>
      </c>
      <c r="H126" s="116">
        <v>49.2</v>
      </c>
      <c r="I126" s="116">
        <v>55.2</v>
      </c>
      <c r="J126" s="116">
        <v>62</v>
      </c>
      <c r="K126" s="116">
        <v>69.599999999999994</v>
      </c>
      <c r="L126" s="116">
        <v>78.099999999999994</v>
      </c>
      <c r="M126" s="116">
        <v>87.6</v>
      </c>
      <c r="N126" s="116">
        <v>98.3</v>
      </c>
      <c r="O126" s="116">
        <v>110.4</v>
      </c>
      <c r="P126" s="116">
        <v>123.9</v>
      </c>
      <c r="Q126" s="116">
        <v>139.1</v>
      </c>
      <c r="R126" s="116">
        <v>156.1</v>
      </c>
      <c r="S126" s="116">
        <v>175.2</v>
      </c>
      <c r="T126" s="116">
        <v>196.6</v>
      </c>
      <c r="U126" s="116">
        <v>220.7</v>
      </c>
      <c r="V126" s="116">
        <v>247.7</v>
      </c>
      <c r="W126" s="116">
        <v>278</v>
      </c>
      <c r="X126" s="116">
        <v>312</v>
      </c>
    </row>
    <row r="127" spans="1:24" x14ac:dyDescent="0.3">
      <c r="A127" t="s">
        <v>279</v>
      </c>
      <c r="C127" s="54"/>
      <c r="D127" s="55">
        <v>5.0000000000000001E-3</v>
      </c>
      <c r="E127" s="55">
        <v>8.0000000000000002E-3</v>
      </c>
      <c r="F127" s="55">
        <v>1.0999999999999999E-2</v>
      </c>
      <c r="G127" s="55">
        <v>1.4999999999999999E-2</v>
      </c>
      <c r="H127" s="55">
        <v>1.9E-2</v>
      </c>
      <c r="I127" s="55">
        <v>2.4E-2</v>
      </c>
      <c r="J127" s="55">
        <v>2.9000000000000001E-2</v>
      </c>
      <c r="K127" s="55">
        <v>3.4000000000000002E-2</v>
      </c>
      <c r="L127" s="55">
        <v>0.04</v>
      </c>
      <c r="M127" s="55">
        <v>4.4999999999999998E-2</v>
      </c>
      <c r="N127" s="55">
        <v>0.05</v>
      </c>
      <c r="O127" s="55">
        <v>5.5E-2</v>
      </c>
      <c r="P127" s="55">
        <v>0.06</v>
      </c>
      <c r="Q127" s="55">
        <v>6.4000000000000001E-2</v>
      </c>
      <c r="R127" s="55">
        <v>6.8000000000000005E-2</v>
      </c>
      <c r="S127" s="55">
        <v>7.0999999999999994E-2</v>
      </c>
      <c r="T127" s="55">
        <v>7.3999999999999996E-2</v>
      </c>
      <c r="U127" s="55">
        <v>7.5999999999999998E-2</v>
      </c>
      <c r="V127" s="55">
        <v>7.8E-2</v>
      </c>
      <c r="W127" s="55">
        <v>7.9000000000000001E-2</v>
      </c>
      <c r="X127" s="55">
        <v>0.08</v>
      </c>
    </row>
    <row r="128" spans="1:24" x14ac:dyDescent="0.3">
      <c r="A128" t="s">
        <v>280</v>
      </c>
      <c r="C128" s="54"/>
      <c r="D128" s="117">
        <f t="shared" ref="D128:X128" si="44">D126*1000*D127</f>
        <v>155</v>
      </c>
      <c r="E128" s="117">
        <f t="shared" si="44"/>
        <v>278.40000000000003</v>
      </c>
      <c r="F128" s="117">
        <f t="shared" si="44"/>
        <v>430.09999999999997</v>
      </c>
      <c r="G128" s="117">
        <f t="shared" si="44"/>
        <v>657</v>
      </c>
      <c r="H128" s="117">
        <f t="shared" si="44"/>
        <v>934.8</v>
      </c>
      <c r="I128" s="117">
        <f t="shared" si="44"/>
        <v>1324.8</v>
      </c>
      <c r="J128" s="117">
        <f t="shared" si="44"/>
        <v>1798</v>
      </c>
      <c r="K128" s="117">
        <f t="shared" si="44"/>
        <v>2366.4</v>
      </c>
      <c r="L128" s="117">
        <f t="shared" si="44"/>
        <v>3124</v>
      </c>
      <c r="M128" s="117">
        <f t="shared" si="44"/>
        <v>3942</v>
      </c>
      <c r="N128" s="117">
        <f t="shared" si="44"/>
        <v>4915</v>
      </c>
      <c r="O128" s="117">
        <f t="shared" si="44"/>
        <v>6072</v>
      </c>
      <c r="P128" s="117">
        <f t="shared" si="44"/>
        <v>7434</v>
      </c>
      <c r="Q128" s="117">
        <f t="shared" si="44"/>
        <v>8902.4</v>
      </c>
      <c r="R128" s="117">
        <f t="shared" si="44"/>
        <v>10614.800000000001</v>
      </c>
      <c r="S128" s="117">
        <f t="shared" si="44"/>
        <v>12439.199999999999</v>
      </c>
      <c r="T128" s="117">
        <f t="shared" si="44"/>
        <v>14548.4</v>
      </c>
      <c r="U128" s="117">
        <f t="shared" si="44"/>
        <v>16773.2</v>
      </c>
      <c r="V128" s="117">
        <f t="shared" si="44"/>
        <v>19320.599999999999</v>
      </c>
      <c r="W128" s="117">
        <f t="shared" si="44"/>
        <v>21962</v>
      </c>
      <c r="X128" s="117">
        <f t="shared" si="44"/>
        <v>24960</v>
      </c>
    </row>
    <row r="129" spans="1:24" x14ac:dyDescent="0.3">
      <c r="A129" t="s">
        <v>281</v>
      </c>
      <c r="C129" s="54"/>
      <c r="D129" s="61">
        <v>1.5</v>
      </c>
      <c r="E129" s="61">
        <v>1.55</v>
      </c>
      <c r="F129" s="61">
        <v>1.6</v>
      </c>
      <c r="G129" s="61">
        <v>1.65</v>
      </c>
      <c r="H129" s="61">
        <v>1.7</v>
      </c>
      <c r="I129" s="61">
        <v>1.75</v>
      </c>
      <c r="J129" s="61">
        <v>1.8</v>
      </c>
      <c r="K129" s="61">
        <v>1.82</v>
      </c>
      <c r="L129" s="61">
        <v>1.85</v>
      </c>
      <c r="M129" s="61">
        <v>1.87</v>
      </c>
      <c r="N129" s="61">
        <v>1.9</v>
      </c>
      <c r="O129" s="61">
        <v>1.92</v>
      </c>
      <c r="P129" s="61">
        <v>1.94</v>
      </c>
      <c r="Q129" s="61">
        <v>1.96</v>
      </c>
      <c r="R129" s="61">
        <v>1.98</v>
      </c>
      <c r="S129" s="61">
        <v>2</v>
      </c>
      <c r="T129" s="61">
        <v>2</v>
      </c>
      <c r="U129" s="61">
        <v>2</v>
      </c>
      <c r="V129" s="61">
        <v>2</v>
      </c>
      <c r="W129" s="61">
        <v>2</v>
      </c>
      <c r="X129" s="61">
        <v>2</v>
      </c>
    </row>
    <row r="130" spans="1:24" x14ac:dyDescent="0.3">
      <c r="A130" t="s">
        <v>282</v>
      </c>
      <c r="C130" s="54"/>
      <c r="D130" s="118">
        <f t="shared" ref="D130:X130" si="45">D128*D129</f>
        <v>232.5</v>
      </c>
      <c r="E130" s="118">
        <f t="shared" si="45"/>
        <v>431.52000000000004</v>
      </c>
      <c r="F130" s="118">
        <f t="shared" si="45"/>
        <v>688.16</v>
      </c>
      <c r="G130" s="118">
        <f t="shared" si="45"/>
        <v>1084.05</v>
      </c>
      <c r="H130" s="118">
        <f t="shared" si="45"/>
        <v>1589.1599999999999</v>
      </c>
      <c r="I130" s="118">
        <f t="shared" si="45"/>
        <v>2318.4</v>
      </c>
      <c r="J130" s="118">
        <f t="shared" si="45"/>
        <v>3236.4</v>
      </c>
      <c r="K130" s="118">
        <f t="shared" si="45"/>
        <v>4306.848</v>
      </c>
      <c r="L130" s="118">
        <f t="shared" si="45"/>
        <v>5779.4000000000005</v>
      </c>
      <c r="M130" s="118">
        <f t="shared" si="45"/>
        <v>7371.5400000000009</v>
      </c>
      <c r="N130" s="118">
        <f t="shared" si="45"/>
        <v>9338.5</v>
      </c>
      <c r="O130" s="118">
        <f t="shared" si="45"/>
        <v>11658.24</v>
      </c>
      <c r="P130" s="118">
        <f t="shared" si="45"/>
        <v>14421.96</v>
      </c>
      <c r="Q130" s="118">
        <f t="shared" si="45"/>
        <v>17448.703999999998</v>
      </c>
      <c r="R130" s="118">
        <f t="shared" si="45"/>
        <v>21017.304000000004</v>
      </c>
      <c r="S130" s="118">
        <f t="shared" si="45"/>
        <v>24878.399999999998</v>
      </c>
      <c r="T130" s="118">
        <f t="shared" si="45"/>
        <v>29096.799999999999</v>
      </c>
      <c r="U130" s="118">
        <f t="shared" si="45"/>
        <v>33546.400000000001</v>
      </c>
      <c r="V130" s="118">
        <f t="shared" si="45"/>
        <v>38641.199999999997</v>
      </c>
      <c r="W130" s="118">
        <f t="shared" si="45"/>
        <v>43924</v>
      </c>
      <c r="X130" s="118">
        <f t="shared" si="45"/>
        <v>49920</v>
      </c>
    </row>
    <row r="131" spans="1:24" x14ac:dyDescent="0.3">
      <c r="A131" t="s">
        <v>283</v>
      </c>
      <c r="C131" s="54"/>
      <c r="D131" s="119">
        <v>2800</v>
      </c>
      <c r="E131" s="118">
        <f t="shared" ref="E131:X131" si="46">D131*(1+E132)</f>
        <v>3640</v>
      </c>
      <c r="F131" s="118">
        <f t="shared" si="46"/>
        <v>4659.2</v>
      </c>
      <c r="G131" s="118">
        <f t="shared" si="46"/>
        <v>5824</v>
      </c>
      <c r="H131" s="118">
        <f t="shared" si="46"/>
        <v>7105.28</v>
      </c>
      <c r="I131" s="118">
        <f t="shared" si="46"/>
        <v>8526.3359999999993</v>
      </c>
      <c r="J131" s="118">
        <f t="shared" si="46"/>
        <v>10061.076479999998</v>
      </c>
      <c r="K131" s="118">
        <f t="shared" si="46"/>
        <v>11670.848716799997</v>
      </c>
      <c r="L131" s="118">
        <f t="shared" si="46"/>
        <v>13304.767537151998</v>
      </c>
      <c r="M131" s="118">
        <f t="shared" si="46"/>
        <v>14901.339641610239</v>
      </c>
      <c r="N131" s="118">
        <f t="shared" si="46"/>
        <v>16540.487002187365</v>
      </c>
      <c r="O131" s="118">
        <f t="shared" si="46"/>
        <v>18194.535702406101</v>
      </c>
      <c r="P131" s="118">
        <f t="shared" si="46"/>
        <v>19832.043915622653</v>
      </c>
      <c r="Q131" s="118">
        <f t="shared" si="46"/>
        <v>21418.607428872467</v>
      </c>
      <c r="R131" s="118">
        <f t="shared" si="46"/>
        <v>22917.909948893539</v>
      </c>
      <c r="S131" s="118">
        <f t="shared" si="46"/>
        <v>24292.984545827152</v>
      </c>
      <c r="T131" s="118">
        <f t="shared" si="46"/>
        <v>25507.633773118512</v>
      </c>
      <c r="U131" s="118">
        <f t="shared" si="46"/>
        <v>26783.015461774437</v>
      </c>
      <c r="V131" s="118">
        <f t="shared" si="46"/>
        <v>27854.336080245415</v>
      </c>
      <c r="W131" s="118">
        <f t="shared" si="46"/>
        <v>28968.509523455232</v>
      </c>
      <c r="X131" s="118">
        <f t="shared" si="46"/>
        <v>29837.564809158888</v>
      </c>
    </row>
    <row r="132" spans="1:24" x14ac:dyDescent="0.3">
      <c r="A132" t="s">
        <v>273</v>
      </c>
      <c r="C132" s="54"/>
      <c r="D132" s="54"/>
      <c r="E132" s="55">
        <v>0.3</v>
      </c>
      <c r="F132" s="55">
        <v>0.28000000000000003</v>
      </c>
      <c r="G132" s="55">
        <v>0.25</v>
      </c>
      <c r="H132" s="55">
        <v>0.22</v>
      </c>
      <c r="I132" s="55">
        <v>0.2</v>
      </c>
      <c r="J132" s="55">
        <v>0.18</v>
      </c>
      <c r="K132" s="55">
        <v>0.16</v>
      </c>
      <c r="L132" s="55">
        <v>0.14000000000000001</v>
      </c>
      <c r="M132" s="55">
        <v>0.12</v>
      </c>
      <c r="N132" s="55">
        <v>0.11</v>
      </c>
      <c r="O132" s="55">
        <v>0.1</v>
      </c>
      <c r="P132" s="55">
        <v>0.09</v>
      </c>
      <c r="Q132" s="55">
        <v>0.08</v>
      </c>
      <c r="R132" s="55">
        <v>7.0000000000000007E-2</v>
      </c>
      <c r="S132" s="55">
        <v>0.06</v>
      </c>
      <c r="T132" s="55">
        <v>0.05</v>
      </c>
      <c r="U132" s="55">
        <v>0.05</v>
      </c>
      <c r="V132" s="55">
        <v>0.04</v>
      </c>
      <c r="W132" s="55">
        <v>0.04</v>
      </c>
      <c r="X132" s="55">
        <v>0.03</v>
      </c>
    </row>
    <row r="133" spans="1:24" x14ac:dyDescent="0.3">
      <c r="A133" s="1" t="s">
        <v>274</v>
      </c>
      <c r="B133" s="1"/>
      <c r="C133" s="66"/>
      <c r="D133" s="120">
        <f t="shared" ref="D133:X133" si="47">D130+D131</f>
        <v>3032.5</v>
      </c>
      <c r="E133" s="120">
        <f t="shared" si="47"/>
        <v>4071.52</v>
      </c>
      <c r="F133" s="120">
        <f t="shared" si="47"/>
        <v>5347.36</v>
      </c>
      <c r="G133" s="120">
        <f t="shared" si="47"/>
        <v>6908.05</v>
      </c>
      <c r="H133" s="120">
        <f t="shared" si="47"/>
        <v>8694.4399999999987</v>
      </c>
      <c r="I133" s="120">
        <f t="shared" si="47"/>
        <v>10844.735999999999</v>
      </c>
      <c r="J133" s="120">
        <f t="shared" si="47"/>
        <v>13297.476479999998</v>
      </c>
      <c r="K133" s="120">
        <f t="shared" si="47"/>
        <v>15977.696716799997</v>
      </c>
      <c r="L133" s="120">
        <f t="shared" si="47"/>
        <v>19084.167537152</v>
      </c>
      <c r="M133" s="120">
        <f t="shared" si="47"/>
        <v>22272.879641610241</v>
      </c>
      <c r="N133" s="120">
        <f t="shared" si="47"/>
        <v>25878.987002187365</v>
      </c>
      <c r="O133" s="120">
        <f t="shared" si="47"/>
        <v>29852.775702406099</v>
      </c>
      <c r="P133" s="120">
        <f t="shared" si="47"/>
        <v>34254.003915622656</v>
      </c>
      <c r="Q133" s="120">
        <f t="shared" si="47"/>
        <v>38867.311428872461</v>
      </c>
      <c r="R133" s="120">
        <f t="shared" si="47"/>
        <v>43935.213948893543</v>
      </c>
      <c r="S133" s="120">
        <f t="shared" si="47"/>
        <v>49171.384545827153</v>
      </c>
      <c r="T133" s="120">
        <f t="shared" si="47"/>
        <v>54604.433773118508</v>
      </c>
      <c r="U133" s="120">
        <f t="shared" si="47"/>
        <v>60329.415461774435</v>
      </c>
      <c r="V133" s="120">
        <f t="shared" si="47"/>
        <v>66495.536080245409</v>
      </c>
      <c r="W133" s="120">
        <f t="shared" si="47"/>
        <v>72892.509523455228</v>
      </c>
      <c r="X133" s="120">
        <f t="shared" si="47"/>
        <v>79757.564809158881</v>
      </c>
    </row>
    <row r="134" spans="1:24" x14ac:dyDescent="0.3">
      <c r="A134" t="s">
        <v>284</v>
      </c>
      <c r="C134" s="54"/>
      <c r="D134" s="118">
        <f t="shared" ref="D134:X134" si="48">D49</f>
        <v>3201</v>
      </c>
      <c r="E134" s="118">
        <f t="shared" si="48"/>
        <v>4097.28</v>
      </c>
      <c r="F134" s="118">
        <f t="shared" si="48"/>
        <v>5654.2463999999991</v>
      </c>
      <c r="G134" s="118">
        <f t="shared" si="48"/>
        <v>8198.6572799999976</v>
      </c>
      <c r="H134" s="118">
        <f t="shared" si="48"/>
        <v>12134.012774399996</v>
      </c>
      <c r="I134" s="118">
        <f t="shared" si="48"/>
        <v>17594.318522879996</v>
      </c>
      <c r="J134" s="118">
        <f t="shared" si="48"/>
        <v>24280.159561574394</v>
      </c>
      <c r="K134" s="118">
        <f t="shared" si="48"/>
        <v>32049.8106212782</v>
      </c>
      <c r="L134" s="118">
        <f t="shared" si="48"/>
        <v>40703.259489023316</v>
      </c>
      <c r="M134" s="118">
        <f t="shared" si="48"/>
        <v>49657.976576608446</v>
      </c>
      <c r="N134" s="118">
        <f t="shared" si="48"/>
        <v>58596.412360397961</v>
      </c>
      <c r="O134" s="118">
        <f t="shared" si="48"/>
        <v>67971.838338061629</v>
      </c>
      <c r="P134" s="118">
        <f t="shared" si="48"/>
        <v>78167.614088770861</v>
      </c>
      <c r="Q134" s="118">
        <f t="shared" si="48"/>
        <v>88329.403920311059</v>
      </c>
      <c r="R134" s="118">
        <f t="shared" si="48"/>
        <v>98928.932390748392</v>
      </c>
      <c r="S134" s="118">
        <f t="shared" si="48"/>
        <v>108821.82562982324</v>
      </c>
      <c r="T134" s="118">
        <f t="shared" si="48"/>
        <v>118615.78993650734</v>
      </c>
      <c r="U134" s="118">
        <f t="shared" si="48"/>
        <v>128105.05313142794</v>
      </c>
      <c r="V134" s="118">
        <f t="shared" si="48"/>
        <v>137072.40685062789</v>
      </c>
      <c r="W134" s="118">
        <f t="shared" si="48"/>
        <v>145296.75126166557</v>
      </c>
      <c r="X134" s="118">
        <f t="shared" si="48"/>
        <v>152561.58882474885</v>
      </c>
    </row>
    <row r="135" spans="1:24" x14ac:dyDescent="0.3">
      <c r="A135" s="2" t="s">
        <v>276</v>
      </c>
      <c r="C135" s="54"/>
      <c r="D135" s="64">
        <f t="shared" ref="D135:X135" si="49">IF(D134=0,0,D133/D134-1)</f>
        <v>-5.263980006248048E-2</v>
      </c>
      <c r="E135" s="64">
        <f t="shared" si="49"/>
        <v>-6.2870977819431406E-3</v>
      </c>
      <c r="F135" s="64">
        <f t="shared" si="49"/>
        <v>-5.4275384956693706E-2</v>
      </c>
      <c r="G135" s="64">
        <f t="shared" si="49"/>
        <v>-0.15741690815011089</v>
      </c>
      <c r="H135" s="64">
        <f t="shared" si="49"/>
        <v>-0.28346539915111291</v>
      </c>
      <c r="I135" s="64">
        <f t="shared" si="49"/>
        <v>-0.38362284473267361</v>
      </c>
      <c r="J135" s="64">
        <f t="shared" si="49"/>
        <v>-0.45233158594869827</v>
      </c>
      <c r="K135" s="64">
        <f t="shared" si="49"/>
        <v>-0.50147297575005823</v>
      </c>
      <c r="L135" s="64">
        <f t="shared" si="49"/>
        <v>-0.53113908378029184</v>
      </c>
      <c r="M135" s="64">
        <f t="shared" si="49"/>
        <v>-0.5514742811308595</v>
      </c>
      <c r="N135" s="64">
        <f t="shared" si="49"/>
        <v>-0.55835202259451766</v>
      </c>
      <c r="O135" s="64">
        <f t="shared" si="49"/>
        <v>-0.56080670418340461</v>
      </c>
      <c r="P135" s="64">
        <f t="shared" si="49"/>
        <v>-0.56178777726639861</v>
      </c>
      <c r="Q135" s="64">
        <f t="shared" si="49"/>
        <v>-0.55997312668454402</v>
      </c>
      <c r="R135" s="64">
        <f t="shared" si="49"/>
        <v>-0.55589115451727789</v>
      </c>
      <c r="S135" s="64">
        <f t="shared" si="49"/>
        <v>-0.54814777034625073</v>
      </c>
      <c r="T135" s="64">
        <f t="shared" si="49"/>
        <v>-0.53965290959705137</v>
      </c>
      <c r="U135" s="64">
        <f t="shared" si="49"/>
        <v>-0.52906295273239423</v>
      </c>
      <c r="V135" s="64">
        <f t="shared" si="49"/>
        <v>-0.51488751377432451</v>
      </c>
      <c r="W135" s="64">
        <f t="shared" si="49"/>
        <v>-0.49831975670135409</v>
      </c>
      <c r="X135" s="64">
        <f t="shared" si="49"/>
        <v>-0.47721070930391063</v>
      </c>
    </row>
  </sheetData>
  <mergeCells count="1">
    <mergeCell ref="A124:X12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4048-55C8-4F9B-9862-DDB5F2E55683}">
  <sheetPr>
    <tabColor rgb="FFFFFFFF"/>
  </sheetPr>
  <dimension ref="A1:F51"/>
  <sheetViews>
    <sheetView showGridLines="0" zoomScaleNormal="100"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1" width="42.5546875" customWidth="1"/>
    <col min="2" max="5" width="11.109375" customWidth="1"/>
    <col min="6" max="6" width="53.21875" customWidth="1"/>
    <col min="7" max="7" width="17.5546875" customWidth="1"/>
    <col min="8" max="14" width="15.77734375" customWidth="1"/>
  </cols>
  <sheetData>
    <row r="1" spans="1:6" ht="30" customHeight="1" x14ac:dyDescent="0.3">
      <c r="A1" s="324" t="s">
        <v>769</v>
      </c>
    </row>
    <row r="2" spans="1:6" x14ac:dyDescent="0.3">
      <c r="A2" s="3" t="s">
        <v>4</v>
      </c>
    </row>
    <row r="3" spans="1:6" ht="15" thickBot="1" x14ac:dyDescent="0.35"/>
    <row r="4" spans="1:6" ht="15" thickTop="1" x14ac:dyDescent="0.3">
      <c r="A4" s="9" t="s">
        <v>5</v>
      </c>
      <c r="B4" s="8"/>
      <c r="C4" s="8"/>
      <c r="D4" s="8"/>
      <c r="E4" s="8"/>
      <c r="F4" s="13"/>
    </row>
    <row r="5" spans="1:6" x14ac:dyDescent="0.3">
      <c r="A5" s="10" t="s">
        <v>6</v>
      </c>
      <c r="B5" s="52" t="s">
        <v>7</v>
      </c>
      <c r="C5" s="52"/>
      <c r="D5" s="52"/>
      <c r="E5" s="52"/>
      <c r="F5" s="77" t="s">
        <v>8</v>
      </c>
    </row>
    <row r="6" spans="1:6" x14ac:dyDescent="0.3">
      <c r="A6" s="11" t="s">
        <v>9</v>
      </c>
      <c r="B6" s="53">
        <v>4.3499999999999997E-2</v>
      </c>
      <c r="C6" s="54"/>
      <c r="D6" s="67"/>
      <c r="E6" s="67"/>
      <c r="F6" s="75" t="s">
        <v>10</v>
      </c>
    </row>
    <row r="7" spans="1:6" x14ac:dyDescent="0.3">
      <c r="A7" s="11" t="s">
        <v>11</v>
      </c>
      <c r="B7" s="55">
        <v>5.5E-2</v>
      </c>
      <c r="C7" s="54"/>
      <c r="D7" s="67"/>
      <c r="E7" s="67"/>
      <c r="F7" s="75" t="s">
        <v>12</v>
      </c>
    </row>
    <row r="8" spans="1:6" x14ac:dyDescent="0.3">
      <c r="A8" s="11" t="s">
        <v>13</v>
      </c>
      <c r="B8" s="55">
        <v>0.21</v>
      </c>
      <c r="C8" s="54"/>
      <c r="D8" s="67"/>
      <c r="E8" s="67"/>
      <c r="F8" s="75" t="s">
        <v>14</v>
      </c>
    </row>
    <row r="9" spans="1:6" ht="15" thickBot="1" x14ac:dyDescent="0.35">
      <c r="A9" s="12" t="s">
        <v>786</v>
      </c>
      <c r="B9" s="56">
        <v>2.5000000000000001E-2</v>
      </c>
      <c r="C9" s="57"/>
      <c r="D9" s="68"/>
      <c r="E9" s="68"/>
      <c r="F9" s="334" t="s">
        <v>789</v>
      </c>
    </row>
    <row r="10" spans="1:6" ht="15.6" thickTop="1" thickBot="1" x14ac:dyDescent="0.35">
      <c r="A10" s="330"/>
      <c r="B10" s="331"/>
      <c r="C10" s="54"/>
      <c r="D10" s="54"/>
      <c r="E10" s="54"/>
    </row>
    <row r="11" spans="1:6" ht="15" thickTop="1" x14ac:dyDescent="0.3">
      <c r="A11" s="9" t="s">
        <v>15</v>
      </c>
      <c r="B11" s="58"/>
      <c r="C11" s="58"/>
      <c r="D11" s="58"/>
      <c r="E11" s="58"/>
      <c r="F11" s="13"/>
    </row>
    <row r="12" spans="1:6" x14ac:dyDescent="0.3">
      <c r="A12" s="10" t="s">
        <v>2</v>
      </c>
      <c r="B12" s="59" t="s">
        <v>16</v>
      </c>
      <c r="C12" s="59" t="s">
        <v>17</v>
      </c>
      <c r="D12" s="60" t="s">
        <v>13</v>
      </c>
      <c r="E12" s="59" t="s">
        <v>18</v>
      </c>
      <c r="F12" s="73" t="s">
        <v>19</v>
      </c>
    </row>
    <row r="13" spans="1:6" x14ac:dyDescent="0.3">
      <c r="A13" s="11" t="s">
        <v>20</v>
      </c>
      <c r="B13" s="61">
        <v>0.82</v>
      </c>
      <c r="C13" s="61">
        <v>0.35</v>
      </c>
      <c r="D13" s="55">
        <v>0.21</v>
      </c>
      <c r="E13" s="69">
        <f t="shared" ref="E13:E19" si="0">B13/(1+(1-D13)*C13)</f>
        <v>0.64238151194672932</v>
      </c>
      <c r="F13" s="75" t="s">
        <v>21</v>
      </c>
    </row>
    <row r="14" spans="1:6" x14ac:dyDescent="0.3">
      <c r="A14" s="11" t="s">
        <v>22</v>
      </c>
      <c r="B14" s="61">
        <v>1.1499999999999999</v>
      </c>
      <c r="C14" s="61">
        <v>0.88</v>
      </c>
      <c r="D14" s="55">
        <v>0.21</v>
      </c>
      <c r="E14" s="69">
        <f t="shared" si="0"/>
        <v>0.67838603114676732</v>
      </c>
      <c r="F14" s="75" t="s">
        <v>21</v>
      </c>
    </row>
    <row r="15" spans="1:6" x14ac:dyDescent="0.3">
      <c r="A15" s="11" t="s">
        <v>23</v>
      </c>
      <c r="B15" s="61">
        <v>1.25</v>
      </c>
      <c r="C15" s="61">
        <v>0.75</v>
      </c>
      <c r="D15" s="55">
        <v>0.21</v>
      </c>
      <c r="E15" s="69">
        <f t="shared" si="0"/>
        <v>0.78492935635792782</v>
      </c>
      <c r="F15" s="75" t="s">
        <v>24</v>
      </c>
    </row>
    <row r="16" spans="1:6" x14ac:dyDescent="0.3">
      <c r="A16" s="11" t="s">
        <v>25</v>
      </c>
      <c r="B16" s="61">
        <v>1.42</v>
      </c>
      <c r="C16" s="61">
        <v>0.18</v>
      </c>
      <c r="D16" s="55">
        <v>0.21</v>
      </c>
      <c r="E16" s="69">
        <f t="shared" si="0"/>
        <v>1.2432148485379093</v>
      </c>
      <c r="F16" s="75" t="s">
        <v>26</v>
      </c>
    </row>
    <row r="17" spans="1:6" x14ac:dyDescent="0.3">
      <c r="A17" s="11" t="s">
        <v>27</v>
      </c>
      <c r="B17" s="61">
        <v>1.28</v>
      </c>
      <c r="C17" s="61">
        <v>0.02</v>
      </c>
      <c r="D17" s="55">
        <v>0.21</v>
      </c>
      <c r="E17" s="69">
        <f t="shared" si="0"/>
        <v>1.2600905690096476</v>
      </c>
      <c r="F17" s="75" t="s">
        <v>28</v>
      </c>
    </row>
    <row r="18" spans="1:6" x14ac:dyDescent="0.3">
      <c r="A18" s="11" t="s">
        <v>29</v>
      </c>
      <c r="B18" s="61">
        <v>1.05</v>
      </c>
      <c r="C18" s="61">
        <v>0</v>
      </c>
      <c r="D18" s="55">
        <v>0.21</v>
      </c>
      <c r="E18" s="69">
        <f t="shared" si="0"/>
        <v>1.05</v>
      </c>
      <c r="F18" s="75" t="s">
        <v>30</v>
      </c>
    </row>
    <row r="19" spans="1:6" ht="15" thickBot="1" x14ac:dyDescent="0.35">
      <c r="A19" s="12" t="s">
        <v>31</v>
      </c>
      <c r="B19" s="62">
        <v>1.65</v>
      </c>
      <c r="C19" s="62">
        <v>1.2</v>
      </c>
      <c r="D19" s="56">
        <v>0.21</v>
      </c>
      <c r="E19" s="72">
        <f t="shared" si="0"/>
        <v>0.84702258726899382</v>
      </c>
      <c r="F19" s="76" t="s">
        <v>32</v>
      </c>
    </row>
    <row r="20" spans="1:6" ht="15.6" thickTop="1" thickBot="1" x14ac:dyDescent="0.35">
      <c r="B20" s="63"/>
      <c r="C20" s="63"/>
      <c r="D20" s="64"/>
      <c r="E20" s="63"/>
    </row>
    <row r="21" spans="1:6" ht="15" thickTop="1" x14ac:dyDescent="0.3">
      <c r="A21" s="15" t="s">
        <v>564</v>
      </c>
      <c r="B21" s="65"/>
      <c r="C21" s="65"/>
      <c r="D21" s="65"/>
      <c r="E21" s="65"/>
      <c r="F21" s="17"/>
    </row>
    <row r="22" spans="1:6" x14ac:dyDescent="0.3">
      <c r="A22" s="16" t="s">
        <v>19</v>
      </c>
      <c r="B22" s="74" t="s">
        <v>33</v>
      </c>
      <c r="C22" s="66"/>
      <c r="D22" s="66"/>
      <c r="E22" s="66"/>
      <c r="F22" s="78" t="s">
        <v>34</v>
      </c>
    </row>
    <row r="23" spans="1:6" x14ac:dyDescent="0.3">
      <c r="A23" s="11" t="s">
        <v>35</v>
      </c>
      <c r="B23" s="249">
        <f>IF(N('Conn Comps'!X57)&gt;0,'Conn Comps'!X57,0.85)</f>
        <v>0.20833333333333331</v>
      </c>
      <c r="C23" s="67"/>
      <c r="D23" s="67"/>
      <c r="E23" s="67"/>
      <c r="F23" s="75" t="s">
        <v>561</v>
      </c>
    </row>
    <row r="24" spans="1:6" x14ac:dyDescent="0.3">
      <c r="A24" s="11" t="s">
        <v>36</v>
      </c>
      <c r="B24" s="249">
        <f>IF(N('Space Comps'!X37)&gt;0,'Space Comps'!X37,1.1)</f>
        <v>0.26644721773217195</v>
      </c>
      <c r="C24" s="67"/>
      <c r="D24" s="67"/>
      <c r="E24" s="67"/>
      <c r="F24" s="75" t="s">
        <v>562</v>
      </c>
    </row>
    <row r="25" spans="1:6" ht="15" thickBot="1" x14ac:dyDescent="0.35">
      <c r="A25" s="12" t="s">
        <v>37</v>
      </c>
      <c r="B25" s="250">
        <f>IF(N('AI Comps'!X47)&gt;0,'AI Comps'!X47,1.35)</f>
        <v>0.9038447507334364</v>
      </c>
      <c r="C25" s="68"/>
      <c r="D25" s="68"/>
      <c r="E25" s="68"/>
      <c r="F25" s="76" t="s">
        <v>563</v>
      </c>
    </row>
    <row r="26" spans="1:6" ht="15.6" thickTop="1" thickBot="1" x14ac:dyDescent="0.35">
      <c r="B26" s="54"/>
      <c r="C26" s="54"/>
      <c r="D26" s="54"/>
      <c r="E26" s="54"/>
    </row>
    <row r="27" spans="1:6" ht="15" thickTop="1" x14ac:dyDescent="0.3">
      <c r="A27" s="9" t="s">
        <v>38</v>
      </c>
      <c r="B27" s="58"/>
      <c r="C27" s="58"/>
      <c r="D27" s="58"/>
      <c r="E27" s="58"/>
      <c r="F27" s="13"/>
    </row>
    <row r="28" spans="1:6" x14ac:dyDescent="0.3">
      <c r="A28" s="10"/>
      <c r="B28" s="52" t="s">
        <v>39</v>
      </c>
      <c r="C28" s="52" t="s">
        <v>24</v>
      </c>
      <c r="D28" s="52" t="s">
        <v>40</v>
      </c>
      <c r="E28" s="52"/>
      <c r="F28" s="77" t="s">
        <v>41</v>
      </c>
    </row>
    <row r="29" spans="1:6" x14ac:dyDescent="0.3">
      <c r="A29" s="11" t="s">
        <v>42</v>
      </c>
      <c r="B29" s="61">
        <v>0.3</v>
      </c>
      <c r="C29" s="61">
        <v>0.45</v>
      </c>
      <c r="D29" s="61">
        <v>0.25</v>
      </c>
      <c r="E29" s="67"/>
      <c r="F29" s="75" t="s">
        <v>43</v>
      </c>
    </row>
    <row r="30" spans="1:6" x14ac:dyDescent="0.3">
      <c r="A30" s="11" t="s">
        <v>44</v>
      </c>
      <c r="B30" s="69">
        <f>B23*(1+(1-$B$8)*B29)</f>
        <v>0.25770833333333332</v>
      </c>
      <c r="C30" s="69">
        <f>B24*(1+(1-$B$8)*C29)</f>
        <v>0.36116920363595911</v>
      </c>
      <c r="D30" s="69">
        <f>B25*(1+(1-$B$8)*D29)</f>
        <v>1.0823540890032901</v>
      </c>
      <c r="E30" s="67"/>
      <c r="F30" s="75" t="s">
        <v>45</v>
      </c>
    </row>
    <row r="31" spans="1:6" ht="15" thickBot="1" x14ac:dyDescent="0.35">
      <c r="A31" s="12" t="s">
        <v>46</v>
      </c>
      <c r="B31" s="70">
        <f>$B$6+B30*$B$7+$B$9</f>
        <v>8.2673958333333325E-2</v>
      </c>
      <c r="C31" s="70">
        <f>$B$6+C30*$B$7+$B$9</f>
        <v>8.836430619997776E-2</v>
      </c>
      <c r="D31" s="70">
        <f>$B$6+D30*$B$7+$B$9</f>
        <v>0.12802947489518096</v>
      </c>
      <c r="E31" s="68"/>
      <c r="F31" s="76" t="s">
        <v>787</v>
      </c>
    </row>
    <row r="32" spans="1:6" ht="15.6" thickTop="1" thickBot="1" x14ac:dyDescent="0.35">
      <c r="B32" s="54"/>
      <c r="C32" s="54"/>
      <c r="D32" s="54"/>
      <c r="E32" s="54"/>
    </row>
    <row r="33" spans="1:6" ht="15" thickTop="1" x14ac:dyDescent="0.3">
      <c r="A33" s="9" t="s">
        <v>47</v>
      </c>
      <c r="B33" s="58"/>
      <c r="C33" s="58"/>
      <c r="D33" s="58"/>
      <c r="E33" s="58"/>
      <c r="F33" s="13"/>
    </row>
    <row r="34" spans="1:6" x14ac:dyDescent="0.3">
      <c r="A34" s="10"/>
      <c r="B34" s="52" t="s">
        <v>39</v>
      </c>
      <c r="C34" s="52" t="s">
        <v>24</v>
      </c>
      <c r="D34" s="52" t="s">
        <v>40</v>
      </c>
      <c r="E34" s="52"/>
      <c r="F34" s="77" t="s">
        <v>8</v>
      </c>
    </row>
    <row r="35" spans="1:6" x14ac:dyDescent="0.3">
      <c r="A35" s="11" t="s">
        <v>48</v>
      </c>
      <c r="B35" s="53">
        <v>6.5000000000000002E-2</v>
      </c>
      <c r="C35" s="53">
        <v>7.4999999999999997E-2</v>
      </c>
      <c r="D35" s="53">
        <v>8.5000000000000006E-2</v>
      </c>
      <c r="E35" s="67"/>
      <c r="F35" s="75" t="s">
        <v>49</v>
      </c>
    </row>
    <row r="36" spans="1:6" ht="15" thickBot="1" x14ac:dyDescent="0.35">
      <c r="A36" s="12" t="s">
        <v>50</v>
      </c>
      <c r="B36" s="70">
        <f>B35*(1-$B$8)</f>
        <v>5.1350000000000007E-2</v>
      </c>
      <c r="C36" s="70">
        <f>C35*(1-$B$8)</f>
        <v>5.9249999999999997E-2</v>
      </c>
      <c r="D36" s="70">
        <f>D35*(1-$B$8)</f>
        <v>6.7150000000000001E-2</v>
      </c>
      <c r="E36" s="68"/>
      <c r="F36" s="76" t="s">
        <v>51</v>
      </c>
    </row>
    <row r="37" spans="1:6" ht="15" thickTop="1" x14ac:dyDescent="0.3">
      <c r="B37" s="54"/>
      <c r="C37" s="54"/>
      <c r="D37" s="54"/>
      <c r="E37" s="54"/>
    </row>
    <row r="38" spans="1:6" ht="15" thickBot="1" x14ac:dyDescent="0.35">
      <c r="B38" s="54"/>
      <c r="C38" s="54"/>
      <c r="D38" s="54"/>
      <c r="E38" s="54"/>
    </row>
    <row r="39" spans="1:6" ht="15" thickTop="1" x14ac:dyDescent="0.3">
      <c r="A39" s="9" t="s">
        <v>52</v>
      </c>
      <c r="B39" s="58"/>
      <c r="C39" s="58"/>
      <c r="D39" s="58"/>
      <c r="E39" s="58"/>
      <c r="F39" s="13"/>
    </row>
    <row r="40" spans="1:6" x14ac:dyDescent="0.3">
      <c r="A40" s="10"/>
      <c r="B40" s="60" t="s">
        <v>39</v>
      </c>
      <c r="C40" s="60" t="s">
        <v>24</v>
      </c>
      <c r="D40" s="60" t="s">
        <v>40</v>
      </c>
      <c r="E40" s="52"/>
      <c r="F40" s="14"/>
    </row>
    <row r="41" spans="1:6" x14ac:dyDescent="0.3">
      <c r="A41" s="11" t="s">
        <v>53</v>
      </c>
      <c r="B41" s="64">
        <f>1/(1+B29)</f>
        <v>0.76923076923076916</v>
      </c>
      <c r="C41" s="64">
        <f>1/(1+C29)</f>
        <v>0.68965517241379315</v>
      </c>
      <c r="D41" s="64">
        <f>1/(1+D29)</f>
        <v>0.8</v>
      </c>
      <c r="E41" s="121"/>
      <c r="F41" s="75" t="s">
        <v>54</v>
      </c>
    </row>
    <row r="42" spans="1:6" x14ac:dyDescent="0.3">
      <c r="A42" s="11" t="s">
        <v>55</v>
      </c>
      <c r="B42" s="64">
        <f>B29/(1+B29)</f>
        <v>0.23076923076923075</v>
      </c>
      <c r="C42" s="64">
        <f>C29/(1+C29)</f>
        <v>0.31034482758620691</v>
      </c>
      <c r="D42" s="64">
        <f>D29/(1+D29)</f>
        <v>0.2</v>
      </c>
      <c r="E42" s="121"/>
      <c r="F42" s="75" t="s">
        <v>56</v>
      </c>
    </row>
    <row r="43" spans="1:6" ht="15" thickBot="1" x14ac:dyDescent="0.35">
      <c r="A43" s="18" t="s">
        <v>57</v>
      </c>
      <c r="B43" s="122">
        <f>B31*B41+B36*B42</f>
        <v>7.544535256410255E-2</v>
      </c>
      <c r="C43" s="122">
        <f>C31*C41+C36*C42</f>
        <v>7.9328831862053625E-2</v>
      </c>
      <c r="D43" s="122">
        <f>D31*D41+D36*D42</f>
        <v>0.11585357991614477</v>
      </c>
      <c r="E43" s="123"/>
      <c r="F43" s="79" t="s">
        <v>58</v>
      </c>
    </row>
    <row r="44" spans="1:6" ht="15.6" thickTop="1" thickBot="1" x14ac:dyDescent="0.35">
      <c r="B44" s="54"/>
      <c r="C44" s="54"/>
      <c r="D44" s="54"/>
      <c r="E44" s="54"/>
    </row>
    <row r="45" spans="1:6" ht="15" thickTop="1" x14ac:dyDescent="0.3">
      <c r="A45" s="9" t="s">
        <v>59</v>
      </c>
      <c r="B45" s="58"/>
      <c r="C45" s="58"/>
      <c r="D45" s="58"/>
      <c r="E45" s="58"/>
      <c r="F45" s="13"/>
    </row>
    <row r="46" spans="1:6" x14ac:dyDescent="0.3">
      <c r="A46" s="10" t="s">
        <v>19</v>
      </c>
      <c r="B46" s="52" t="s">
        <v>57</v>
      </c>
      <c r="C46" s="52" t="s">
        <v>575</v>
      </c>
      <c r="D46" s="52" t="s">
        <v>576</v>
      </c>
      <c r="E46" s="52" t="s">
        <v>577</v>
      </c>
      <c r="F46" s="14"/>
    </row>
    <row r="47" spans="1:6" x14ac:dyDescent="0.3">
      <c r="A47" s="11" t="s">
        <v>39</v>
      </c>
      <c r="B47" s="87">
        <f>B43</f>
        <v>7.544535256410255E-2</v>
      </c>
      <c r="C47" s="53">
        <v>0.03</v>
      </c>
      <c r="D47" s="53">
        <v>2.5000000000000001E-2</v>
      </c>
      <c r="E47" s="53">
        <v>3.5000000000000003E-2</v>
      </c>
      <c r="F47" s="36"/>
    </row>
    <row r="48" spans="1:6" x14ac:dyDescent="0.3">
      <c r="A48" s="11" t="s">
        <v>24</v>
      </c>
      <c r="B48" s="87">
        <f>C43</f>
        <v>7.9328831862053625E-2</v>
      </c>
      <c r="C48" s="53">
        <v>2.5000000000000001E-2</v>
      </c>
      <c r="D48" s="53">
        <v>0.02</v>
      </c>
      <c r="E48" s="53">
        <v>0.03</v>
      </c>
      <c r="F48" s="36"/>
    </row>
    <row r="49" spans="1:6" ht="15" thickBot="1" x14ac:dyDescent="0.35">
      <c r="A49" s="12" t="s">
        <v>40</v>
      </c>
      <c r="B49" s="124">
        <f>D43</f>
        <v>0.11585357991614477</v>
      </c>
      <c r="C49" s="125">
        <v>3.5000000000000003E-2</v>
      </c>
      <c r="D49" s="125">
        <v>2.5000000000000001E-2</v>
      </c>
      <c r="E49" s="125">
        <v>0.04</v>
      </c>
      <c r="F49" s="37"/>
    </row>
    <row r="50" spans="1:6" ht="15" thickTop="1" x14ac:dyDescent="0.3">
      <c r="B50" s="35"/>
      <c r="C50" s="33"/>
      <c r="D50" s="33"/>
      <c r="E50" s="33"/>
      <c r="F50" s="33"/>
    </row>
    <row r="51" spans="1:6" x14ac:dyDescent="0.3">
      <c r="B51" s="35"/>
      <c r="C51" s="33"/>
      <c r="D51" s="33"/>
      <c r="E51" s="33"/>
      <c r="F51" s="3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3739-0E4F-4FFA-91FD-F4A63F15D4F6}">
  <sheetPr>
    <tabColor rgb="FF7030A0"/>
  </sheetPr>
  <dimension ref="A1:F52"/>
  <sheetViews>
    <sheetView showGridLines="0" workbookViewId="0">
      <pane ySplit="2" topLeftCell="A3" activePane="bottomLeft" state="frozen"/>
      <selection pane="bottomLeft" activeCell="D14" sqref="D14"/>
    </sheetView>
  </sheetViews>
  <sheetFormatPr defaultRowHeight="14.4" x14ac:dyDescent="0.3"/>
  <cols>
    <col min="1" max="1" width="42.5546875" customWidth="1"/>
    <col min="2" max="6" width="17.5546875" customWidth="1"/>
  </cols>
  <sheetData>
    <row r="1" spans="1:6" ht="30" customHeight="1" x14ac:dyDescent="0.3">
      <c r="A1" s="324" t="s">
        <v>770</v>
      </c>
    </row>
    <row r="2" spans="1:6" x14ac:dyDescent="0.3">
      <c r="A2" s="46" t="s">
        <v>317</v>
      </c>
    </row>
    <row r="4" spans="1:6" x14ac:dyDescent="0.3">
      <c r="A4" s="350" t="s">
        <v>318</v>
      </c>
      <c r="B4" s="351"/>
      <c r="C4" s="351"/>
      <c r="D4" s="351"/>
      <c r="E4" s="351"/>
      <c r="F4" s="351"/>
    </row>
    <row r="5" spans="1:6" x14ac:dyDescent="0.3">
      <c r="A5" t="s">
        <v>319</v>
      </c>
      <c r="B5" s="48">
        <f>SOTP!D20</f>
        <v>576167.18807757646</v>
      </c>
    </row>
    <row r="6" spans="1:6" x14ac:dyDescent="0.3">
      <c r="A6" t="s">
        <v>320</v>
      </c>
      <c r="B6" s="48">
        <f>SOTP!D11</f>
        <v>574706.18807757646</v>
      </c>
    </row>
    <row r="7" spans="1:6" x14ac:dyDescent="0.3">
      <c r="A7" t="s">
        <v>321</v>
      </c>
      <c r="B7" s="49">
        <f>COVER!B5</f>
        <v>135</v>
      </c>
    </row>
    <row r="8" spans="1:6" x14ac:dyDescent="0.3">
      <c r="A8" t="s">
        <v>322</v>
      </c>
      <c r="B8" s="152">
        <f>SOTP!B25</f>
        <v>12960</v>
      </c>
    </row>
    <row r="9" spans="1:6" x14ac:dyDescent="0.3">
      <c r="A9" t="s">
        <v>323</v>
      </c>
      <c r="B9" s="48">
        <f>B7*B8</f>
        <v>1749600</v>
      </c>
    </row>
    <row r="10" spans="1:6" x14ac:dyDescent="0.3">
      <c r="A10" t="s">
        <v>324</v>
      </c>
      <c r="B10" s="48">
        <f>SOTP!B16+SOTP!B17</f>
        <v>1461</v>
      </c>
    </row>
    <row r="11" spans="1:6" x14ac:dyDescent="0.3">
      <c r="A11" t="s">
        <v>325</v>
      </c>
      <c r="B11" s="48">
        <f>B9-B10</f>
        <v>1748139</v>
      </c>
    </row>
    <row r="13" spans="1:6" x14ac:dyDescent="0.3">
      <c r="A13" s="350" t="s">
        <v>326</v>
      </c>
      <c r="B13" s="351"/>
      <c r="C13" s="351"/>
      <c r="D13" s="351"/>
      <c r="E13" s="351"/>
      <c r="F13" s="351"/>
    </row>
    <row r="14" spans="1:6" x14ac:dyDescent="0.3">
      <c r="A14" t="s">
        <v>1</v>
      </c>
      <c r="B14" s="173">
        <f>Actuals!D6</f>
        <v>18674</v>
      </c>
    </row>
    <row r="15" spans="1:6" x14ac:dyDescent="0.3">
      <c r="A15" t="s">
        <v>327</v>
      </c>
      <c r="B15" s="173">
        <f>Actuals!D7</f>
        <v>11387</v>
      </c>
    </row>
    <row r="16" spans="1:6" x14ac:dyDescent="0.3">
      <c r="A16" t="s">
        <v>328</v>
      </c>
      <c r="B16" s="173">
        <f>Actuals!D8</f>
        <v>4086</v>
      </c>
    </row>
    <row r="17" spans="1:6" x14ac:dyDescent="0.3">
      <c r="A17" t="s">
        <v>329</v>
      </c>
      <c r="B17" s="173">
        <f>Actuals!D9</f>
        <v>3201</v>
      </c>
    </row>
    <row r="18" spans="1:6" x14ac:dyDescent="0.3">
      <c r="A18" t="s">
        <v>330</v>
      </c>
      <c r="B18" s="153">
        <v>6600</v>
      </c>
    </row>
    <row r="19" spans="1:6" x14ac:dyDescent="0.3">
      <c r="A19" t="s">
        <v>331</v>
      </c>
      <c r="B19" s="173">
        <f>Actuals!D10</f>
        <v>7168</v>
      </c>
    </row>
    <row r="20" spans="1:6" x14ac:dyDescent="0.3">
      <c r="A20" t="s">
        <v>186</v>
      </c>
      <c r="B20" s="173">
        <f>Actuals!D15</f>
        <v>-4937</v>
      </c>
    </row>
    <row r="22" spans="1:6" x14ac:dyDescent="0.3">
      <c r="A22" s="350" t="s">
        <v>332</v>
      </c>
      <c r="B22" s="351"/>
      <c r="C22" s="351"/>
      <c r="D22" s="351"/>
      <c r="E22" s="351"/>
      <c r="F22" s="351"/>
    </row>
    <row r="23" spans="1:6" x14ac:dyDescent="0.3">
      <c r="A23" s="6" t="s">
        <v>3</v>
      </c>
      <c r="B23" s="52" t="s">
        <v>333</v>
      </c>
      <c r="C23" s="52" t="s">
        <v>334</v>
      </c>
      <c r="D23" s="52"/>
      <c r="E23" s="80" t="s">
        <v>335</v>
      </c>
      <c r="F23" s="6"/>
    </row>
    <row r="24" spans="1:6" x14ac:dyDescent="0.3">
      <c r="A24" t="s">
        <v>336</v>
      </c>
      <c r="B24" s="163">
        <f>B6/B14</f>
        <v>30.775741034463771</v>
      </c>
      <c r="C24" s="163">
        <f>B11/B14</f>
        <v>93.613526828745847</v>
      </c>
      <c r="D24" s="164"/>
      <c r="E24" s="165" t="s">
        <v>337</v>
      </c>
    </row>
    <row r="25" spans="1:6" x14ac:dyDescent="0.3">
      <c r="A25" t="s">
        <v>338</v>
      </c>
      <c r="B25" s="163">
        <f>SOTP!D8/B15</f>
        <v>38.293334105574765</v>
      </c>
      <c r="C25" s="163">
        <f>B11/B15</f>
        <v>153.5205936594362</v>
      </c>
      <c r="D25" s="164"/>
      <c r="E25" s="165" t="s">
        <v>339</v>
      </c>
    </row>
    <row r="26" spans="1:6" x14ac:dyDescent="0.3">
      <c r="A26" t="s">
        <v>340</v>
      </c>
      <c r="B26" s="163">
        <f>SOTP!D8/B19</f>
        <v>60.832337536297409</v>
      </c>
      <c r="C26" s="163">
        <f>B11/B19</f>
        <v>243.88099888392858</v>
      </c>
      <c r="D26" s="164"/>
      <c r="E26" s="165" t="s">
        <v>341</v>
      </c>
    </row>
    <row r="27" spans="1:6" x14ac:dyDescent="0.3">
      <c r="A27" t="s">
        <v>342</v>
      </c>
      <c r="B27" s="163">
        <f>B6/B18</f>
        <v>87.076695163269164</v>
      </c>
      <c r="C27" s="163">
        <f>B11/B18</f>
        <v>264.86954545454546</v>
      </c>
      <c r="D27" s="164"/>
      <c r="E27" s="165" t="s">
        <v>343</v>
      </c>
    </row>
    <row r="28" spans="1:6" x14ac:dyDescent="0.3">
      <c r="A28" t="s">
        <v>344</v>
      </c>
      <c r="B28" s="54" t="s">
        <v>345</v>
      </c>
      <c r="C28" s="54" t="s">
        <v>345</v>
      </c>
      <c r="D28" s="164"/>
      <c r="E28" s="165" t="s">
        <v>346</v>
      </c>
    </row>
    <row r="29" spans="1:6" x14ac:dyDescent="0.3">
      <c r="A29" t="s">
        <v>347</v>
      </c>
      <c r="B29" s="163">
        <f>B5/B14</f>
        <v>30.853978155594756</v>
      </c>
      <c r="C29" s="163">
        <f>B9/B14</f>
        <v>93.69176394987683</v>
      </c>
      <c r="D29" s="164"/>
      <c r="E29" s="165" t="s">
        <v>89</v>
      </c>
    </row>
    <row r="31" spans="1:6" x14ac:dyDescent="0.3">
      <c r="A31" s="350" t="s">
        <v>348</v>
      </c>
      <c r="B31" s="351"/>
      <c r="C31" s="351"/>
      <c r="D31" s="351"/>
      <c r="E31" s="351"/>
      <c r="F31" s="351"/>
    </row>
    <row r="32" spans="1:6" x14ac:dyDescent="0.3">
      <c r="A32" t="s">
        <v>349</v>
      </c>
      <c r="B32" s="50">
        <v>24747</v>
      </c>
    </row>
    <row r="33" spans="1:6" x14ac:dyDescent="0.3">
      <c r="A33" t="s">
        <v>350</v>
      </c>
      <c r="B33" s="50">
        <v>30952</v>
      </c>
    </row>
    <row r="34" spans="1:6" x14ac:dyDescent="0.3">
      <c r="A34" t="s">
        <v>351</v>
      </c>
      <c r="B34" s="50">
        <v>92079</v>
      </c>
    </row>
    <row r="35" spans="1:6" x14ac:dyDescent="0.3">
      <c r="A35" t="s">
        <v>352</v>
      </c>
      <c r="B35" s="50">
        <v>21400</v>
      </c>
    </row>
    <row r="36" spans="1:6" x14ac:dyDescent="0.3">
      <c r="A36" t="s">
        <v>353</v>
      </c>
      <c r="B36" s="50">
        <v>23286</v>
      </c>
    </row>
    <row r="37" spans="1:6" x14ac:dyDescent="0.3">
      <c r="A37" t="s">
        <v>354</v>
      </c>
      <c r="B37" s="50">
        <v>50754</v>
      </c>
    </row>
    <row r="38" spans="1:6" x14ac:dyDescent="0.3">
      <c r="A38" t="s">
        <v>355</v>
      </c>
      <c r="B38" s="50">
        <v>2573</v>
      </c>
    </row>
    <row r="40" spans="1:6" x14ac:dyDescent="0.3">
      <c r="A40" s="350" t="s">
        <v>356</v>
      </c>
      <c r="B40" s="351"/>
      <c r="C40" s="351"/>
      <c r="D40" s="351"/>
      <c r="E40" s="351"/>
      <c r="F40" s="351"/>
    </row>
    <row r="41" spans="1:6" x14ac:dyDescent="0.3">
      <c r="A41" s="6" t="s">
        <v>357</v>
      </c>
      <c r="B41" s="52" t="s">
        <v>7</v>
      </c>
      <c r="C41" s="52"/>
      <c r="D41" s="52"/>
      <c r="E41" s="80" t="s">
        <v>8</v>
      </c>
      <c r="F41" s="52"/>
    </row>
    <row r="42" spans="1:6" x14ac:dyDescent="0.3">
      <c r="A42" t="s">
        <v>358</v>
      </c>
      <c r="B42" s="163">
        <f>B33/B35</f>
        <v>1.4463551401869159</v>
      </c>
      <c r="C42" s="164"/>
      <c r="D42" s="54"/>
      <c r="E42" s="165" t="s">
        <v>359</v>
      </c>
      <c r="F42" s="54"/>
    </row>
    <row r="43" spans="1:6" x14ac:dyDescent="0.3">
      <c r="A43" t="s">
        <v>360</v>
      </c>
      <c r="B43" s="163">
        <f>(B32)/B35</f>
        <v>1.1564018691588784</v>
      </c>
      <c r="C43" s="164"/>
      <c r="D43" s="54"/>
      <c r="E43" s="165" t="s">
        <v>361</v>
      </c>
      <c r="F43" s="54"/>
    </row>
    <row r="44" spans="1:6" x14ac:dyDescent="0.3">
      <c r="A44" t="s">
        <v>362</v>
      </c>
      <c r="B44" s="163">
        <f>B36/B38</f>
        <v>9.0501360279828997</v>
      </c>
      <c r="C44" s="164"/>
      <c r="D44" s="54"/>
      <c r="E44" s="165" t="s">
        <v>363</v>
      </c>
      <c r="F44" s="54"/>
    </row>
    <row r="45" spans="1:6" x14ac:dyDescent="0.3">
      <c r="A45" t="s">
        <v>364</v>
      </c>
      <c r="B45" s="163">
        <f>B36/B18</f>
        <v>3.5281818181818183</v>
      </c>
      <c r="C45" s="164"/>
      <c r="D45" s="54"/>
      <c r="E45" s="165" t="s">
        <v>365</v>
      </c>
      <c r="F45" s="54"/>
    </row>
    <row r="46" spans="1:6" x14ac:dyDescent="0.3">
      <c r="A46" t="s">
        <v>366</v>
      </c>
      <c r="B46" s="163">
        <f>B10/B18</f>
        <v>0.22136363636363637</v>
      </c>
      <c r="C46" s="164"/>
      <c r="D46" s="54"/>
      <c r="E46" s="165" t="s">
        <v>367</v>
      </c>
      <c r="F46" s="54"/>
    </row>
    <row r="47" spans="1:6" x14ac:dyDescent="0.3">
      <c r="A47" t="s">
        <v>368</v>
      </c>
      <c r="B47" s="64">
        <f>B37/B34</f>
        <v>0.5512005994852246</v>
      </c>
      <c r="C47" s="164"/>
      <c r="D47" s="54"/>
      <c r="E47" s="165" t="s">
        <v>369</v>
      </c>
      <c r="F47" s="54"/>
    </row>
    <row r="48" spans="1:6" x14ac:dyDescent="0.3">
      <c r="A48" t="s">
        <v>370</v>
      </c>
      <c r="B48" s="64">
        <f>B20/B38</f>
        <v>-1.9187718616401088</v>
      </c>
      <c r="C48" s="164"/>
      <c r="D48" s="54"/>
      <c r="E48" s="165" t="s">
        <v>371</v>
      </c>
      <c r="F48" s="54"/>
    </row>
    <row r="49" spans="1:6" x14ac:dyDescent="0.3">
      <c r="A49" t="s">
        <v>372</v>
      </c>
      <c r="B49" s="64">
        <f>B20/B34</f>
        <v>-5.3617002791081572E-2</v>
      </c>
      <c r="C49" s="164"/>
      <c r="D49" s="54"/>
      <c r="E49" s="165" t="s">
        <v>373</v>
      </c>
      <c r="F49" s="54"/>
    </row>
    <row r="50" spans="1:6" x14ac:dyDescent="0.3">
      <c r="A50" t="s">
        <v>374</v>
      </c>
      <c r="B50" s="64">
        <f>B20/B14</f>
        <v>-0.2643782799614437</v>
      </c>
      <c r="C50" s="164"/>
      <c r="D50" s="54"/>
      <c r="E50" s="165" t="s">
        <v>375</v>
      </c>
      <c r="F50" s="54"/>
    </row>
    <row r="51" spans="1:6" x14ac:dyDescent="0.3">
      <c r="A51" t="s">
        <v>376</v>
      </c>
      <c r="B51" s="64">
        <f>B18/B14</f>
        <v>0.3534325800578344</v>
      </c>
      <c r="C51" s="164"/>
      <c r="D51" s="54"/>
      <c r="E51" s="165" t="s">
        <v>377</v>
      </c>
      <c r="F51" s="54"/>
    </row>
    <row r="52" spans="1:6" x14ac:dyDescent="0.3">
      <c r="E52" s="81"/>
    </row>
  </sheetData>
  <mergeCells count="5">
    <mergeCell ref="A4:F4"/>
    <mergeCell ref="A13:F13"/>
    <mergeCell ref="A22:F22"/>
    <mergeCell ref="A31:F31"/>
    <mergeCell ref="A40:F4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FA90-4B6E-416F-A084-F286E547DA26}">
  <sheetPr>
    <tabColor rgb="FF7030A0"/>
  </sheetPr>
  <dimension ref="A1:X10"/>
  <sheetViews>
    <sheetView showGridLines="0" zoomScaleNormal="100" workbookViewId="0">
      <pane ySplit="2" topLeftCell="A3" activePane="bottomLeft" state="frozen"/>
      <selection pane="bottomLeft" activeCell="O26" sqref="O26"/>
    </sheetView>
  </sheetViews>
  <sheetFormatPr defaultRowHeight="14.4" x14ac:dyDescent="0.3"/>
  <cols>
    <col min="4" max="4" width="10.5546875" customWidth="1"/>
    <col min="5" max="5" width="10.5546875" bestFit="1" customWidth="1"/>
    <col min="23" max="23" width="15.6640625" customWidth="1"/>
  </cols>
  <sheetData>
    <row r="1" spans="1:24" ht="30" customHeight="1" x14ac:dyDescent="0.3">
      <c r="A1" s="324" t="s">
        <v>771</v>
      </c>
    </row>
    <row r="3" spans="1:24" x14ac:dyDescent="0.3">
      <c r="T3" s="1" t="s">
        <v>291</v>
      </c>
      <c r="W3" s="1" t="s">
        <v>293</v>
      </c>
    </row>
    <row r="4" spans="1:24" x14ac:dyDescent="0.3">
      <c r="T4" t="s">
        <v>19</v>
      </c>
      <c r="U4" t="s">
        <v>292</v>
      </c>
      <c r="W4" t="s">
        <v>233</v>
      </c>
      <c r="X4" t="s">
        <v>294</v>
      </c>
    </row>
    <row r="5" spans="1:24" x14ac:dyDescent="0.3">
      <c r="T5" t="s">
        <v>39</v>
      </c>
      <c r="U5" s="166">
        <f>SOTP!D8/1000</f>
        <v>436.04619546017983</v>
      </c>
      <c r="W5" t="s">
        <v>297</v>
      </c>
      <c r="X5" s="168">
        <v>1750</v>
      </c>
    </row>
    <row r="6" spans="1:24" x14ac:dyDescent="0.3">
      <c r="T6" t="s">
        <v>24</v>
      </c>
      <c r="U6" s="166">
        <f>SOTP!D9/1000</f>
        <v>91.383930985018466</v>
      </c>
      <c r="W6" t="s">
        <v>298</v>
      </c>
      <c r="X6" s="168">
        <v>2500</v>
      </c>
    </row>
    <row r="7" spans="1:24" x14ac:dyDescent="0.3">
      <c r="T7" t="s">
        <v>40</v>
      </c>
      <c r="U7" s="166">
        <f>SOTP!D10/1000</f>
        <v>47.276061632378152</v>
      </c>
      <c r="W7" t="s">
        <v>296</v>
      </c>
      <c r="X7" s="168">
        <v>780</v>
      </c>
    </row>
    <row r="8" spans="1:24" x14ac:dyDescent="0.3">
      <c r="W8" t="s">
        <v>295</v>
      </c>
      <c r="X8" s="168">
        <v>429</v>
      </c>
    </row>
    <row r="9" spans="1:24" x14ac:dyDescent="0.3">
      <c r="W9" t="s">
        <v>412</v>
      </c>
      <c r="X9" s="167">
        <f>SOTP!B20/1000</f>
        <v>649.14863953638405</v>
      </c>
    </row>
    <row r="10" spans="1:24" x14ac:dyDescent="0.3">
      <c r="W10" t="s">
        <v>411</v>
      </c>
      <c r="X10" s="167">
        <f>SOTP!D20/1000</f>
        <v>576.1671880775765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9742-A1E5-4035-B98A-C2D8219ECB7B}">
  <sheetPr>
    <tabColor rgb="FFED7D31"/>
  </sheetPr>
  <dimension ref="A1:X60"/>
  <sheetViews>
    <sheetView showGridLines="0" zoomScale="85" zoomScaleNormal="85" workbookViewId="0">
      <pane ySplit="3" topLeftCell="A4" activePane="bottomLeft" state="frozen"/>
      <selection pane="bottomLeft" activeCell="K2" sqref="K2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style="54" customWidth="1"/>
  </cols>
  <sheetData>
    <row r="1" spans="1:24" ht="30" customHeight="1" x14ac:dyDescent="0.3">
      <c r="A1" s="324" t="s">
        <v>772</v>
      </c>
    </row>
    <row r="2" spans="1:24" x14ac:dyDescent="0.3">
      <c r="A2" s="325" t="s">
        <v>777</v>
      </c>
    </row>
    <row r="3" spans="1:24" x14ac:dyDescent="0.3">
      <c r="A3" s="325" t="s">
        <v>778</v>
      </c>
    </row>
    <row r="5" spans="1:24" x14ac:dyDescent="0.3">
      <c r="A5" s="4" t="s">
        <v>427</v>
      </c>
      <c r="B5" s="4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</row>
    <row r="6" spans="1:24" x14ac:dyDescent="0.3">
      <c r="A6" s="216" t="s">
        <v>428</v>
      </c>
      <c r="B6" s="216" t="s">
        <v>429</v>
      </c>
      <c r="C6" s="217" t="s">
        <v>415</v>
      </c>
      <c r="D6" s="217" t="s">
        <v>565</v>
      </c>
      <c r="E6" s="217" t="s">
        <v>441</v>
      </c>
      <c r="F6" s="217" t="s">
        <v>442</v>
      </c>
      <c r="G6" s="217" t="s">
        <v>90</v>
      </c>
      <c r="H6" s="217" t="s">
        <v>443</v>
      </c>
      <c r="I6" s="217" t="s">
        <v>444</v>
      </c>
      <c r="J6" s="217" t="s">
        <v>445</v>
      </c>
      <c r="K6" s="217" t="s">
        <v>445</v>
      </c>
      <c r="L6" s="217"/>
      <c r="M6" s="217" t="s">
        <v>439</v>
      </c>
      <c r="N6" s="217" t="s">
        <v>440</v>
      </c>
      <c r="O6" s="217"/>
      <c r="P6" s="217" t="s">
        <v>430</v>
      </c>
      <c r="Q6" s="217" t="s">
        <v>431</v>
      </c>
      <c r="R6" s="217" t="s">
        <v>432</v>
      </c>
      <c r="S6" s="217" t="s">
        <v>433</v>
      </c>
      <c r="T6" s="217" t="s">
        <v>434</v>
      </c>
      <c r="U6" s="217" t="s">
        <v>435</v>
      </c>
      <c r="V6" s="217" t="s">
        <v>436</v>
      </c>
      <c r="W6" s="217" t="s">
        <v>437</v>
      </c>
      <c r="X6" s="217" t="s">
        <v>438</v>
      </c>
    </row>
    <row r="7" spans="1:24" x14ac:dyDescent="0.3">
      <c r="A7" s="216"/>
      <c r="B7" s="216"/>
      <c r="C7" s="217" t="s">
        <v>447</v>
      </c>
      <c r="D7" s="217" t="s">
        <v>449</v>
      </c>
      <c r="E7" s="217" t="s">
        <v>0</v>
      </c>
      <c r="F7" s="217" t="s">
        <v>453</v>
      </c>
      <c r="G7" s="217" t="s">
        <v>453</v>
      </c>
      <c r="H7" s="217" t="s">
        <v>87</v>
      </c>
      <c r="I7" s="217" t="s">
        <v>416</v>
      </c>
      <c r="J7" s="217" t="s">
        <v>87</v>
      </c>
      <c r="K7" s="217" t="s">
        <v>90</v>
      </c>
      <c r="L7" s="217"/>
      <c r="M7" s="217" t="s">
        <v>451</v>
      </c>
      <c r="N7" s="217" t="s">
        <v>452</v>
      </c>
      <c r="O7" s="217"/>
      <c r="P7" s="217" t="s">
        <v>446</v>
      </c>
      <c r="Q7" s="217" t="s">
        <v>447</v>
      </c>
      <c r="R7" s="217"/>
      <c r="S7" s="217" t="s">
        <v>448</v>
      </c>
      <c r="T7" s="217"/>
      <c r="U7" s="217" t="s">
        <v>449</v>
      </c>
      <c r="V7" s="217"/>
      <c r="W7" s="217" t="s">
        <v>450</v>
      </c>
      <c r="X7" s="217" t="s">
        <v>446</v>
      </c>
    </row>
    <row r="8" spans="1:24" x14ac:dyDescent="0.3">
      <c r="A8" t="s">
        <v>454</v>
      </c>
      <c r="B8" t="s">
        <v>455</v>
      </c>
      <c r="C8" s="119">
        <v>3200</v>
      </c>
      <c r="D8" s="119">
        <v>4600</v>
      </c>
      <c r="E8" s="137">
        <v>830</v>
      </c>
      <c r="F8" s="55">
        <v>0.71950000000000003</v>
      </c>
      <c r="G8" s="55">
        <v>0.62</v>
      </c>
      <c r="H8" s="55">
        <v>4.4999999999999998E-2</v>
      </c>
      <c r="I8" s="55">
        <v>0.05</v>
      </c>
      <c r="J8" s="213">
        <f t="shared" ref="J8:J15" si="0">IFERROR(IF(D8=0,"NM",D8/E8),"NM")</f>
        <v>5.5421686746987948</v>
      </c>
      <c r="K8" s="214">
        <f t="shared" ref="K8:K15" si="1">IF(OR(G8&lt;=0,E8=0,D8=0),"NM",IF(D8/(E8*G8)&gt;100,"NM",D8/(E8*G8)))</f>
        <v>8.9389817333851536</v>
      </c>
      <c r="M8" s="61">
        <v>2.5550000000000002</v>
      </c>
      <c r="N8" s="61">
        <v>27</v>
      </c>
      <c r="O8"/>
      <c r="P8" s="61">
        <v>0.6</v>
      </c>
      <c r="Q8" s="137">
        <v>1810</v>
      </c>
      <c r="R8" s="39">
        <f t="shared" ref="R8:R15" si="2">IFERROR(Q8/(Q8+S8+U8),"")</f>
        <v>0.25138888888888888</v>
      </c>
      <c r="S8" s="137">
        <v>0</v>
      </c>
      <c r="T8" s="85">
        <f t="shared" ref="T8:T15" si="3">IFERROR(S8/($Q8+$S8+$U8),"")</f>
        <v>0</v>
      </c>
      <c r="U8" s="137">
        <v>5390</v>
      </c>
      <c r="V8" s="39">
        <f t="shared" ref="V8:V15" si="4">IFERROR(U8/(Q8+S8+U8),"")</f>
        <v>0.74861111111111112</v>
      </c>
      <c r="W8" s="220">
        <v>0.21</v>
      </c>
      <c r="X8" s="69">
        <f t="shared" ref="X8:X15" si="5">IFERROR(P8/(1+(Q8/U8)*(1-W8)+S8/U8),"")</f>
        <v>0.47420050147362858</v>
      </c>
    </row>
    <row r="9" spans="1:24" x14ac:dyDescent="0.3">
      <c r="A9" t="s">
        <v>456</v>
      </c>
      <c r="B9" t="s">
        <v>457</v>
      </c>
      <c r="C9" s="119">
        <v>36100</v>
      </c>
      <c r="D9" s="119">
        <v>61430</v>
      </c>
      <c r="E9" s="137">
        <v>14800</v>
      </c>
      <c r="F9" s="55">
        <v>0.37</v>
      </c>
      <c r="G9" s="55">
        <v>0.37</v>
      </c>
      <c r="H9" s="55">
        <v>0.115</v>
      </c>
      <c r="I9" s="55">
        <v>0.11</v>
      </c>
      <c r="J9" s="213">
        <f t="shared" si="0"/>
        <v>4.150675675675676</v>
      </c>
      <c r="K9" s="214">
        <f t="shared" si="1"/>
        <v>11.218042366691016</v>
      </c>
      <c r="M9" s="61">
        <v>29.2</v>
      </c>
      <c r="N9" s="61">
        <v>40</v>
      </c>
      <c r="O9"/>
      <c r="P9" s="61">
        <v>0.96</v>
      </c>
      <c r="Q9" s="137">
        <v>29240</v>
      </c>
      <c r="R9" s="39">
        <f t="shared" si="2"/>
        <v>0.47130883301096066</v>
      </c>
      <c r="S9" s="137">
        <v>0</v>
      </c>
      <c r="T9" s="85">
        <f t="shared" si="3"/>
        <v>0</v>
      </c>
      <c r="U9" s="137">
        <v>32800</v>
      </c>
      <c r="V9" s="39">
        <f t="shared" si="4"/>
        <v>0.52869116698903929</v>
      </c>
      <c r="W9" s="220">
        <v>0.21</v>
      </c>
      <c r="X9" s="69">
        <f t="shared" si="5"/>
        <v>0.56329562286671098</v>
      </c>
    </row>
    <row r="10" spans="1:24" x14ac:dyDescent="0.3">
      <c r="A10" t="s">
        <v>458</v>
      </c>
      <c r="B10" t="s">
        <v>459</v>
      </c>
      <c r="C10" s="119">
        <v>3000</v>
      </c>
      <c r="D10" s="119">
        <v>3500</v>
      </c>
      <c r="E10" s="137">
        <v>250</v>
      </c>
      <c r="F10" s="55">
        <v>0.6381</v>
      </c>
      <c r="G10" s="55">
        <v>0.4</v>
      </c>
      <c r="H10" s="55">
        <v>0.8</v>
      </c>
      <c r="I10" s="55">
        <v>0.1</v>
      </c>
      <c r="J10" s="213">
        <f t="shared" si="0"/>
        <v>14</v>
      </c>
      <c r="K10" s="214">
        <f t="shared" si="1"/>
        <v>35</v>
      </c>
      <c r="M10" s="69" t="s">
        <v>567</v>
      </c>
      <c r="N10" s="69" t="s">
        <v>567</v>
      </c>
      <c r="O10"/>
      <c r="P10" s="61">
        <v>2.6</v>
      </c>
      <c r="Q10" s="137">
        <v>546</v>
      </c>
      <c r="R10" s="39">
        <f t="shared" si="2"/>
        <v>4.4953070969866622E-2</v>
      </c>
      <c r="S10" s="137">
        <v>0</v>
      </c>
      <c r="T10" s="85">
        <f t="shared" si="3"/>
        <v>0</v>
      </c>
      <c r="U10" s="137">
        <v>11600</v>
      </c>
      <c r="V10" s="39">
        <f t="shared" si="4"/>
        <v>0.95504692903013333</v>
      </c>
      <c r="W10" s="220">
        <v>0.21</v>
      </c>
      <c r="X10" s="69">
        <f t="shared" si="5"/>
        <v>2.5067864427403763</v>
      </c>
    </row>
    <row r="11" spans="1:24" x14ac:dyDescent="0.3">
      <c r="A11" t="s">
        <v>460</v>
      </c>
      <c r="B11" t="s">
        <v>461</v>
      </c>
      <c r="C11" s="119">
        <v>15600</v>
      </c>
      <c r="D11" s="119">
        <v>15100</v>
      </c>
      <c r="E11" s="137">
        <v>71</v>
      </c>
      <c r="F11" s="55">
        <v>0.44819999999999999</v>
      </c>
      <c r="G11" s="55">
        <v>-2</v>
      </c>
      <c r="H11" s="55">
        <v>5</v>
      </c>
      <c r="I11" s="55">
        <v>0.15</v>
      </c>
      <c r="J11" s="213">
        <f t="shared" si="0"/>
        <v>212.67605633802816</v>
      </c>
      <c r="K11" s="214" t="str">
        <f t="shared" si="1"/>
        <v>NM</v>
      </c>
      <c r="M11" s="69" t="s">
        <v>567</v>
      </c>
      <c r="N11" s="69" t="s">
        <v>567</v>
      </c>
      <c r="O11"/>
      <c r="P11" s="61">
        <v>2.6</v>
      </c>
      <c r="Q11" s="137">
        <v>2990</v>
      </c>
      <c r="R11" s="39">
        <f t="shared" si="2"/>
        <v>9.6607431340872379E-2</v>
      </c>
      <c r="S11" s="137">
        <v>0</v>
      </c>
      <c r="T11" s="85">
        <f t="shared" si="3"/>
        <v>0</v>
      </c>
      <c r="U11" s="137">
        <v>27960</v>
      </c>
      <c r="V11" s="39">
        <f t="shared" si="4"/>
        <v>0.90339256865912765</v>
      </c>
      <c r="W11" s="220">
        <v>0.21</v>
      </c>
      <c r="X11" s="69">
        <f t="shared" si="5"/>
        <v>2.3974592788758033</v>
      </c>
    </row>
    <row r="12" spans="1:24" x14ac:dyDescent="0.3">
      <c r="A12" t="s">
        <v>462</v>
      </c>
      <c r="B12" t="s">
        <v>463</v>
      </c>
      <c r="C12" s="119">
        <v>6640</v>
      </c>
      <c r="D12" s="119">
        <v>12000</v>
      </c>
      <c r="E12" s="137">
        <v>4500</v>
      </c>
      <c r="F12" s="55">
        <v>0.33200000000000002</v>
      </c>
      <c r="G12" s="55">
        <v>0.3</v>
      </c>
      <c r="H12" s="55">
        <v>0.19900000000000001</v>
      </c>
      <c r="I12" s="55">
        <v>0.08</v>
      </c>
      <c r="J12" s="213">
        <f t="shared" si="0"/>
        <v>2.6666666666666665</v>
      </c>
      <c r="K12" s="214">
        <f t="shared" si="1"/>
        <v>8.8888888888888893</v>
      </c>
      <c r="M12" s="69" t="s">
        <v>567</v>
      </c>
      <c r="N12" s="69" t="s">
        <v>567</v>
      </c>
      <c r="O12"/>
      <c r="P12" s="61">
        <v>1.37</v>
      </c>
      <c r="Q12" s="137">
        <v>7080</v>
      </c>
      <c r="R12" s="39">
        <f t="shared" si="2"/>
        <v>0.43839009287925695</v>
      </c>
      <c r="S12" s="137">
        <v>0</v>
      </c>
      <c r="T12" s="85">
        <f t="shared" si="3"/>
        <v>0</v>
      </c>
      <c r="U12" s="137">
        <v>9070</v>
      </c>
      <c r="V12" s="39">
        <f t="shared" si="4"/>
        <v>0.56160990712074299</v>
      </c>
      <c r="W12" s="220">
        <v>0.21</v>
      </c>
      <c r="X12" s="69">
        <f t="shared" si="5"/>
        <v>0.84742075399639916</v>
      </c>
    </row>
    <row r="13" spans="1:24" x14ac:dyDescent="0.3">
      <c r="A13" t="s">
        <v>464</v>
      </c>
      <c r="B13" t="s">
        <v>465</v>
      </c>
      <c r="C13" s="119">
        <v>6300</v>
      </c>
      <c r="D13" s="119">
        <v>12560</v>
      </c>
      <c r="E13" s="137">
        <v>2850</v>
      </c>
      <c r="F13" s="55">
        <v>0.6</v>
      </c>
      <c r="G13" s="55">
        <v>0.43</v>
      </c>
      <c r="H13" s="55">
        <v>0.5</v>
      </c>
      <c r="I13" s="55">
        <v>0.05</v>
      </c>
      <c r="J13" s="213">
        <f t="shared" si="0"/>
        <v>4.4070175438596495</v>
      </c>
      <c r="K13" s="214">
        <f t="shared" si="1"/>
        <v>10.248878008975929</v>
      </c>
      <c r="M13" s="69" t="s">
        <v>567</v>
      </c>
      <c r="N13" s="69" t="s">
        <v>567</v>
      </c>
      <c r="O13"/>
      <c r="P13" s="61">
        <v>0.51</v>
      </c>
      <c r="Q13" s="137">
        <v>3400</v>
      </c>
      <c r="R13" s="39">
        <f t="shared" si="2"/>
        <v>0.57627118644067798</v>
      </c>
      <c r="S13" s="137">
        <v>0</v>
      </c>
      <c r="T13" s="85">
        <f t="shared" si="3"/>
        <v>0</v>
      </c>
      <c r="U13" s="137">
        <v>2500</v>
      </c>
      <c r="V13" s="39">
        <f t="shared" si="4"/>
        <v>0.42372881355932202</v>
      </c>
      <c r="W13" s="220">
        <v>0.21</v>
      </c>
      <c r="X13" s="69">
        <f t="shared" si="5"/>
        <v>0.2458542229078288</v>
      </c>
    </row>
    <row r="14" spans="1:24" x14ac:dyDescent="0.3">
      <c r="A14" t="s">
        <v>466</v>
      </c>
      <c r="B14" t="s">
        <v>467</v>
      </c>
      <c r="C14" s="119">
        <v>3840</v>
      </c>
      <c r="D14" s="119">
        <v>4810</v>
      </c>
      <c r="E14" s="137">
        <v>1230</v>
      </c>
      <c r="F14" s="55">
        <v>0.5</v>
      </c>
      <c r="G14" s="55">
        <v>0.3</v>
      </c>
      <c r="H14" s="55">
        <v>0.45</v>
      </c>
      <c r="I14" s="55">
        <v>0.08</v>
      </c>
      <c r="J14" s="213">
        <f t="shared" si="0"/>
        <v>3.910569105691057</v>
      </c>
      <c r="K14" s="214">
        <f t="shared" si="1"/>
        <v>13.035230352303524</v>
      </c>
      <c r="M14" s="69" t="s">
        <v>567</v>
      </c>
      <c r="N14" s="69" t="s">
        <v>567</v>
      </c>
      <c r="O14"/>
      <c r="P14" s="61">
        <v>0.9</v>
      </c>
      <c r="Q14" s="137">
        <v>7300</v>
      </c>
      <c r="R14" s="39">
        <f t="shared" si="2"/>
        <v>0.72277227722772275</v>
      </c>
      <c r="S14" s="137">
        <v>0</v>
      </c>
      <c r="T14" s="85">
        <f t="shared" si="3"/>
        <v>0</v>
      </c>
      <c r="U14" s="137">
        <v>2800</v>
      </c>
      <c r="V14" s="39">
        <f t="shared" si="4"/>
        <v>0.27722772277227725</v>
      </c>
      <c r="W14" s="220">
        <v>0.25</v>
      </c>
      <c r="X14" s="69">
        <f t="shared" si="5"/>
        <v>0.30453172205438067</v>
      </c>
    </row>
    <row r="15" spans="1:24" x14ac:dyDescent="0.3">
      <c r="A15" t="s">
        <v>468</v>
      </c>
      <c r="B15" t="s">
        <v>469</v>
      </c>
      <c r="C15" s="119">
        <v>2460</v>
      </c>
      <c r="D15" s="119">
        <v>5500</v>
      </c>
      <c r="E15" s="137">
        <v>279</v>
      </c>
      <c r="F15" s="55">
        <v>0.65</v>
      </c>
      <c r="G15" s="55">
        <v>0.65</v>
      </c>
      <c r="H15" s="55">
        <v>0.35</v>
      </c>
      <c r="I15" s="55">
        <v>0.05</v>
      </c>
      <c r="J15" s="213">
        <f t="shared" si="0"/>
        <v>19.713261648745519</v>
      </c>
      <c r="K15" s="214">
        <f t="shared" si="1"/>
        <v>30.328094844223877</v>
      </c>
      <c r="M15" s="69" t="s">
        <v>567</v>
      </c>
      <c r="N15" s="69" t="s">
        <v>567</v>
      </c>
      <c r="O15"/>
      <c r="P15" s="61">
        <v>2</v>
      </c>
      <c r="Q15" s="137">
        <v>4200</v>
      </c>
      <c r="R15" s="39">
        <f t="shared" si="2"/>
        <v>0.87318087318087323</v>
      </c>
      <c r="S15" s="137">
        <v>0</v>
      </c>
      <c r="T15" s="85">
        <f t="shared" si="3"/>
        <v>0</v>
      </c>
      <c r="U15" s="137">
        <v>610</v>
      </c>
      <c r="V15" s="39">
        <f t="shared" si="4"/>
        <v>0.12681912681912683</v>
      </c>
      <c r="W15" s="220">
        <v>0.26500000000000001</v>
      </c>
      <c r="X15" s="69">
        <f t="shared" si="5"/>
        <v>0.32999729510413855</v>
      </c>
    </row>
    <row r="16" spans="1:24" x14ac:dyDescent="0.3">
      <c r="F16"/>
      <c r="J16"/>
      <c r="M16" s="63"/>
      <c r="N16" s="63"/>
      <c r="O16"/>
    </row>
    <row r="17" spans="1:24" x14ac:dyDescent="0.3">
      <c r="A17" s="1" t="s">
        <v>470</v>
      </c>
      <c r="C17" s="118">
        <f t="shared" ref="C17:I17" si="6">IFERROR(MIN(C8:C15),"")</f>
        <v>2460</v>
      </c>
      <c r="D17" s="118">
        <f t="shared" si="6"/>
        <v>3500</v>
      </c>
      <c r="E17" s="117">
        <f t="shared" si="6"/>
        <v>71</v>
      </c>
      <c r="F17" s="223">
        <f t="shared" si="6"/>
        <v>0.33200000000000002</v>
      </c>
      <c r="G17" s="64">
        <f t="shared" si="6"/>
        <v>-2</v>
      </c>
      <c r="H17" s="64">
        <f t="shared" si="6"/>
        <v>4.4999999999999998E-2</v>
      </c>
      <c r="I17" s="64">
        <f t="shared" si="6"/>
        <v>0.05</v>
      </c>
      <c r="J17" s="213">
        <f>IFERROR(_xlfn.AGGREGATE(5,6,J8:J15),"")</f>
        <v>2.6666666666666665</v>
      </c>
      <c r="K17" s="163">
        <f>IFERROR(MIN(K8:K15),"")</f>
        <v>8.8888888888888893</v>
      </c>
      <c r="M17" s="63">
        <f>IFERROR(IF(COUNTA(M8:M15)=0,"",MIN(M8:M15)),"")</f>
        <v>2.5550000000000002</v>
      </c>
      <c r="N17" s="63">
        <f>IFERROR(IF(COUNTA(N8:N15)=0,"",MIN(N8:N15)),"")</f>
        <v>27</v>
      </c>
      <c r="O17"/>
      <c r="P17" s="63">
        <f t="shared" ref="P17:X17" si="7">IFERROR(MIN(P8:P15),"")</f>
        <v>0.51</v>
      </c>
      <c r="Q17" s="218">
        <f t="shared" si="7"/>
        <v>546</v>
      </c>
      <c r="R17" s="64">
        <f t="shared" si="7"/>
        <v>4.4953070969866622E-2</v>
      </c>
      <c r="S17" s="218">
        <f t="shared" si="7"/>
        <v>0</v>
      </c>
      <c r="T17" s="64">
        <f t="shared" si="7"/>
        <v>0</v>
      </c>
      <c r="U17" s="218">
        <f t="shared" si="7"/>
        <v>610</v>
      </c>
      <c r="V17" s="64">
        <f t="shared" si="7"/>
        <v>0.12681912681912683</v>
      </c>
      <c r="W17" s="64">
        <f t="shared" si="7"/>
        <v>0.21</v>
      </c>
      <c r="X17" s="63">
        <f t="shared" si="7"/>
        <v>0.2458542229078288</v>
      </c>
    </row>
    <row r="18" spans="1:24" x14ac:dyDescent="0.3">
      <c r="A18" s="1" t="s">
        <v>471</v>
      </c>
      <c r="C18" s="118">
        <f t="shared" ref="C18:J18" si="8">IFERROR(QUARTILE(C8:C15,1),"")</f>
        <v>3150</v>
      </c>
      <c r="D18" s="118">
        <f t="shared" si="8"/>
        <v>4757.5</v>
      </c>
      <c r="E18" s="117">
        <f t="shared" si="8"/>
        <v>271.75</v>
      </c>
      <c r="F18" s="223">
        <f t="shared" si="8"/>
        <v>0.42864999999999998</v>
      </c>
      <c r="G18" s="64">
        <f t="shared" si="8"/>
        <v>0.3</v>
      </c>
      <c r="H18" s="64">
        <f t="shared" si="8"/>
        <v>0.17799999999999999</v>
      </c>
      <c r="I18" s="64">
        <f t="shared" si="8"/>
        <v>0.05</v>
      </c>
      <c r="J18" s="214">
        <f t="shared" si="8"/>
        <v>4.0906490331795213</v>
      </c>
      <c r="K18" s="163">
        <f>QUARTILE((K8,K9,K10,K12,K13,K14,K15),1)</f>
        <v>9.5939298711805421</v>
      </c>
      <c r="M18" s="63">
        <f>IFERROR(QUARTILE(M8:M15,1),"")</f>
        <v>9.2162500000000005</v>
      </c>
      <c r="N18" s="63">
        <f>IFERROR(QUARTILE(N8:N15,1),"")</f>
        <v>30.25</v>
      </c>
      <c r="O18"/>
      <c r="P18" s="63">
        <f t="shared" ref="P18:X18" si="9">IFERROR(QUARTILE(P8:P15,1),"")</f>
        <v>0.82499999999999996</v>
      </c>
      <c r="Q18" s="218">
        <f t="shared" si="9"/>
        <v>2695</v>
      </c>
      <c r="R18" s="64">
        <f t="shared" si="9"/>
        <v>0.21269352450188475</v>
      </c>
      <c r="S18" s="218">
        <f t="shared" si="9"/>
        <v>0</v>
      </c>
      <c r="T18" s="64">
        <f t="shared" si="9"/>
        <v>0</v>
      </c>
      <c r="U18" s="218">
        <f t="shared" si="9"/>
        <v>2725</v>
      </c>
      <c r="V18" s="64">
        <f t="shared" si="9"/>
        <v>0.38710354086256082</v>
      </c>
      <c r="W18" s="64">
        <f t="shared" si="9"/>
        <v>0.21</v>
      </c>
      <c r="X18" s="63">
        <f t="shared" si="9"/>
        <v>0.32363090184169907</v>
      </c>
    </row>
    <row r="19" spans="1:24" x14ac:dyDescent="0.3">
      <c r="A19" s="1" t="s">
        <v>472</v>
      </c>
      <c r="C19" s="118">
        <f t="shared" ref="C19:I19" si="10">IFERROR(MEDIAN(C8:C15),"")</f>
        <v>5070</v>
      </c>
      <c r="D19" s="118">
        <f t="shared" si="10"/>
        <v>8750</v>
      </c>
      <c r="E19" s="117">
        <f t="shared" si="10"/>
        <v>1030</v>
      </c>
      <c r="F19" s="223">
        <f t="shared" si="10"/>
        <v>0.55000000000000004</v>
      </c>
      <c r="G19" s="64">
        <f t="shared" si="10"/>
        <v>0.38500000000000001</v>
      </c>
      <c r="H19" s="64">
        <f t="shared" si="10"/>
        <v>0.4</v>
      </c>
      <c r="I19" s="64">
        <f t="shared" si="10"/>
        <v>0.08</v>
      </c>
      <c r="J19" s="214">
        <f>IFERROR(QUARTILE(J8:J15,2),"")</f>
        <v>4.9745931092792226</v>
      </c>
      <c r="K19" s="163">
        <f>QUARTILE((K8,K9,K10,K12,K13,K14,K15),2)</f>
        <v>11.218042366691016</v>
      </c>
      <c r="M19" s="63">
        <f>IFERROR(MEDIAN(M8:M15),"")</f>
        <v>15.8775</v>
      </c>
      <c r="N19" s="63">
        <f>IFERROR(MEDIAN(N8:N15),"")</f>
        <v>33.5</v>
      </c>
      <c r="O19"/>
      <c r="P19" s="63">
        <f t="shared" ref="P19:X19" si="11">IFERROR(MEDIAN(P8:P15),"")</f>
        <v>1.165</v>
      </c>
      <c r="Q19" s="218">
        <f t="shared" si="11"/>
        <v>3800</v>
      </c>
      <c r="R19" s="64">
        <f t="shared" si="11"/>
        <v>0.45484946294510881</v>
      </c>
      <c r="S19" s="218">
        <f t="shared" si="11"/>
        <v>0</v>
      </c>
      <c r="T19" s="64">
        <f t="shared" si="11"/>
        <v>0</v>
      </c>
      <c r="U19" s="218">
        <f t="shared" si="11"/>
        <v>7230</v>
      </c>
      <c r="V19" s="64">
        <f t="shared" si="11"/>
        <v>0.54515053705489114</v>
      </c>
      <c r="W19" s="64">
        <f t="shared" si="11"/>
        <v>0.21</v>
      </c>
      <c r="X19" s="63">
        <f t="shared" si="11"/>
        <v>0.51874806217016978</v>
      </c>
    </row>
    <row r="20" spans="1:24" x14ac:dyDescent="0.3">
      <c r="A20" s="1" t="s">
        <v>473</v>
      </c>
      <c r="C20" s="118">
        <f t="shared" ref="C20:I20" si="12">IFERROR(AVERAGE(C8:C15),"")</f>
        <v>9642.5</v>
      </c>
      <c r="D20" s="118">
        <f t="shared" si="12"/>
        <v>14937.5</v>
      </c>
      <c r="E20" s="117">
        <f t="shared" si="12"/>
        <v>3101.25</v>
      </c>
      <c r="F20" s="223">
        <f t="shared" si="12"/>
        <v>0.53222500000000006</v>
      </c>
      <c r="G20" s="64">
        <f t="shared" si="12"/>
        <v>0.13375000000000001</v>
      </c>
      <c r="H20" s="64">
        <f t="shared" si="12"/>
        <v>0.93237499999999995</v>
      </c>
      <c r="I20" s="64">
        <f t="shared" si="12"/>
        <v>8.3750000000000005E-2</v>
      </c>
      <c r="J20" s="214">
        <f>IFERROR(_xlfn.AGGREGATE(1,6,J8:J15),"")</f>
        <v>33.383301956670685</v>
      </c>
      <c r="K20" s="163">
        <f>IFERROR(AVERAGE(K8:K15),"")</f>
        <v>16.808302313495485</v>
      </c>
      <c r="M20" s="63">
        <f>IFERROR(AVERAGE(M8:M15),"")</f>
        <v>15.8775</v>
      </c>
      <c r="N20" s="63">
        <f>IFERROR(AVERAGE(N8:N15),"")</f>
        <v>33.5</v>
      </c>
      <c r="O20"/>
      <c r="P20" s="63">
        <f t="shared" ref="P20:X20" si="13">IFERROR(AVERAGE(P8:P15),"")</f>
        <v>1.4424999999999999</v>
      </c>
      <c r="Q20" s="218">
        <f t="shared" si="13"/>
        <v>7070.75</v>
      </c>
      <c r="R20" s="64">
        <f t="shared" si="13"/>
        <v>0.43435908174238991</v>
      </c>
      <c r="S20" s="218">
        <f t="shared" si="13"/>
        <v>0</v>
      </c>
      <c r="T20" s="64">
        <f t="shared" si="13"/>
        <v>0</v>
      </c>
      <c r="U20" s="218">
        <f t="shared" si="13"/>
        <v>11591.25</v>
      </c>
      <c r="V20" s="64">
        <f t="shared" si="13"/>
        <v>0.56564091825761009</v>
      </c>
      <c r="W20" s="64">
        <f t="shared" si="13"/>
        <v>0.22187499999999999</v>
      </c>
      <c r="X20" s="63">
        <f t="shared" si="13"/>
        <v>0.95869323000240825</v>
      </c>
    </row>
    <row r="21" spans="1:24" x14ac:dyDescent="0.3">
      <c r="A21" s="1" t="s">
        <v>474</v>
      </c>
      <c r="C21" s="118">
        <f t="shared" ref="C21:J21" si="14">IFERROR(QUARTILE(C8:C15,3),"")</f>
        <v>8880</v>
      </c>
      <c r="D21" s="118">
        <f t="shared" si="14"/>
        <v>13195</v>
      </c>
      <c r="E21" s="117">
        <f t="shared" si="14"/>
        <v>3262.5</v>
      </c>
      <c r="F21" s="223">
        <f t="shared" si="14"/>
        <v>0.64107500000000006</v>
      </c>
      <c r="G21" s="64">
        <f t="shared" si="14"/>
        <v>0.47749999999999998</v>
      </c>
      <c r="H21" s="64">
        <f t="shared" si="14"/>
        <v>0.57499999999999996</v>
      </c>
      <c r="I21" s="64">
        <f t="shared" si="14"/>
        <v>0.10250000000000001</v>
      </c>
      <c r="J21" s="214">
        <f t="shared" si="14"/>
        <v>15.428315412186379</v>
      </c>
      <c r="K21" s="163">
        <f>QUARTILE((K8,K9,K10,K12,K13,K14,K15),3)</f>
        <v>21.681662598263699</v>
      </c>
      <c r="M21" s="63">
        <f>IFERROR(QUARTILE(M8:M15,3),"")</f>
        <v>22.53875</v>
      </c>
      <c r="N21" s="63">
        <f>IFERROR(QUARTILE(N8:N15,3),"")</f>
        <v>36.75</v>
      </c>
      <c r="O21"/>
      <c r="P21" s="63">
        <f t="shared" ref="P21:X21" si="15">IFERROR(QUARTILE(P8:P15,3),"")</f>
        <v>2.15</v>
      </c>
      <c r="Q21" s="218">
        <f t="shared" si="15"/>
        <v>7135</v>
      </c>
      <c r="R21" s="64">
        <f t="shared" si="15"/>
        <v>0.61289645913743918</v>
      </c>
      <c r="S21" s="218">
        <f t="shared" si="15"/>
        <v>0</v>
      </c>
      <c r="T21" s="64">
        <f t="shared" si="15"/>
        <v>0</v>
      </c>
      <c r="U21" s="218">
        <f t="shared" si="15"/>
        <v>15690</v>
      </c>
      <c r="V21" s="64">
        <f t="shared" si="15"/>
        <v>0.78730647549811528</v>
      </c>
      <c r="W21" s="64">
        <f t="shared" si="15"/>
        <v>0.22</v>
      </c>
      <c r="X21" s="63">
        <f t="shared" si="15"/>
        <v>1.2349303852162503</v>
      </c>
    </row>
    <row r="22" spans="1:24" x14ac:dyDescent="0.3">
      <c r="A22" s="1" t="s">
        <v>475</v>
      </c>
      <c r="C22" s="118">
        <f t="shared" ref="C22:I22" si="16">IFERROR(MAX(C8:C15),"")</f>
        <v>36100</v>
      </c>
      <c r="D22" s="118">
        <f t="shared" si="16"/>
        <v>61430</v>
      </c>
      <c r="E22" s="117">
        <f t="shared" si="16"/>
        <v>14800</v>
      </c>
      <c r="F22" s="223">
        <f t="shared" si="16"/>
        <v>0.71950000000000003</v>
      </c>
      <c r="G22" s="64">
        <f t="shared" si="16"/>
        <v>0.65</v>
      </c>
      <c r="H22" s="64">
        <f t="shared" si="16"/>
        <v>5</v>
      </c>
      <c r="I22" s="64">
        <f t="shared" si="16"/>
        <v>0.15</v>
      </c>
      <c r="J22" s="214">
        <f>IFERROR(_xlfn.AGGREGATE(4,6,J8:J15),"")</f>
        <v>212.67605633802816</v>
      </c>
      <c r="K22" s="163">
        <f>IFERROR(MAX(K8:K15),"")</f>
        <v>35</v>
      </c>
      <c r="M22" s="63">
        <f>IFERROR(IF(COUNTA(M8:M15)=0,"",MAX(M8:M15)),"")</f>
        <v>29.2</v>
      </c>
      <c r="N22" s="63">
        <f>IFERROR(IF(COUNTA(N8:N15)=0,"",MAX(N8:N15)),"")</f>
        <v>40</v>
      </c>
      <c r="O22"/>
      <c r="P22" s="63">
        <f t="shared" ref="P22:X22" si="17">IFERROR(MAX(P8:P15),"")</f>
        <v>2.6</v>
      </c>
      <c r="Q22" s="218">
        <f t="shared" si="17"/>
        <v>29240</v>
      </c>
      <c r="R22" s="64">
        <f t="shared" si="17"/>
        <v>0.87318087318087323</v>
      </c>
      <c r="S22" s="218">
        <f t="shared" si="17"/>
        <v>0</v>
      </c>
      <c r="T22" s="64">
        <f t="shared" si="17"/>
        <v>0</v>
      </c>
      <c r="U22" s="218">
        <f t="shared" si="17"/>
        <v>32800</v>
      </c>
      <c r="V22" s="64">
        <f t="shared" si="17"/>
        <v>0.95504692903013333</v>
      </c>
      <c r="W22" s="64">
        <f t="shared" si="17"/>
        <v>0.26500000000000001</v>
      </c>
      <c r="X22" s="63">
        <f t="shared" si="17"/>
        <v>2.5067864427403763</v>
      </c>
    </row>
    <row r="23" spans="1:24" x14ac:dyDescent="0.3">
      <c r="F23"/>
      <c r="J23"/>
      <c r="O23"/>
    </row>
    <row r="24" spans="1:24" x14ac:dyDescent="0.3">
      <c r="A24" s="4" t="s">
        <v>573</v>
      </c>
      <c r="B24" s="4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</row>
    <row r="25" spans="1:24" x14ac:dyDescent="0.3">
      <c r="A25" s="216" t="s">
        <v>428</v>
      </c>
      <c r="B25" s="216" t="s">
        <v>429</v>
      </c>
      <c r="C25" s="217" t="s">
        <v>415</v>
      </c>
      <c r="D25" s="217" t="s">
        <v>565</v>
      </c>
      <c r="E25" s="217" t="s">
        <v>441</v>
      </c>
      <c r="F25" s="221" t="s">
        <v>442</v>
      </c>
      <c r="G25" s="217" t="s">
        <v>90</v>
      </c>
      <c r="H25" s="217" t="s">
        <v>443</v>
      </c>
      <c r="I25" s="217" t="s">
        <v>444</v>
      </c>
      <c r="J25" s="221" t="s">
        <v>445</v>
      </c>
      <c r="K25" s="217" t="s">
        <v>445</v>
      </c>
      <c r="L25" s="217"/>
      <c r="M25" s="217" t="s">
        <v>439</v>
      </c>
      <c r="N25" s="217" t="s">
        <v>440</v>
      </c>
      <c r="O25" s="217"/>
      <c r="P25" s="217" t="s">
        <v>430</v>
      </c>
      <c r="Q25" s="217" t="s">
        <v>431</v>
      </c>
      <c r="R25" s="217" t="s">
        <v>432</v>
      </c>
      <c r="S25" s="217" t="s">
        <v>433</v>
      </c>
      <c r="T25" s="217" t="s">
        <v>434</v>
      </c>
      <c r="U25" s="217" t="s">
        <v>435</v>
      </c>
      <c r="V25" s="217" t="s">
        <v>436</v>
      </c>
      <c r="W25" s="217" t="s">
        <v>437</v>
      </c>
      <c r="X25" s="217" t="s">
        <v>438</v>
      </c>
    </row>
    <row r="26" spans="1:24" x14ac:dyDescent="0.3">
      <c r="A26" s="216"/>
      <c r="B26" s="216"/>
      <c r="C26" s="217" t="s">
        <v>447</v>
      </c>
      <c r="D26" s="217" t="s">
        <v>449</v>
      </c>
      <c r="E26" s="217" t="s">
        <v>0</v>
      </c>
      <c r="F26" s="221" t="s">
        <v>453</v>
      </c>
      <c r="G26" s="217" t="s">
        <v>453</v>
      </c>
      <c r="H26" s="217" t="s">
        <v>87</v>
      </c>
      <c r="I26" s="217" t="s">
        <v>416</v>
      </c>
      <c r="J26" s="221" t="s">
        <v>87</v>
      </c>
      <c r="K26" s="217" t="s">
        <v>90</v>
      </c>
      <c r="L26" s="217"/>
      <c r="M26" s="217" t="s">
        <v>451</v>
      </c>
      <c r="N26" s="217" t="s">
        <v>452</v>
      </c>
      <c r="O26" s="217"/>
      <c r="P26" s="217" t="s">
        <v>446</v>
      </c>
      <c r="Q26" s="217" t="s">
        <v>447</v>
      </c>
      <c r="R26" s="217"/>
      <c r="S26" s="217" t="s">
        <v>448</v>
      </c>
      <c r="T26" s="217"/>
      <c r="U26" s="217" t="s">
        <v>449</v>
      </c>
      <c r="V26" s="217"/>
      <c r="W26" s="217" t="s">
        <v>450</v>
      </c>
      <c r="X26" s="217" t="s">
        <v>446</v>
      </c>
    </row>
    <row r="27" spans="1:24" x14ac:dyDescent="0.3">
      <c r="A27" t="s">
        <v>476</v>
      </c>
      <c r="B27" t="s">
        <v>477</v>
      </c>
      <c r="C27" s="119">
        <v>116130</v>
      </c>
      <c r="D27" s="119">
        <v>137956</v>
      </c>
      <c r="E27" s="137">
        <v>23300</v>
      </c>
      <c r="F27" s="38">
        <v>0.5</v>
      </c>
      <c r="G27" s="55">
        <v>0.38</v>
      </c>
      <c r="H27" s="55">
        <v>0.22</v>
      </c>
      <c r="I27" s="55">
        <v>0.22</v>
      </c>
      <c r="J27" s="213">
        <f t="shared" ref="J27:J34" si="18">IF(OR(D27="",D27=0,E27="",E27=0),"NM",D27/E27)</f>
        <v>5.9208583690987124</v>
      </c>
      <c r="K27" s="214">
        <f t="shared" ref="K27:K34" si="19">IF(OR(G27&lt;=0,E27=0,D27=0),"NM",IF(D27/(E27*G27)&gt;100,"NM",D27/(E27*G27)))</f>
        <v>15.581206234470296</v>
      </c>
      <c r="M27" s="61">
        <v>478</v>
      </c>
      <c r="N27" s="61">
        <v>3</v>
      </c>
      <c r="O27"/>
      <c r="P27" s="51">
        <v>0.5</v>
      </c>
      <c r="Q27" s="137">
        <v>14000</v>
      </c>
      <c r="R27" s="39">
        <f t="shared" ref="R27:R34" si="20">IFERROR(Q27/(Q27+S27+U27),"")</f>
        <v>0.11070694290684802</v>
      </c>
      <c r="S27" s="137">
        <v>0</v>
      </c>
      <c r="T27" s="85">
        <f t="shared" ref="T27:T34" si="21">IFERROR(S27/(Q27+S27+U27),"")</f>
        <v>0</v>
      </c>
      <c r="U27" s="137">
        <v>112460</v>
      </c>
      <c r="V27" s="39">
        <f t="shared" ref="V27:V34" si="22">IFERROR(U27/(Q27+S27+U27),"")</f>
        <v>0.88929305709315198</v>
      </c>
      <c r="W27" s="220">
        <v>0.25</v>
      </c>
      <c r="X27" s="69">
        <f t="shared" ref="X27:X34" si="23">IFERROR(P27/(1+(Q27/U27)*(1-W27)+S27/U27),"")</f>
        <v>0.45730318802862718</v>
      </c>
    </row>
    <row r="28" spans="1:24" x14ac:dyDescent="0.3">
      <c r="A28" t="s">
        <v>478</v>
      </c>
      <c r="B28" t="s">
        <v>479</v>
      </c>
      <c r="C28" s="119">
        <v>21828</v>
      </c>
      <c r="D28" s="119">
        <v>24074</v>
      </c>
      <c r="E28" s="137">
        <v>10010</v>
      </c>
      <c r="F28" s="38">
        <v>0.45</v>
      </c>
      <c r="G28" s="55">
        <v>0.44</v>
      </c>
      <c r="H28" s="55">
        <v>0.19</v>
      </c>
      <c r="I28" s="55">
        <v>0.08</v>
      </c>
      <c r="J28" s="213">
        <f t="shared" si="18"/>
        <v>2.4049950049950048</v>
      </c>
      <c r="K28" s="214">
        <f t="shared" si="19"/>
        <v>5.4658977386250118</v>
      </c>
      <c r="M28" s="61">
        <v>307</v>
      </c>
      <c r="N28" s="61">
        <v>3.5</v>
      </c>
      <c r="O28"/>
      <c r="P28" s="51">
        <v>0.97</v>
      </c>
      <c r="Q28" s="137">
        <v>8100</v>
      </c>
      <c r="R28" s="39">
        <f t="shared" si="20"/>
        <v>0.29454545454545455</v>
      </c>
      <c r="S28" s="137">
        <v>0</v>
      </c>
      <c r="T28" s="85">
        <f t="shared" si="21"/>
        <v>0</v>
      </c>
      <c r="U28" s="137">
        <v>19400</v>
      </c>
      <c r="V28" s="39">
        <f t="shared" si="22"/>
        <v>0.70545454545454545</v>
      </c>
      <c r="W28" s="220">
        <v>0.28000000000000003</v>
      </c>
      <c r="X28" s="69">
        <f t="shared" si="23"/>
        <v>0.74579898541534562</v>
      </c>
    </row>
    <row r="29" spans="1:24" x14ac:dyDescent="0.3">
      <c r="A29" t="s">
        <v>480</v>
      </c>
      <c r="B29" t="s">
        <v>481</v>
      </c>
      <c r="C29" s="119">
        <v>17080</v>
      </c>
      <c r="D29" s="119">
        <v>20380</v>
      </c>
      <c r="E29" s="137">
        <v>8860</v>
      </c>
      <c r="F29" s="38">
        <v>0.55000000000000004</v>
      </c>
      <c r="G29" s="55">
        <v>0.4</v>
      </c>
      <c r="H29" s="55">
        <v>0.18</v>
      </c>
      <c r="I29" s="55">
        <v>0.12</v>
      </c>
      <c r="J29" s="213">
        <f t="shared" si="18"/>
        <v>2.3002257336343117</v>
      </c>
      <c r="K29" s="214">
        <f t="shared" si="19"/>
        <v>5.7505643340857784</v>
      </c>
      <c r="M29" s="61">
        <v>83</v>
      </c>
      <c r="N29" s="61">
        <v>7</v>
      </c>
      <c r="O29"/>
      <c r="P29" s="51">
        <v>0.42</v>
      </c>
      <c r="Q29" s="137">
        <v>4400</v>
      </c>
      <c r="R29" s="39">
        <f t="shared" si="20"/>
        <v>0.19634091923248551</v>
      </c>
      <c r="S29" s="137">
        <v>0</v>
      </c>
      <c r="T29" s="85">
        <f t="shared" si="21"/>
        <v>0</v>
      </c>
      <c r="U29" s="137">
        <v>18010</v>
      </c>
      <c r="V29" s="39">
        <f t="shared" si="22"/>
        <v>0.80365908076751447</v>
      </c>
      <c r="W29" s="220">
        <v>0.28000000000000003</v>
      </c>
      <c r="X29" s="69">
        <f t="shared" si="23"/>
        <v>0.3571725375389555</v>
      </c>
    </row>
    <row r="30" spans="1:24" x14ac:dyDescent="0.3">
      <c r="A30" t="s">
        <v>482</v>
      </c>
      <c r="B30" t="s">
        <v>483</v>
      </c>
      <c r="C30" s="119">
        <v>15293</v>
      </c>
      <c r="D30" s="119">
        <v>36374</v>
      </c>
      <c r="E30" s="137">
        <v>4000</v>
      </c>
      <c r="F30" s="38">
        <v>0.3</v>
      </c>
      <c r="G30" s="55">
        <v>0.27</v>
      </c>
      <c r="H30" s="55">
        <v>0.25</v>
      </c>
      <c r="I30" s="55">
        <v>0.05</v>
      </c>
      <c r="J30" s="213">
        <f t="shared" si="18"/>
        <v>9.0935000000000006</v>
      </c>
      <c r="K30" s="214">
        <f t="shared" si="19"/>
        <v>33.67962962962963</v>
      </c>
      <c r="M30" s="61">
        <v>198</v>
      </c>
      <c r="N30" s="61">
        <v>2</v>
      </c>
      <c r="O30"/>
      <c r="P30" s="51">
        <v>1.1000000000000001</v>
      </c>
      <c r="Q30" s="137">
        <v>23000</v>
      </c>
      <c r="R30" s="39">
        <f t="shared" si="20"/>
        <v>0.71875</v>
      </c>
      <c r="S30" s="137">
        <v>0</v>
      </c>
      <c r="T30" s="85">
        <f t="shared" si="21"/>
        <v>0</v>
      </c>
      <c r="U30" s="137">
        <v>9000</v>
      </c>
      <c r="V30" s="39">
        <f t="shared" si="22"/>
        <v>0.28125</v>
      </c>
      <c r="W30" s="220">
        <v>0.25</v>
      </c>
      <c r="X30" s="69">
        <f t="shared" si="23"/>
        <v>0.37714285714285717</v>
      </c>
    </row>
    <row r="31" spans="1:24" x14ac:dyDescent="0.3">
      <c r="A31" t="s">
        <v>484</v>
      </c>
      <c r="B31" t="s">
        <v>485</v>
      </c>
      <c r="C31" s="119">
        <v>3630</v>
      </c>
      <c r="D31" s="119">
        <v>5130</v>
      </c>
      <c r="E31" s="137">
        <v>4400</v>
      </c>
      <c r="F31" s="38">
        <v>0.88</v>
      </c>
      <c r="G31" s="55">
        <v>0.43</v>
      </c>
      <c r="H31" s="55">
        <v>0.2</v>
      </c>
      <c r="I31" s="55">
        <v>0.14000000000000001</v>
      </c>
      <c r="J31" s="213">
        <f t="shared" si="18"/>
        <v>1.165909090909091</v>
      </c>
      <c r="K31" s="214">
        <f t="shared" si="19"/>
        <v>2.7114164904862581</v>
      </c>
      <c r="M31" s="51">
        <v>150.5</v>
      </c>
      <c r="N31" s="51">
        <v>2.2999999999999998</v>
      </c>
      <c r="O31"/>
      <c r="P31" s="51">
        <v>1.61</v>
      </c>
      <c r="Q31" s="137">
        <v>5150</v>
      </c>
      <c r="R31" s="39">
        <f t="shared" si="20"/>
        <v>0.56593406593406592</v>
      </c>
      <c r="S31" s="137">
        <v>0</v>
      </c>
      <c r="T31" s="85">
        <f t="shared" si="21"/>
        <v>0</v>
      </c>
      <c r="U31" s="137">
        <v>3950</v>
      </c>
      <c r="V31" s="39">
        <f t="shared" si="22"/>
        <v>0.43406593406593408</v>
      </c>
      <c r="W31" s="220">
        <v>0.2</v>
      </c>
      <c r="X31" s="69">
        <f t="shared" si="23"/>
        <v>0.78804213135068146</v>
      </c>
    </row>
    <row r="32" spans="1:24" x14ac:dyDescent="0.3">
      <c r="A32" t="s">
        <v>486</v>
      </c>
      <c r="B32" t="s">
        <v>487</v>
      </c>
      <c r="C32" s="119">
        <v>7612</v>
      </c>
      <c r="D32" s="119">
        <v>9717</v>
      </c>
      <c r="E32" s="137">
        <v>5500</v>
      </c>
      <c r="F32" s="38">
        <v>0.55000000000000004</v>
      </c>
      <c r="G32" s="55">
        <v>0.34</v>
      </c>
      <c r="H32" s="55">
        <v>0.16</v>
      </c>
      <c r="I32" s="55">
        <v>0.08</v>
      </c>
      <c r="J32" s="213">
        <f t="shared" si="18"/>
        <v>1.7667272727272727</v>
      </c>
      <c r="K32" s="214">
        <f t="shared" si="19"/>
        <v>5.1962566844919778</v>
      </c>
      <c r="M32" s="61">
        <v>51.2</v>
      </c>
      <c r="N32" s="61">
        <v>12</v>
      </c>
      <c r="O32"/>
      <c r="P32" s="51">
        <v>0.65</v>
      </c>
      <c r="Q32" s="137">
        <v>3500</v>
      </c>
      <c r="R32" s="39">
        <f t="shared" si="20"/>
        <v>0.24475524475524477</v>
      </c>
      <c r="S32" s="137">
        <v>0</v>
      </c>
      <c r="T32" s="85">
        <f t="shared" si="21"/>
        <v>0</v>
      </c>
      <c r="U32" s="137">
        <v>10800</v>
      </c>
      <c r="V32" s="39">
        <f t="shared" si="22"/>
        <v>0.75524475524475521</v>
      </c>
      <c r="W32" s="220">
        <v>0.15</v>
      </c>
      <c r="X32" s="69">
        <f t="shared" si="23"/>
        <v>0.50961887477313972</v>
      </c>
    </row>
    <row r="33" spans="1:24" x14ac:dyDescent="0.3">
      <c r="A33" t="s">
        <v>488</v>
      </c>
      <c r="B33" t="s">
        <v>489</v>
      </c>
      <c r="C33" s="119">
        <v>9815</v>
      </c>
      <c r="D33" s="119">
        <v>11440</v>
      </c>
      <c r="E33" s="137">
        <v>3080</v>
      </c>
      <c r="F33" s="38">
        <v>0.6</v>
      </c>
      <c r="G33" s="55">
        <v>0.44</v>
      </c>
      <c r="H33" s="55">
        <v>0.21</v>
      </c>
      <c r="I33" s="55">
        <v>0.11</v>
      </c>
      <c r="J33" s="213">
        <f t="shared" si="18"/>
        <v>3.7142857142857144</v>
      </c>
      <c r="K33" s="214">
        <f t="shared" si="19"/>
        <v>8.4415584415584419</v>
      </c>
      <c r="M33" s="61">
        <v>46</v>
      </c>
      <c r="N33" s="61">
        <v>3</v>
      </c>
      <c r="O33"/>
      <c r="P33" s="51">
        <v>0.5</v>
      </c>
      <c r="Q33" s="137">
        <v>1200</v>
      </c>
      <c r="R33" s="39">
        <f t="shared" si="20"/>
        <v>0.11650485436893204</v>
      </c>
      <c r="S33" s="137">
        <v>0</v>
      </c>
      <c r="T33" s="85">
        <f t="shared" si="21"/>
        <v>0</v>
      </c>
      <c r="U33" s="137">
        <v>9100</v>
      </c>
      <c r="V33" s="39">
        <f t="shared" si="22"/>
        <v>0.88349514563106801</v>
      </c>
      <c r="W33" s="220">
        <v>0.3</v>
      </c>
      <c r="X33" s="69">
        <f t="shared" si="23"/>
        <v>0.45774647887323949</v>
      </c>
    </row>
    <row r="34" spans="1:24" x14ac:dyDescent="0.3">
      <c r="A34" t="s">
        <v>490</v>
      </c>
      <c r="B34" t="s">
        <v>491</v>
      </c>
      <c r="C34" s="119">
        <v>3255</v>
      </c>
      <c r="D34" s="119">
        <v>4037</v>
      </c>
      <c r="E34" s="137">
        <v>1500</v>
      </c>
      <c r="F34" s="38">
        <v>0.52</v>
      </c>
      <c r="G34" s="55">
        <v>0.3</v>
      </c>
      <c r="H34" s="55">
        <v>0.22</v>
      </c>
      <c r="I34" s="55">
        <v>0.1</v>
      </c>
      <c r="J34" s="213">
        <f t="shared" si="18"/>
        <v>2.6913333333333331</v>
      </c>
      <c r="K34" s="214">
        <f t="shared" si="19"/>
        <v>8.9711111111111119</v>
      </c>
      <c r="M34" s="61">
        <v>94.5</v>
      </c>
      <c r="N34" s="61">
        <v>1.5</v>
      </c>
      <c r="O34"/>
      <c r="P34" s="51">
        <v>1</v>
      </c>
      <c r="Q34" s="137">
        <v>1800</v>
      </c>
      <c r="R34" s="39">
        <f t="shared" si="20"/>
        <v>0.36</v>
      </c>
      <c r="S34" s="137">
        <v>0</v>
      </c>
      <c r="T34" s="85">
        <f t="shared" si="21"/>
        <v>0</v>
      </c>
      <c r="U34" s="137">
        <v>3200</v>
      </c>
      <c r="V34" s="39">
        <f t="shared" si="22"/>
        <v>0.64</v>
      </c>
      <c r="W34" s="220">
        <v>0.22</v>
      </c>
      <c r="X34" s="69">
        <f t="shared" si="23"/>
        <v>0.69504778453518679</v>
      </c>
    </row>
    <row r="35" spans="1:24" x14ac:dyDescent="0.3">
      <c r="F35"/>
      <c r="J35"/>
      <c r="M35" s="63"/>
      <c r="N35" s="63"/>
      <c r="O35"/>
    </row>
    <row r="36" spans="1:24" x14ac:dyDescent="0.3">
      <c r="A36" s="1" t="s">
        <v>470</v>
      </c>
      <c r="C36" s="222">
        <f>IFERROR(IF(COUNTA(C27:C34)=0,"",MIN(C27:C34)),"")</f>
        <v>3255</v>
      </c>
      <c r="D36" s="222">
        <f>IFERROR(IF(COUNTA(D27:D34)=0,"",MIN(D27:D34)),"")</f>
        <v>4037</v>
      </c>
      <c r="E36" s="117">
        <f>IFERROR(MIN(E27:E34),"")</f>
        <v>1500</v>
      </c>
      <c r="F36" s="223">
        <f>MIN(F27:F34)</f>
        <v>0.3</v>
      </c>
      <c r="G36" s="64">
        <f>IFERROR(MIN(G27:G34),"")</f>
        <v>0.27</v>
      </c>
      <c r="H36" s="64">
        <f>IFERROR(MIN(H27:H34),"")</f>
        <v>0.16</v>
      </c>
      <c r="I36" s="64">
        <f>IFERROR(IF(COUNTA(I27:I34)=0,"",MIN(I27:I34)),"")</f>
        <v>0.05</v>
      </c>
      <c r="J36" s="163">
        <f>IFERROR(IF(COUNTA(D27:D34)=0,"",_xlfn.AGGREGATE(5,6,J27:J34)),"")</f>
        <v>1.165909090909091</v>
      </c>
      <c r="K36" s="214">
        <f>IFERROR(IF(COUNTA(G27:G34)=0,"",_xlfn.AGGREGATE(5,6,K27:K34)),"")</f>
        <v>2.7114164904862581</v>
      </c>
      <c r="M36" s="63">
        <f>IFERROR(IF(COUNTA(M27:M34)=0,"",MIN(M27:M34)),"")</f>
        <v>46</v>
      </c>
      <c r="N36" s="63">
        <f>IFERROR(IF(COUNTA(N27:N34)=0,"",MIN(N27:N34)),"")</f>
        <v>1.5</v>
      </c>
      <c r="O36"/>
      <c r="P36" s="63">
        <f>IFERROR(MIN(P27:P34),"")</f>
        <v>0.42</v>
      </c>
      <c r="Q36" s="117">
        <f>MIN(Q27:Q34)</f>
        <v>1200</v>
      </c>
      <c r="R36" s="64">
        <f>IFERROR(MIN(R27:R34),"")</f>
        <v>0.11070694290684802</v>
      </c>
      <c r="S36" s="117">
        <f>MIN(S27:S34)</f>
        <v>0</v>
      </c>
      <c r="T36" s="64">
        <f>IFERROR(MIN(T27:T34),"")</f>
        <v>0</v>
      </c>
      <c r="U36" s="117">
        <f>MIN(U27:U34)</f>
        <v>3200</v>
      </c>
      <c r="V36" s="64">
        <f>IFERROR(MIN(V27:V34),"")</f>
        <v>0.28125</v>
      </c>
      <c r="W36" s="64">
        <f>IFERROR(MIN(W27:W34),"")</f>
        <v>0.15</v>
      </c>
      <c r="X36" s="63">
        <f>IFERROR(MIN(X27:X34),"")</f>
        <v>0.3571725375389555</v>
      </c>
    </row>
    <row r="37" spans="1:24" x14ac:dyDescent="0.3">
      <c r="A37" s="1" t="s">
        <v>471</v>
      </c>
      <c r="C37" s="222">
        <f>IFERROR(IF(COUNTA(C27:C34)=0,"",QUARTILE(C27:C34,1)),"")</f>
        <v>6616.5</v>
      </c>
      <c r="D37" s="222">
        <f>IFERROR(IF(COUNTA(D27:D34)=0,"",QUARTILE(D27:D34,1)),"")</f>
        <v>8570.25</v>
      </c>
      <c r="E37" s="117">
        <f>IFERROR(QUARTILE(E27:E34,1),"")</f>
        <v>3770</v>
      </c>
      <c r="F37" s="223">
        <f>PERCENTILE(F27:F34,0.25)</f>
        <v>0.48749999999999999</v>
      </c>
      <c r="G37" s="64">
        <f>IFERROR(QUARTILE(G27:G34,1),"")</f>
        <v>0.33</v>
      </c>
      <c r="H37" s="64">
        <f>IFERROR(QUARTILE(H27:H34,1),"")</f>
        <v>0.1875</v>
      </c>
      <c r="I37" s="64">
        <f>IFERROR(IF(COUNTA(I27:I34)=0,"",QUARTILE(I27:I34,1)),"")</f>
        <v>0.08</v>
      </c>
      <c r="J37" s="163">
        <f>QUARTILE(J27:J34,1)</f>
        <v>2.1668511184075521</v>
      </c>
      <c r="K37" s="214">
        <f>QUARTILE(K27:K34,1)</f>
        <v>5.3984874750917538</v>
      </c>
      <c r="M37" s="63">
        <f t="shared" ref="M37:N37" si="24">QUARTILE(M27:M34,1)</f>
        <v>75.05</v>
      </c>
      <c r="N37" s="63">
        <f t="shared" si="24"/>
        <v>2.2249999999999996</v>
      </c>
      <c r="O37"/>
      <c r="P37" s="63">
        <f>IFERROR(QUARTILE(P27:P34,1),"")</f>
        <v>0.5</v>
      </c>
      <c r="Q37" s="117">
        <f>PERCENTILE(Q27:Q34,0.25)</f>
        <v>3075</v>
      </c>
      <c r="R37" s="64">
        <f>IFERROR(QUARTILE(R27:R34,1),"")</f>
        <v>0.17638190301659715</v>
      </c>
      <c r="S37" s="117">
        <f>PERCENTILE(S27:S34,0.25)</f>
        <v>0</v>
      </c>
      <c r="T37" s="64">
        <f>IFERROR(QUARTILE(T27:T34,1),"")</f>
        <v>0</v>
      </c>
      <c r="U37" s="117">
        <f>PERCENTILE(U27:U34,0.25)</f>
        <v>7737.5</v>
      </c>
      <c r="V37" s="64">
        <f>IFERROR(QUARTILE(V27:V34,1),"")</f>
        <v>0.58851648351648356</v>
      </c>
      <c r="W37" s="64">
        <f>IFERROR(QUARTILE(W27:W34,1),"")</f>
        <v>0.215</v>
      </c>
      <c r="X37" s="63">
        <f>IFERROR(QUARTILE(X27:X34,1),"")</f>
        <v>0.43726310530718471</v>
      </c>
    </row>
    <row r="38" spans="1:24" x14ac:dyDescent="0.3">
      <c r="A38" s="1" t="s">
        <v>472</v>
      </c>
      <c r="C38" s="222">
        <f>IFERROR(IF(COUNTA(C27:C34)=0,"",MEDIAN(C27:C34)),"")</f>
        <v>12554</v>
      </c>
      <c r="D38" s="222">
        <f>IFERROR(IF(COUNTA(D27:D34)=0,"",MEDIAN(D27:D34)),"")</f>
        <v>15910</v>
      </c>
      <c r="E38" s="117">
        <f>IFERROR(MEDIAN(E27:E34),"")</f>
        <v>4950</v>
      </c>
      <c r="F38" s="223">
        <f>MEDIAN(F27:F34)</f>
        <v>0.53500000000000003</v>
      </c>
      <c r="G38" s="64">
        <f>IFERROR(MEDIAN(G27:G34),"")</f>
        <v>0.39</v>
      </c>
      <c r="H38" s="64">
        <f>IFERROR(MEDIAN(H27:H34),"")</f>
        <v>0.20500000000000002</v>
      </c>
      <c r="I38" s="64">
        <f>IFERROR(IF(COUNTA(I27:I34)=0,"",MEDIAN(I27:I34)),"")</f>
        <v>0.10500000000000001</v>
      </c>
      <c r="J38" s="163">
        <f>QUARTILE(J27:J34,2)</f>
        <v>2.5481641691641688</v>
      </c>
      <c r="K38" s="214">
        <f>QUARTILE(K27:K34,2)</f>
        <v>7.0960613878221102</v>
      </c>
      <c r="M38" s="63">
        <f t="shared" ref="M38:N38" si="25">QUARTILE(M27:M34,2)</f>
        <v>122.5</v>
      </c>
      <c r="N38" s="63">
        <f t="shared" si="25"/>
        <v>3</v>
      </c>
      <c r="O38"/>
      <c r="P38" s="63">
        <f>IFERROR(MEDIAN(P27:P34),"")</f>
        <v>0.81</v>
      </c>
      <c r="Q38" s="117">
        <f>MEDIAN(Q27:Q34)</f>
        <v>4775</v>
      </c>
      <c r="R38" s="64">
        <f>IFERROR(MEDIAN(R27:R34),"")</f>
        <v>0.26965034965034967</v>
      </c>
      <c r="S38" s="117">
        <f>MEDIAN(S27:S34)</f>
        <v>0</v>
      </c>
      <c r="T38" s="64">
        <f>IFERROR(MEDIAN(T27:T34),"")</f>
        <v>0</v>
      </c>
      <c r="U38" s="117">
        <f>MEDIAN(U27:U34)</f>
        <v>9950</v>
      </c>
      <c r="V38" s="64">
        <f>IFERROR(MEDIAN(V27:V34),"")</f>
        <v>0.73034965034965027</v>
      </c>
      <c r="W38" s="64">
        <f>IFERROR(MEDIAN(W27:W34),"")</f>
        <v>0.25</v>
      </c>
      <c r="X38" s="63">
        <f>IFERROR(MEDIAN(X27:X34),"")</f>
        <v>0.48368267682318961</v>
      </c>
    </row>
    <row r="39" spans="1:24" x14ac:dyDescent="0.3">
      <c r="A39" s="1" t="s">
        <v>473</v>
      </c>
      <c r="C39" s="222">
        <f>IFERROR(IF(COUNTA(C27:C34)=0,"",AVERAGE(C27:C34)),"")</f>
        <v>24330.375</v>
      </c>
      <c r="D39" s="222">
        <f>IFERROR(IF(COUNTA(D27:D34)=0,"",AVERAGE(D27:D34)),"")</f>
        <v>31138.5</v>
      </c>
      <c r="E39" s="117">
        <f>IFERROR(AVERAGE(E27:E34),"")</f>
        <v>7581.25</v>
      </c>
      <c r="F39" s="223">
        <f>AVERAGE(F27:F34)</f>
        <v>0.54375000000000007</v>
      </c>
      <c r="G39" s="64">
        <f>IFERROR(AVERAGE(G27:G34),"")</f>
        <v>0.375</v>
      </c>
      <c r="H39" s="64">
        <f>IFERROR(AVERAGE(H27:H34),"")</f>
        <v>0.20374999999999999</v>
      </c>
      <c r="I39" s="64">
        <f>IFERROR(IF(COUNTA(I27:I34)=0,"",AVERAGE(I27:I34)),"")</f>
        <v>0.11249999999999999</v>
      </c>
      <c r="J39" s="163">
        <f>IFERROR(IF(COUNTA(D27:D34)=0,"",_xlfn.AGGREGATE(1,6,J27:J34)),"")</f>
        <v>3.6322293148729301</v>
      </c>
      <c r="K39" s="214">
        <f>IFERROR(IF(COUNTA(G27:G34)=0,"",_xlfn.AGGREGATE(1,6,K27:K34)),"")</f>
        <v>10.724705083057314</v>
      </c>
      <c r="M39" s="63">
        <f t="shared" ref="M39:N39" si="26">IFERROR(IF(COUNTA(I27:I34)=0,"",_xlfn.AGGREGATE(1,6,M27:M34)),"")</f>
        <v>176.02500000000001</v>
      </c>
      <c r="N39" s="63">
        <f t="shared" si="26"/>
        <v>4.2874999999999996</v>
      </c>
      <c r="O39"/>
      <c r="P39" s="63">
        <f>IFERROR(AVERAGE(P27:P34),"")</f>
        <v>0.84375000000000011</v>
      </c>
      <c r="Q39" s="117">
        <f>AVERAGE(Q27:Q34)</f>
        <v>7643.75</v>
      </c>
      <c r="R39" s="64">
        <f>IFERROR(AVERAGE(R27:R34),"")</f>
        <v>0.32594218521787882</v>
      </c>
      <c r="S39" s="117">
        <f>AVERAGE(S27:S34)</f>
        <v>0</v>
      </c>
      <c r="T39" s="64">
        <f>IFERROR(AVERAGE(T27:T34),"")</f>
        <v>0</v>
      </c>
      <c r="U39" s="117">
        <f>AVERAGE(U27:U34)</f>
        <v>23240</v>
      </c>
      <c r="V39" s="64">
        <f>IFERROR(AVERAGE(V27:V34),"")</f>
        <v>0.67405781478212112</v>
      </c>
      <c r="W39" s="64">
        <f>IFERROR(AVERAGE(W27:W34),"")</f>
        <v>0.24124999999999999</v>
      </c>
      <c r="X39" s="63">
        <f>IFERROR(AVERAGE(X27:X34),"")</f>
        <v>0.54848410470725417</v>
      </c>
    </row>
    <row r="40" spans="1:24" x14ac:dyDescent="0.3">
      <c r="A40" s="1" t="s">
        <v>474</v>
      </c>
      <c r="C40" s="222">
        <f>IFERROR(IF(COUNTA(C27:C34)=0,"",QUARTILE(C27:C34,3)),"")</f>
        <v>18267</v>
      </c>
      <c r="D40" s="222">
        <f>IFERROR(IF(COUNTA(D27:D34)=0,"",QUARTILE(D27:D34,3)),"")</f>
        <v>27149</v>
      </c>
      <c r="E40" s="117">
        <f>IFERROR(QUARTILE(E27:E34,3),"")</f>
        <v>9147.5</v>
      </c>
      <c r="F40" s="223">
        <f>PERCENTILE(F27:F34,0.75)</f>
        <v>0.5625</v>
      </c>
      <c r="G40" s="64">
        <f>IFERROR(QUARTILE(G27:G34,3),"")</f>
        <v>0.4325</v>
      </c>
      <c r="H40" s="64">
        <f>IFERROR(QUARTILE(H27:H34,3),"")</f>
        <v>0.22</v>
      </c>
      <c r="I40" s="64">
        <f>IFERROR(IF(COUNTA(I27:I34)=0,"",QUARTILE(I27:I34,3)),"")</f>
        <v>0.125</v>
      </c>
      <c r="J40" s="163">
        <f>QUARTILE(J27:J34,3)</f>
        <v>4.2659288779889639</v>
      </c>
      <c r="K40" s="214">
        <f>QUARTILE(K27:K34,3)</f>
        <v>10.623634891950907</v>
      </c>
      <c r="M40" s="63">
        <f t="shared" ref="M40:N40" si="27">QUARTILE(M27:M34,3)</f>
        <v>225.25</v>
      </c>
      <c r="N40" s="63">
        <f t="shared" si="27"/>
        <v>4.375</v>
      </c>
      <c r="O40"/>
      <c r="P40" s="63">
        <f>IFERROR(QUARTILE(P27:P34,3),"")</f>
        <v>1.0249999999999999</v>
      </c>
      <c r="Q40" s="117">
        <f>PERCENTILE(Q27:Q34,0.75)</f>
        <v>9575</v>
      </c>
      <c r="R40" s="64">
        <f>IFERROR(QUARTILE(R27:R34,3),"")</f>
        <v>0.41148351648351644</v>
      </c>
      <c r="S40" s="117">
        <f>PERCENTILE(S27:S34,0.75)</f>
        <v>0</v>
      </c>
      <c r="T40" s="64">
        <f>IFERROR(QUARTILE(T27:T34,3),"")</f>
        <v>0</v>
      </c>
      <c r="U40" s="117">
        <f>PERCENTILE(U27:U34,0.75)</f>
        <v>18357.5</v>
      </c>
      <c r="V40" s="64">
        <f>IFERROR(QUARTILE(V27:V34,3),"")</f>
        <v>0.82361809698340283</v>
      </c>
      <c r="W40" s="64">
        <f>IFERROR(QUARTILE(W27:W34,3),"")</f>
        <v>0.28000000000000003</v>
      </c>
      <c r="X40" s="63">
        <f>IFERROR(QUARTILE(X27:X34,3),"")</f>
        <v>0.70773558475522647</v>
      </c>
    </row>
    <row r="41" spans="1:24" x14ac:dyDescent="0.3">
      <c r="A41" s="1" t="s">
        <v>475</v>
      </c>
      <c r="C41" s="222">
        <f>IFERROR(IF(COUNTA(C27:C34)=0,"",MAX(C27:C34)),"")</f>
        <v>116130</v>
      </c>
      <c r="D41" s="222">
        <f>IFERROR(IF(COUNTA(D27:D34)=0,"",MAX(D27:D34)),"")</f>
        <v>137956</v>
      </c>
      <c r="E41" s="117">
        <f>IFERROR(MAX(E27:E34),"")</f>
        <v>23300</v>
      </c>
      <c r="F41" s="223">
        <f>MAX(F27:F34)</f>
        <v>0.88</v>
      </c>
      <c r="G41" s="64">
        <f>IFERROR(MAX(G27:G34),"")</f>
        <v>0.44</v>
      </c>
      <c r="H41" s="64">
        <f>IFERROR(MAX(H27:H34),"")</f>
        <v>0.25</v>
      </c>
      <c r="I41" s="64">
        <f>IFERROR(IF(COUNTA(I27:I34)=0,"",MAX(I27:I34)),"")</f>
        <v>0.22</v>
      </c>
      <c r="J41" s="163">
        <f>IFERROR(IF(COUNTA(D27:D34)=0,"",_xlfn.AGGREGATE(4,6,J27:J34)),"")</f>
        <v>9.0935000000000006</v>
      </c>
      <c r="K41" s="214">
        <f>IFERROR(IF(COUNTA(G27:G34)=0,"",_xlfn.AGGREGATE(4,6,K27:K34)),"")</f>
        <v>33.67962962962963</v>
      </c>
      <c r="M41" s="63">
        <f>IFERROR(IF(COUNTA(M27:M34)=0,"",MAX(M27:M34)),"")</f>
        <v>478</v>
      </c>
      <c r="N41" s="63">
        <f>IFERROR(IF(COUNTA(N27:N34)=0,"",MAX(N27:N34)),"")</f>
        <v>12</v>
      </c>
      <c r="O41"/>
      <c r="P41" s="63">
        <f>IFERROR(MAX(P27:P34),"")</f>
        <v>1.61</v>
      </c>
      <c r="Q41" s="117">
        <f>MAX(Q27:Q34)</f>
        <v>23000</v>
      </c>
      <c r="R41" s="64">
        <f>IFERROR(MAX(R27:R34),"")</f>
        <v>0.71875</v>
      </c>
      <c r="S41" s="117">
        <f>MAX(S27:S34)</f>
        <v>0</v>
      </c>
      <c r="T41" s="64">
        <f>IFERROR(MAX(T27:T34),"")</f>
        <v>0</v>
      </c>
      <c r="U41" s="117">
        <f>MAX(U27:U34)</f>
        <v>112460</v>
      </c>
      <c r="V41" s="64">
        <f>IFERROR(MAX(V27:V34),"")</f>
        <v>0.88929305709315198</v>
      </c>
      <c r="W41" s="64">
        <f>IFERROR(MAX(W27:W34),"")</f>
        <v>0.3</v>
      </c>
      <c r="X41" s="63">
        <f>IFERROR(MAX(X27:X34),"")</f>
        <v>0.78804213135068146</v>
      </c>
    </row>
    <row r="42" spans="1:24" x14ac:dyDescent="0.3">
      <c r="F42"/>
      <c r="J42"/>
      <c r="O42"/>
    </row>
    <row r="43" spans="1:24" x14ac:dyDescent="0.3">
      <c r="A43" s="4" t="s">
        <v>574</v>
      </c>
      <c r="B43" s="4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 spans="1:24" x14ac:dyDescent="0.3">
      <c r="A44" s="216" t="s">
        <v>428</v>
      </c>
      <c r="B44" s="216" t="s">
        <v>429</v>
      </c>
      <c r="C44" s="217" t="s">
        <v>415</v>
      </c>
      <c r="D44" s="217" t="s">
        <v>565</v>
      </c>
      <c r="E44" s="217" t="s">
        <v>441</v>
      </c>
      <c r="F44" s="221" t="s">
        <v>442</v>
      </c>
      <c r="G44" s="217" t="s">
        <v>90</v>
      </c>
      <c r="H44" s="217" t="s">
        <v>443</v>
      </c>
      <c r="I44" s="217" t="s">
        <v>444</v>
      </c>
      <c r="J44" s="221" t="s">
        <v>445</v>
      </c>
      <c r="K44" s="217" t="s">
        <v>445</v>
      </c>
      <c r="L44" s="217"/>
      <c r="M44" s="217" t="s">
        <v>439</v>
      </c>
      <c r="N44" s="217" t="s">
        <v>440</v>
      </c>
      <c r="O44" s="217"/>
      <c r="P44" s="217" t="s">
        <v>430</v>
      </c>
      <c r="Q44" s="217" t="s">
        <v>431</v>
      </c>
      <c r="R44" s="217" t="s">
        <v>432</v>
      </c>
      <c r="S44" s="217" t="s">
        <v>433</v>
      </c>
      <c r="T44" s="217" t="s">
        <v>434</v>
      </c>
      <c r="U44" s="217" t="s">
        <v>435</v>
      </c>
      <c r="V44" s="217" t="s">
        <v>436</v>
      </c>
      <c r="W44" s="217" t="s">
        <v>437</v>
      </c>
      <c r="X44" s="217" t="s">
        <v>438</v>
      </c>
    </row>
    <row r="45" spans="1:24" x14ac:dyDescent="0.3">
      <c r="A45" s="216"/>
      <c r="B45" s="216"/>
      <c r="C45" s="217" t="s">
        <v>447</v>
      </c>
      <c r="D45" s="217" t="s">
        <v>449</v>
      </c>
      <c r="E45" s="217" t="s">
        <v>0</v>
      </c>
      <c r="F45" s="221" t="s">
        <v>453</v>
      </c>
      <c r="G45" s="217" t="s">
        <v>453</v>
      </c>
      <c r="H45" s="217" t="s">
        <v>87</v>
      </c>
      <c r="I45" s="217" t="s">
        <v>416</v>
      </c>
      <c r="J45" s="221" t="s">
        <v>87</v>
      </c>
      <c r="K45" s="217" t="s">
        <v>90</v>
      </c>
      <c r="L45" s="217"/>
      <c r="M45" s="217" t="s">
        <v>451</v>
      </c>
      <c r="N45" s="217" t="s">
        <v>452</v>
      </c>
      <c r="O45" s="217"/>
      <c r="P45" s="217" t="s">
        <v>446</v>
      </c>
      <c r="Q45" s="217" t="s">
        <v>447</v>
      </c>
      <c r="R45" s="217"/>
      <c r="S45" s="217" t="s">
        <v>448</v>
      </c>
      <c r="T45" s="217"/>
      <c r="U45" s="217" t="s">
        <v>449</v>
      </c>
      <c r="V45" s="217"/>
      <c r="W45" s="217" t="s">
        <v>450</v>
      </c>
      <c r="X45" s="217" t="s">
        <v>446</v>
      </c>
    </row>
    <row r="46" spans="1:24" x14ac:dyDescent="0.3">
      <c r="A46" t="s">
        <v>492</v>
      </c>
      <c r="B46" t="s">
        <v>493</v>
      </c>
      <c r="C46" s="119">
        <v>76000</v>
      </c>
      <c r="D46" s="119">
        <v>121230</v>
      </c>
      <c r="E46" s="137">
        <v>45430</v>
      </c>
      <c r="F46" s="38">
        <v>0.434</v>
      </c>
      <c r="G46" s="55">
        <v>0.39729999999999999</v>
      </c>
      <c r="H46" s="55">
        <v>0.155</v>
      </c>
      <c r="I46" s="55">
        <v>7.0000000000000007E-2</v>
      </c>
      <c r="J46" s="213">
        <f t="shared" ref="J46:J53" si="28">IF(OR(D46="",D46=0,E46="",E46=0),"NM",D46/E46)</f>
        <v>2.6685009905348887</v>
      </c>
      <c r="K46" s="214">
        <f t="shared" ref="K46:K53" si="29">IF(OR(G46&lt;=0,E46=0,D46=0),"NM",IF(D46/(E46*G46)&gt;100,"NM",D46/(E46*G46)))</f>
        <v>6.7165894551595491</v>
      </c>
      <c r="M46" s="61">
        <v>329</v>
      </c>
      <c r="N46" s="61">
        <v>11</v>
      </c>
      <c r="O46"/>
      <c r="P46" s="61">
        <v>0.28000000000000003</v>
      </c>
      <c r="Q46" s="137">
        <v>119500</v>
      </c>
      <c r="R46" s="39">
        <f t="shared" ref="R46:R53" si="30">IFERROR(Q46/(Q46+S46+U46),"")</f>
        <v>0.82698961937716264</v>
      </c>
      <c r="S46" s="137">
        <v>0</v>
      </c>
      <c r="T46" s="85">
        <f t="shared" ref="T46:T53" si="31">IFERROR(S46/(Q46+S46+U46),"")</f>
        <v>0</v>
      </c>
      <c r="U46" s="137">
        <v>25000</v>
      </c>
      <c r="V46" s="39">
        <f t="shared" ref="V46:V53" si="32">IFERROR(U46/(Q46+S46+U46),"")</f>
        <v>0.17301038062283736</v>
      </c>
      <c r="W46" s="220">
        <v>0.28000000000000003</v>
      </c>
      <c r="X46" s="69">
        <f t="shared" ref="X46:X53" si="33">IFERROR(P46/(1+(Q46/U46)*(1-W46)+S46/U46),"")</f>
        <v>6.3040345821325658E-2</v>
      </c>
    </row>
    <row r="47" spans="1:24" x14ac:dyDescent="0.3">
      <c r="A47" t="s">
        <v>494</v>
      </c>
      <c r="B47" t="s">
        <v>495</v>
      </c>
      <c r="C47" s="119">
        <v>224000</v>
      </c>
      <c r="D47" s="119">
        <v>186000</v>
      </c>
      <c r="E47" s="137">
        <v>144000</v>
      </c>
      <c r="F47" s="38">
        <v>0.28399999999999997</v>
      </c>
      <c r="G47" s="55">
        <v>0.35</v>
      </c>
      <c r="H47" s="55">
        <v>0.16</v>
      </c>
      <c r="I47" s="55">
        <v>0.03</v>
      </c>
      <c r="J47" s="213">
        <f t="shared" si="28"/>
        <v>1.2916666666666667</v>
      </c>
      <c r="K47" s="214">
        <f t="shared" si="29"/>
        <v>3.6904761904761907</v>
      </c>
      <c r="M47" s="61">
        <v>1009</v>
      </c>
      <c r="N47" s="61">
        <v>6.7</v>
      </c>
      <c r="O47"/>
      <c r="P47" s="61">
        <v>0.23</v>
      </c>
      <c r="Q47" s="137">
        <v>0</v>
      </c>
      <c r="R47" s="39">
        <f t="shared" si="30"/>
        <v>0</v>
      </c>
      <c r="S47" s="137">
        <v>0</v>
      </c>
      <c r="T47" s="85">
        <f t="shared" si="31"/>
        <v>0</v>
      </c>
      <c r="U47" s="137">
        <v>82000</v>
      </c>
      <c r="V47" s="39">
        <f t="shared" si="32"/>
        <v>1</v>
      </c>
      <c r="W47" s="220">
        <v>0.3</v>
      </c>
      <c r="X47" s="69">
        <f t="shared" si="33"/>
        <v>0.23</v>
      </c>
    </row>
    <row r="48" spans="1:24" x14ac:dyDescent="0.3">
      <c r="A48" t="s">
        <v>496</v>
      </c>
      <c r="B48" t="s">
        <v>497</v>
      </c>
      <c r="C48" s="119">
        <v>202950</v>
      </c>
      <c r="D48" s="119">
        <v>321560</v>
      </c>
      <c r="E48" s="137">
        <v>90530</v>
      </c>
      <c r="F48" s="38">
        <v>0.63800000000000001</v>
      </c>
      <c r="G48" s="55">
        <v>0.38</v>
      </c>
      <c r="H48" s="55">
        <v>0.13</v>
      </c>
      <c r="I48" s="55">
        <v>0.1</v>
      </c>
      <c r="J48" s="213">
        <f t="shared" si="28"/>
        <v>3.551971722081078</v>
      </c>
      <c r="K48" s="214">
        <f t="shared" si="29"/>
        <v>9.3472940054765203</v>
      </c>
      <c r="M48" s="61">
        <v>142.4</v>
      </c>
      <c r="N48" s="61">
        <v>48</v>
      </c>
      <c r="O48"/>
      <c r="P48" s="61">
        <v>0.32</v>
      </c>
      <c r="Q48" s="137">
        <v>86000</v>
      </c>
      <c r="R48" s="39">
        <f t="shared" si="30"/>
        <v>0.29122925838130714</v>
      </c>
      <c r="S48" s="137">
        <v>0</v>
      </c>
      <c r="T48" s="85">
        <f t="shared" si="31"/>
        <v>0</v>
      </c>
      <c r="U48" s="137">
        <v>209300</v>
      </c>
      <c r="V48" s="39">
        <f t="shared" si="32"/>
        <v>0.7087707416186928</v>
      </c>
      <c r="W48" s="220">
        <v>0.21</v>
      </c>
      <c r="X48" s="69">
        <f t="shared" si="33"/>
        <v>0.24158130139950945</v>
      </c>
    </row>
    <row r="49" spans="1:24" x14ac:dyDescent="0.3">
      <c r="A49" t="s">
        <v>498</v>
      </c>
      <c r="B49" t="s">
        <v>499</v>
      </c>
      <c r="C49" s="119">
        <v>80000</v>
      </c>
      <c r="D49" s="119">
        <v>110000</v>
      </c>
      <c r="E49" s="137">
        <v>43000</v>
      </c>
      <c r="F49" s="38">
        <v>0.55000000000000004</v>
      </c>
      <c r="G49" s="55">
        <v>0.28499999999999998</v>
      </c>
      <c r="H49" s="55">
        <v>0.22</v>
      </c>
      <c r="I49" s="55">
        <v>0.02</v>
      </c>
      <c r="J49" s="213">
        <f t="shared" si="28"/>
        <v>2.558139534883721</v>
      </c>
      <c r="K49" s="214">
        <f t="shared" si="29"/>
        <v>8.975928192574461</v>
      </c>
      <c r="M49" s="61">
        <v>335</v>
      </c>
      <c r="N49" s="61">
        <v>5.5</v>
      </c>
      <c r="O49"/>
      <c r="P49" s="61">
        <v>0.5</v>
      </c>
      <c r="Q49" s="137">
        <v>97310</v>
      </c>
      <c r="R49" s="39">
        <f t="shared" si="30"/>
        <v>0.80950004159387734</v>
      </c>
      <c r="S49" s="137">
        <v>0</v>
      </c>
      <c r="T49" s="85">
        <f t="shared" si="31"/>
        <v>0</v>
      </c>
      <c r="U49" s="137">
        <v>22900</v>
      </c>
      <c r="V49" s="39">
        <f t="shared" si="32"/>
        <v>0.19049995840612263</v>
      </c>
      <c r="W49" s="220">
        <v>0.25</v>
      </c>
      <c r="X49" s="69">
        <f t="shared" si="33"/>
        <v>0.1194169947592105</v>
      </c>
    </row>
    <row r="50" spans="1:24" x14ac:dyDescent="0.3">
      <c r="A50" t="s">
        <v>500</v>
      </c>
      <c r="B50" t="s">
        <v>501</v>
      </c>
      <c r="C50" s="119">
        <v>27710</v>
      </c>
      <c r="D50" s="119">
        <v>124500</v>
      </c>
      <c r="E50" s="137">
        <v>54636</v>
      </c>
      <c r="F50" s="38">
        <v>0.55300000000000005</v>
      </c>
      <c r="G50" s="55">
        <v>0.4</v>
      </c>
      <c r="H50" s="55">
        <v>0.18</v>
      </c>
      <c r="I50" s="55">
        <v>-0.01</v>
      </c>
      <c r="J50" s="213">
        <f t="shared" si="28"/>
        <v>2.2787173292334724</v>
      </c>
      <c r="K50" s="214">
        <f t="shared" si="29"/>
        <v>5.6967933230836811</v>
      </c>
      <c r="M50" s="61">
        <v>32</v>
      </c>
      <c r="N50" s="61">
        <v>114</v>
      </c>
      <c r="O50"/>
      <c r="P50" s="61">
        <v>1.05</v>
      </c>
      <c r="Q50" s="137">
        <v>97310</v>
      </c>
      <c r="R50" s="39">
        <f t="shared" si="30"/>
        <v>0.80950004159387734</v>
      </c>
      <c r="S50" s="137">
        <v>0</v>
      </c>
      <c r="T50" s="85">
        <f t="shared" si="31"/>
        <v>0</v>
      </c>
      <c r="U50" s="137">
        <v>22900</v>
      </c>
      <c r="V50" s="39">
        <f t="shared" si="32"/>
        <v>0.19049995840612263</v>
      </c>
      <c r="W50" s="220">
        <v>0.21</v>
      </c>
      <c r="X50" s="69">
        <f t="shared" si="33"/>
        <v>0.24099247405910706</v>
      </c>
    </row>
    <row r="51" spans="1:24" x14ac:dyDescent="0.3">
      <c r="A51" t="s">
        <v>502</v>
      </c>
      <c r="B51" t="s">
        <v>503</v>
      </c>
      <c r="C51" s="119">
        <v>28000</v>
      </c>
      <c r="D51" s="119">
        <v>63000</v>
      </c>
      <c r="E51" s="137">
        <v>49000</v>
      </c>
      <c r="F51" s="38">
        <v>0.44</v>
      </c>
      <c r="G51" s="55">
        <v>0.32</v>
      </c>
      <c r="H51" s="55">
        <v>0.15</v>
      </c>
      <c r="I51" s="55">
        <v>0.05</v>
      </c>
      <c r="J51" s="213">
        <f t="shared" si="28"/>
        <v>1.2857142857142858</v>
      </c>
      <c r="K51" s="214">
        <f t="shared" si="29"/>
        <v>4.0178571428571432</v>
      </c>
      <c r="M51" s="61">
        <v>44</v>
      </c>
      <c r="N51" s="61">
        <v>41</v>
      </c>
      <c r="O51"/>
      <c r="P51" s="61">
        <v>0.35</v>
      </c>
      <c r="Q51" s="137">
        <v>35000</v>
      </c>
      <c r="R51" s="39">
        <f t="shared" si="30"/>
        <v>0.55555555555555558</v>
      </c>
      <c r="S51" s="137">
        <v>0</v>
      </c>
      <c r="T51" s="85">
        <f t="shared" si="31"/>
        <v>0</v>
      </c>
      <c r="U51" s="137">
        <v>28000</v>
      </c>
      <c r="V51" s="39">
        <f t="shared" si="32"/>
        <v>0.44444444444444442</v>
      </c>
      <c r="W51" s="220">
        <v>0.3</v>
      </c>
      <c r="X51" s="69">
        <f t="shared" si="33"/>
        <v>0.18666666666666665</v>
      </c>
    </row>
    <row r="52" spans="1:24" x14ac:dyDescent="0.3">
      <c r="A52" t="s">
        <v>504</v>
      </c>
      <c r="B52" t="s">
        <v>505</v>
      </c>
      <c r="C52" s="119">
        <v>34460</v>
      </c>
      <c r="D52" s="119">
        <v>98000</v>
      </c>
      <c r="E52" s="137">
        <v>45500</v>
      </c>
      <c r="F52" s="38">
        <v>0.33</v>
      </c>
      <c r="G52" s="55">
        <v>0.35</v>
      </c>
      <c r="H52" s="55">
        <v>0.12</v>
      </c>
      <c r="I52" s="55">
        <v>0.03</v>
      </c>
      <c r="J52" s="213">
        <f t="shared" si="28"/>
        <v>2.1538461538461537</v>
      </c>
      <c r="K52" s="214">
        <f t="shared" si="29"/>
        <v>6.1538461538461542</v>
      </c>
      <c r="M52" s="61">
        <v>270</v>
      </c>
      <c r="N52" s="61">
        <v>5</v>
      </c>
      <c r="O52"/>
      <c r="P52" s="61">
        <v>0.34</v>
      </c>
      <c r="Q52" s="137">
        <v>63250</v>
      </c>
      <c r="R52" s="39">
        <f t="shared" si="30"/>
        <v>0.64732371302834923</v>
      </c>
      <c r="S52" s="137">
        <v>0</v>
      </c>
      <c r="T52" s="85">
        <f t="shared" si="31"/>
        <v>0</v>
      </c>
      <c r="U52" s="137">
        <v>34460</v>
      </c>
      <c r="V52" s="39">
        <f t="shared" si="32"/>
        <v>0.35267628697165082</v>
      </c>
      <c r="W52" s="220">
        <v>0.19</v>
      </c>
      <c r="X52" s="69">
        <f t="shared" si="33"/>
        <v>0.13672608454648888</v>
      </c>
    </row>
    <row r="53" spans="1:24" x14ac:dyDescent="0.3">
      <c r="A53" t="s">
        <v>506</v>
      </c>
      <c r="B53" t="s">
        <v>507</v>
      </c>
      <c r="C53" s="119">
        <v>56000</v>
      </c>
      <c r="D53" s="119">
        <v>74000</v>
      </c>
      <c r="E53" s="137">
        <v>42000</v>
      </c>
      <c r="F53" s="38">
        <v>0.45</v>
      </c>
      <c r="G53" s="55">
        <v>0.33</v>
      </c>
      <c r="H53" s="55">
        <v>0.18</v>
      </c>
      <c r="I53" s="55">
        <v>0.04</v>
      </c>
      <c r="J53" s="213">
        <f t="shared" si="28"/>
        <v>1.7619047619047619</v>
      </c>
      <c r="K53" s="214">
        <f t="shared" si="29"/>
        <v>5.3391053391053394</v>
      </c>
      <c r="M53" s="61">
        <v>55</v>
      </c>
      <c r="N53" s="61">
        <v>54</v>
      </c>
      <c r="O53"/>
      <c r="P53" s="61">
        <v>0.4</v>
      </c>
      <c r="Q53" s="137">
        <v>18000</v>
      </c>
      <c r="R53" s="39">
        <f t="shared" si="30"/>
        <v>0.24324324324324326</v>
      </c>
      <c r="S53" s="137">
        <v>0</v>
      </c>
      <c r="T53" s="85">
        <f t="shared" si="31"/>
        <v>0</v>
      </c>
      <c r="U53" s="137">
        <v>56000</v>
      </c>
      <c r="V53" s="39">
        <f t="shared" si="32"/>
        <v>0.7567567567567568</v>
      </c>
      <c r="W53" s="220">
        <v>0.3</v>
      </c>
      <c r="X53" s="69">
        <f t="shared" si="33"/>
        <v>0.32653061224489793</v>
      </c>
    </row>
    <row r="54" spans="1:24" x14ac:dyDescent="0.3">
      <c r="F54"/>
      <c r="J54"/>
      <c r="M54" s="63"/>
      <c r="N54" s="63"/>
      <c r="O54"/>
    </row>
    <row r="55" spans="1:24" x14ac:dyDescent="0.3">
      <c r="A55" s="1" t="s">
        <v>470</v>
      </c>
      <c r="C55" s="118">
        <f>IFERROR(MIN(C46:C53),"")</f>
        <v>27710</v>
      </c>
      <c r="D55" s="118">
        <f>IFERROR(MIN(D46:D53),"")</f>
        <v>63000</v>
      </c>
      <c r="E55" s="117">
        <f>IFERROR(MIN(E46:E53),"")</f>
        <v>42000</v>
      </c>
      <c r="F55" s="64">
        <f>MIN(F46:F53)</f>
        <v>0.28399999999999997</v>
      </c>
      <c r="G55" s="64">
        <f>IFERROR(MIN(G46:G53),"")</f>
        <v>0.28499999999999998</v>
      </c>
      <c r="H55" s="64">
        <f>IFERROR(MIN(H46:H53),"")</f>
        <v>0.12</v>
      </c>
      <c r="I55" s="64">
        <f>IFERROR(MIN(I46:I53),"")</f>
        <v>-0.01</v>
      </c>
      <c r="J55" s="163">
        <f>IFERROR(_xlfn.AGGREGATE(5,5,J46:J53),"NM")</f>
        <v>1.2857142857142858</v>
      </c>
      <c r="K55" s="163">
        <f>IFERROR(MIN(K46:K53),"")</f>
        <v>3.6904761904761907</v>
      </c>
      <c r="M55" s="63">
        <f>IFERROR(IF(COUNTA(M46:M53)=0,"",MIN(M46:M53)),"")</f>
        <v>32</v>
      </c>
      <c r="N55" s="63">
        <f>IFERROR(IF(COUNTA(N46:N53)=0,"",MIN(N46:N53)),"")</f>
        <v>5</v>
      </c>
      <c r="O55"/>
      <c r="P55" s="63">
        <f>IFERROR(MIN(P46:P53),"")</f>
        <v>0.23</v>
      </c>
      <c r="Q55" s="117">
        <f>MIN(Q46:Q53)</f>
        <v>0</v>
      </c>
      <c r="R55" s="64">
        <f>IFERROR(MIN(R46:R53),"")</f>
        <v>0</v>
      </c>
      <c r="S55" s="117">
        <f>MIN(S46:S53)</f>
        <v>0</v>
      </c>
      <c r="T55" s="64">
        <f>IFERROR(MIN(T46:T53),"")</f>
        <v>0</v>
      </c>
      <c r="U55" s="117">
        <f>MIN(U46:U53)</f>
        <v>22900</v>
      </c>
      <c r="V55" s="64">
        <f>IFERROR(MIN(V46:V53),"")</f>
        <v>0.17301038062283736</v>
      </c>
      <c r="W55" s="64">
        <f>IFERROR(MIN(W46:W53),"")</f>
        <v>0.19</v>
      </c>
      <c r="X55" s="63">
        <f>IFERROR(MIN(X46:X53),"")</f>
        <v>6.3040345821325658E-2</v>
      </c>
    </row>
    <row r="56" spans="1:24" x14ac:dyDescent="0.3">
      <c r="A56" s="1" t="s">
        <v>471</v>
      </c>
      <c r="C56" s="118">
        <f>IFERROR(QUARTILE(C46:C53,1),"")</f>
        <v>32845</v>
      </c>
      <c r="D56" s="118">
        <f>IFERROR(QUARTILE(D46:D53,1),"")</f>
        <v>92000</v>
      </c>
      <c r="E56" s="117">
        <f>IFERROR(QUARTILE(E46:E53,1),"")</f>
        <v>44822.5</v>
      </c>
      <c r="F56" s="64">
        <f>PERCENTILE(F46:F53,0.25)</f>
        <v>0.40800000000000003</v>
      </c>
      <c r="G56" s="64">
        <f>IFERROR(QUARTILE(G46:G53,1),"")</f>
        <v>0.32750000000000001</v>
      </c>
      <c r="H56" s="64">
        <f>IFERROR(QUARTILE(H46:H53,1),"")</f>
        <v>0.14499999999999999</v>
      </c>
      <c r="I56" s="64">
        <f>IFERROR(QUARTILE(I46:I53,1),"")</f>
        <v>2.75E-2</v>
      </c>
      <c r="J56" s="163">
        <f>IFERROR(PERCENTILE(J46:J53,0.25),"NM")</f>
        <v>1.6443452380952381</v>
      </c>
      <c r="K56" s="163">
        <f>IFERROR(QUARTILE(K46:K53,1),"")</f>
        <v>5.0087932900432905</v>
      </c>
      <c r="M56" s="63">
        <f>IFERROR(QUARTILE(M46:M53,1),"")</f>
        <v>52.25</v>
      </c>
      <c r="N56" s="63">
        <f>IFERROR(QUARTILE(N46:N53,1),"")</f>
        <v>6.4</v>
      </c>
      <c r="P56" s="63">
        <f>IFERROR(QUARTILE(P46:P53,1),"")</f>
        <v>0.31</v>
      </c>
      <c r="Q56" s="117">
        <f>PERCENTILE(Q46:Q53,0.25)</f>
        <v>30750</v>
      </c>
      <c r="R56" s="64">
        <f>IFERROR(QUARTILE(R46:R53,1),"")</f>
        <v>0.2792327545967912</v>
      </c>
      <c r="S56" s="117">
        <f>PERCENTILE(S46:S53,0.25)</f>
        <v>0</v>
      </c>
      <c r="T56" s="64">
        <f>IFERROR(QUARTILE(T46:T53,1),"")</f>
        <v>0</v>
      </c>
      <c r="U56" s="117">
        <f>PERCENTILE(U46:U53,0.25)</f>
        <v>24475</v>
      </c>
      <c r="V56" s="64">
        <f>IFERROR(QUARTILE(V46:V53,1),"")</f>
        <v>0.19049995840612263</v>
      </c>
      <c r="W56" s="64">
        <f>IFERROR(QUARTILE(W46:W53,1),"")</f>
        <v>0.21</v>
      </c>
      <c r="X56" s="63">
        <f>IFERROR(QUARTILE(X46:X53,1),"")</f>
        <v>0.13239881209966928</v>
      </c>
    </row>
    <row r="57" spans="1:24" x14ac:dyDescent="0.3">
      <c r="A57" s="1" t="s">
        <v>472</v>
      </c>
      <c r="C57" s="118">
        <f>IFERROR(MEDIAN(C46:C53),"")</f>
        <v>66000</v>
      </c>
      <c r="D57" s="118">
        <f>IFERROR(MEDIAN(D46:D53),"")</f>
        <v>115615</v>
      </c>
      <c r="E57" s="117">
        <f>IFERROR(MEDIAN(E46:E53),"")</f>
        <v>47250</v>
      </c>
      <c r="F57" s="64">
        <f>MEDIAN(F46:F53)</f>
        <v>0.44500000000000001</v>
      </c>
      <c r="G57" s="64">
        <f>IFERROR(MEDIAN(G46:G53),"")</f>
        <v>0.35</v>
      </c>
      <c r="H57" s="64">
        <f>IFERROR(MEDIAN(H46:H53),"")</f>
        <v>0.1575</v>
      </c>
      <c r="I57" s="64">
        <f>IFERROR(MEDIAN(I46:I53),"")</f>
        <v>3.5000000000000003E-2</v>
      </c>
      <c r="J57" s="163">
        <f>IFERROR(PERCENTILE(J46:J53,0.5),"NM")</f>
        <v>2.2162817415398131</v>
      </c>
      <c r="K57" s="163">
        <f>IFERROR(MEDIAN(K46:K53),"")</f>
        <v>5.9253197384649177</v>
      </c>
      <c r="M57" s="63">
        <f>IFERROR(MEDIAN(M46:M53),"")</f>
        <v>206.2</v>
      </c>
      <c r="N57" s="63">
        <f>IFERROR(MEDIAN(N46:N53),"")</f>
        <v>26</v>
      </c>
      <c r="P57" s="63">
        <f>IFERROR(MEDIAN(P46:P53),"")</f>
        <v>0.34499999999999997</v>
      </c>
      <c r="Q57" s="117">
        <f>MEDIAN(Q46:Q53)</f>
        <v>74625</v>
      </c>
      <c r="R57" s="64">
        <f>IFERROR(MEDIAN(R46:R53),"")</f>
        <v>0.60143963429195235</v>
      </c>
      <c r="S57" s="117">
        <f>MEDIAN(S46:S53)</f>
        <v>0</v>
      </c>
      <c r="T57" s="64">
        <f>IFERROR(MEDIAN(T46:T53),"")</f>
        <v>0</v>
      </c>
      <c r="U57" s="117">
        <f>MEDIAN(U46:U53)</f>
        <v>31230</v>
      </c>
      <c r="V57" s="64">
        <f>IFERROR(MEDIAN(V46:V53),"")</f>
        <v>0.39856036570804765</v>
      </c>
      <c r="W57" s="64">
        <f>IFERROR(MEDIAN(W46:W53),"")</f>
        <v>0.26500000000000001</v>
      </c>
      <c r="X57" s="63">
        <f>IFERROR(MEDIAN(X46:X53),"")</f>
        <v>0.20833333333333331</v>
      </c>
    </row>
    <row r="58" spans="1:24" x14ac:dyDescent="0.3">
      <c r="A58" s="1" t="s">
        <v>473</v>
      </c>
      <c r="C58" s="118">
        <f>IFERROR(AVERAGE(C46:C53),"")</f>
        <v>91140</v>
      </c>
      <c r="D58" s="118">
        <f>IFERROR(AVERAGE(D46:D53),"")</f>
        <v>137286.25</v>
      </c>
      <c r="E58" s="117">
        <f>IFERROR(AVERAGE(E46:E53),"")</f>
        <v>64262</v>
      </c>
      <c r="F58" s="64">
        <f>AVERAGE(F46:F53)</f>
        <v>0.45987500000000003</v>
      </c>
      <c r="G58" s="64">
        <f>IFERROR(AVERAGE(G46:G53),"")</f>
        <v>0.3515375</v>
      </c>
      <c r="H58" s="64">
        <f>IFERROR(AVERAGE(H46:H53),"")</f>
        <v>0.16187499999999999</v>
      </c>
      <c r="I58" s="64">
        <f>IFERROR(AVERAGE(I46:I53),"")</f>
        <v>4.1250000000000002E-2</v>
      </c>
      <c r="J58" s="163">
        <f>IFERROR(_xlfn.AGGREGATE(1,5,J46:J53),"NM")</f>
        <v>2.1938076806081286</v>
      </c>
      <c r="K58" s="163">
        <f>IFERROR(AVERAGE(K46:K53),"")</f>
        <v>6.2422362253223795</v>
      </c>
      <c r="M58" s="63">
        <f>IFERROR(AVERAGE(M46:M53),"")</f>
        <v>277.05</v>
      </c>
      <c r="N58" s="63">
        <f>IFERROR(AVERAGE(N46:N53),"")</f>
        <v>35.65</v>
      </c>
      <c r="P58" s="63">
        <f>IFERROR(AVERAGE(P46:P53),"")</f>
        <v>0.43374999999999997</v>
      </c>
      <c r="Q58" s="117">
        <f>AVERAGE(Q46:Q53)</f>
        <v>64546.25</v>
      </c>
      <c r="R58" s="64">
        <f>IFERROR(AVERAGE(R46:R53),"")</f>
        <v>0.5229176840966715</v>
      </c>
      <c r="S58" s="117">
        <f>AVERAGE(S46:S53)</f>
        <v>0</v>
      </c>
      <c r="T58" s="64">
        <f>IFERROR(AVERAGE(T46:T53),"")</f>
        <v>0</v>
      </c>
      <c r="U58" s="117">
        <f>AVERAGE(U46:U53)</f>
        <v>60070</v>
      </c>
      <c r="V58" s="64">
        <f>IFERROR(AVERAGE(V46:V53),"")</f>
        <v>0.47708231590332839</v>
      </c>
      <c r="W58" s="64">
        <f>IFERROR(AVERAGE(W46:W53),"")</f>
        <v>0.255</v>
      </c>
      <c r="X58" s="63">
        <f>IFERROR(AVERAGE(X46:X53),"")</f>
        <v>0.19311930993715076</v>
      </c>
    </row>
    <row r="59" spans="1:24" x14ac:dyDescent="0.3">
      <c r="A59" s="1" t="s">
        <v>474</v>
      </c>
      <c r="C59" s="118">
        <f>IFERROR(QUARTILE(C46:C53,3),"")</f>
        <v>110737.5</v>
      </c>
      <c r="D59" s="118">
        <f>IFERROR(QUARTILE(D46:D53,3),"")</f>
        <v>139875</v>
      </c>
      <c r="E59" s="117">
        <f>IFERROR(QUARTILE(E46:E53,3),"")</f>
        <v>63609.5</v>
      </c>
      <c r="F59" s="64">
        <f>PERCENTILE(F46:F53,0.75)</f>
        <v>0.55075000000000007</v>
      </c>
      <c r="G59" s="64">
        <f>IFERROR(QUARTILE(G46:G53,3),"")</f>
        <v>0.38432500000000003</v>
      </c>
      <c r="H59" s="64">
        <f>IFERROR(QUARTILE(H46:H53,3),"")</f>
        <v>0.18</v>
      </c>
      <c r="I59" s="64">
        <f>IFERROR(QUARTILE(I46:I53,3),"")</f>
        <v>5.5000000000000007E-2</v>
      </c>
      <c r="J59" s="163">
        <f>IFERROR(PERCENTILE(J46:J53,0.75),"NM")</f>
        <v>2.5857298987965129</v>
      </c>
      <c r="K59" s="163">
        <f>IFERROR(QUARTILE(K46:K53,3),"")</f>
        <v>7.2814241395132768</v>
      </c>
      <c r="M59" s="63">
        <f>IFERROR(QUARTILE(M46:M53,3),"")</f>
        <v>330.5</v>
      </c>
      <c r="N59" s="63">
        <f>IFERROR(QUARTILE(N46:N53,3),"")</f>
        <v>49.5</v>
      </c>
      <c r="P59" s="63">
        <f>IFERROR(QUARTILE(P46:P53,3),"")</f>
        <v>0.42500000000000004</v>
      </c>
      <c r="Q59" s="117">
        <f>PERCENTILE(Q46:Q53,0.75)</f>
        <v>97310</v>
      </c>
      <c r="R59" s="64">
        <f>IFERROR(QUARTILE(R46:R53,3),"")</f>
        <v>0.80950004159387734</v>
      </c>
      <c r="S59" s="117">
        <f>PERCENTILE(S46:S53,0.75)</f>
        <v>0</v>
      </c>
      <c r="T59" s="64">
        <f>IFERROR(QUARTILE(T46:T53,3),"")</f>
        <v>0</v>
      </c>
      <c r="U59" s="117">
        <f>PERCENTILE(U46:U53,0.75)</f>
        <v>62500</v>
      </c>
      <c r="V59" s="64">
        <f>IFERROR(QUARTILE(V46:V53,3),"")</f>
        <v>0.7207672454032088</v>
      </c>
      <c r="W59" s="64">
        <f>IFERROR(QUARTILE(W46:W53,3),"")</f>
        <v>0.3</v>
      </c>
      <c r="X59" s="63">
        <f>IFERROR(QUARTILE(X46:X53,3),"")</f>
        <v>0.24113968089420768</v>
      </c>
    </row>
    <row r="60" spans="1:24" x14ac:dyDescent="0.3">
      <c r="A60" s="1" t="s">
        <v>475</v>
      </c>
      <c r="C60" s="118">
        <f>IFERROR(MAX(C46:C53),"")</f>
        <v>224000</v>
      </c>
      <c r="D60" s="118">
        <f>IFERROR(MAX(D46:D53),"")</f>
        <v>321560</v>
      </c>
      <c r="E60" s="117">
        <f>IFERROR(MAX(E46:E53),"")</f>
        <v>144000</v>
      </c>
      <c r="F60" s="64">
        <f>MAX(F46:F53)</f>
        <v>0.63800000000000001</v>
      </c>
      <c r="G60" s="64">
        <f>IFERROR(MAX(G46:G53),"")</f>
        <v>0.4</v>
      </c>
      <c r="H60" s="64">
        <f>IFERROR(MAX(H46:H53),"")</f>
        <v>0.22</v>
      </c>
      <c r="I60" s="64">
        <f>IFERROR(MAX(I46:I53),"")</f>
        <v>0.1</v>
      </c>
      <c r="J60" s="163">
        <f>IFERROR(_xlfn.AGGREGATE(4,5,J46:J53),"NM")</f>
        <v>3.551971722081078</v>
      </c>
      <c r="K60" s="163">
        <f>IFERROR(MAX(K46:K53),"")</f>
        <v>9.3472940054765203</v>
      </c>
      <c r="M60" s="63">
        <f>IFERROR(IF(COUNTA(M46:M53)=0,"",MAX(M46:M53)),"")</f>
        <v>1009</v>
      </c>
      <c r="N60" s="63">
        <f>IFERROR(IF(COUNTA(N46:N53)=0,"",MAX(N46:N53)),"")</f>
        <v>114</v>
      </c>
      <c r="P60" s="63">
        <f>IFERROR(MAX(P46:P53),"")</f>
        <v>1.05</v>
      </c>
      <c r="Q60" s="117">
        <f>MAX(Q46:Q53)</f>
        <v>119500</v>
      </c>
      <c r="R60" s="64">
        <f>IFERROR(MAX(R46:R53),"")</f>
        <v>0.82698961937716264</v>
      </c>
      <c r="S60" s="117">
        <f>MAX(S46:S53)</f>
        <v>0</v>
      </c>
      <c r="T60" s="64">
        <f>IFERROR(MAX(T46:T53),"")</f>
        <v>0</v>
      </c>
      <c r="U60" s="117">
        <f>MAX(U46:U53)</f>
        <v>209300</v>
      </c>
      <c r="V60" s="64">
        <f>IFERROR(MAX(V46:V53),"")</f>
        <v>1</v>
      </c>
      <c r="W60" s="64">
        <f>IFERROR(MAX(W46:W53),"")</f>
        <v>0.3</v>
      </c>
      <c r="X60" s="63">
        <f>IFERROR(MAX(X46:X53),"")</f>
        <v>0.32653061224489793</v>
      </c>
    </row>
  </sheetData>
  <pageMargins left="0.7" right="0.7" top="0.75" bottom="0.75" header="0.3" footer="0.3"/>
  <ignoredErrors>
    <ignoredError sqref="F55:F60 Q36:Q41 S36:S41 U36:U41 U55:U60 S55:S60 Q55:Q60 J55:J60 J17 R36:R41 R55:R60 T55:T60 J20 J22 T36:T41 F36:F41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37D1-6AC0-4E7C-A9E5-3D8DBF073F3E}">
  <sheetPr>
    <tabColor rgb="FFED7D31"/>
  </sheetPr>
  <dimension ref="A1:X40"/>
  <sheetViews>
    <sheetView showGridLines="0" zoomScale="85" zoomScaleNormal="85" workbookViewId="0">
      <pane ySplit="3" topLeftCell="A4" activePane="bottomLeft" state="frozen"/>
      <selection pane="bottomLeft" activeCell="A3" sqref="A3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customWidth="1"/>
  </cols>
  <sheetData>
    <row r="1" spans="1:24" ht="30" customHeight="1" x14ac:dyDescent="0.3">
      <c r="A1" s="324" t="s">
        <v>773</v>
      </c>
    </row>
    <row r="2" spans="1:24" x14ac:dyDescent="0.3">
      <c r="A2" s="325" t="s">
        <v>779</v>
      </c>
      <c r="B2" s="219"/>
      <c r="C2" s="219"/>
      <c r="D2" s="219"/>
      <c r="E2" s="219"/>
      <c r="F2" s="219"/>
      <c r="G2" s="219"/>
      <c r="H2" s="219"/>
    </row>
    <row r="3" spans="1:24" x14ac:dyDescent="0.3">
      <c r="A3" s="325" t="s">
        <v>780</v>
      </c>
      <c r="B3" s="219"/>
      <c r="C3" s="219"/>
      <c r="D3" s="219"/>
      <c r="E3" s="219"/>
      <c r="F3" s="219"/>
      <c r="G3" s="219"/>
      <c r="H3" s="219"/>
    </row>
    <row r="5" spans="1:24" x14ac:dyDescent="0.3">
      <c r="A5" s="4" t="s">
        <v>568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">
      <c r="A6" s="216" t="s">
        <v>428</v>
      </c>
      <c r="B6" s="216" t="s">
        <v>429</v>
      </c>
      <c r="C6" s="217" t="s">
        <v>415</v>
      </c>
      <c r="D6" s="217" t="s">
        <v>565</v>
      </c>
      <c r="E6" s="217" t="s">
        <v>441</v>
      </c>
      <c r="F6" s="217" t="s">
        <v>442</v>
      </c>
      <c r="G6" s="217" t="s">
        <v>90</v>
      </c>
      <c r="H6" s="217" t="s">
        <v>443</v>
      </c>
      <c r="I6" s="217" t="s">
        <v>444</v>
      </c>
      <c r="J6" s="217" t="s">
        <v>445</v>
      </c>
      <c r="K6" s="217" t="s">
        <v>445</v>
      </c>
      <c r="L6" s="217"/>
      <c r="M6" s="224" t="s">
        <v>508</v>
      </c>
      <c r="N6" s="224" t="s">
        <v>578</v>
      </c>
      <c r="O6" s="217"/>
      <c r="P6" s="217" t="s">
        <v>430</v>
      </c>
      <c r="Q6" s="217" t="s">
        <v>431</v>
      </c>
      <c r="R6" s="217" t="s">
        <v>432</v>
      </c>
      <c r="S6" s="217" t="s">
        <v>433</v>
      </c>
      <c r="T6" s="217" t="s">
        <v>434</v>
      </c>
      <c r="U6" s="217" t="s">
        <v>435</v>
      </c>
      <c r="V6" s="217" t="s">
        <v>436</v>
      </c>
      <c r="W6" s="217" t="s">
        <v>437</v>
      </c>
      <c r="X6" s="217" t="s">
        <v>438</v>
      </c>
    </row>
    <row r="7" spans="1:24" x14ac:dyDescent="0.3">
      <c r="A7" s="216"/>
      <c r="B7" s="216"/>
      <c r="C7" s="217" t="s">
        <v>447</v>
      </c>
      <c r="D7" s="217" t="s">
        <v>449</v>
      </c>
      <c r="E7" s="217" t="s">
        <v>0</v>
      </c>
      <c r="F7" s="217" t="s">
        <v>453</v>
      </c>
      <c r="G7" s="217" t="s">
        <v>453</v>
      </c>
      <c r="H7" s="217" t="s">
        <v>87</v>
      </c>
      <c r="I7" s="217" t="s">
        <v>416</v>
      </c>
      <c r="J7" s="217" t="s">
        <v>87</v>
      </c>
      <c r="K7" s="217" t="s">
        <v>90</v>
      </c>
      <c r="L7" s="217"/>
      <c r="M7" s="224" t="s">
        <v>447</v>
      </c>
      <c r="N7" s="224" t="s">
        <v>579</v>
      </c>
      <c r="O7" s="217"/>
      <c r="P7" s="217" t="s">
        <v>446</v>
      </c>
      <c r="Q7" s="217" t="s">
        <v>447</v>
      </c>
      <c r="R7" s="217"/>
      <c r="S7" s="217" t="s">
        <v>448</v>
      </c>
      <c r="T7" s="217"/>
      <c r="U7" s="217" t="s">
        <v>449</v>
      </c>
      <c r="V7" s="217"/>
      <c r="W7" s="217" t="s">
        <v>450</v>
      </c>
      <c r="X7" s="217" t="s">
        <v>446</v>
      </c>
    </row>
    <row r="8" spans="1:24" x14ac:dyDescent="0.3">
      <c r="A8" t="s">
        <v>509</v>
      </c>
      <c r="B8" t="s">
        <v>510</v>
      </c>
      <c r="C8" s="119">
        <v>74950</v>
      </c>
      <c r="D8" s="119">
        <v>73700</v>
      </c>
      <c r="E8" s="119">
        <v>602</v>
      </c>
      <c r="F8" s="38">
        <v>0.317</v>
      </c>
      <c r="G8" s="55">
        <v>-0.15</v>
      </c>
      <c r="H8" s="55">
        <v>0.25600000000000001</v>
      </c>
      <c r="I8" s="55">
        <v>0.38</v>
      </c>
      <c r="J8" s="213">
        <f t="shared" ref="J8:J16" si="0">IFERROR(D8/E8,"NM")</f>
        <v>122.42524916943522</v>
      </c>
      <c r="K8" s="163" t="str">
        <f t="shared" ref="K8:K16" si="1">IF(OR(G8&lt;=0,E8=0,D8=0),"NM",IF(D8/(E8*G8)&gt;100,"NM",D8/(E8*G8)))</f>
        <v>NM</v>
      </c>
      <c r="L8" s="54"/>
      <c r="M8" s="119">
        <v>2200</v>
      </c>
      <c r="N8" s="214">
        <f t="shared" ref="N8:N16" si="2">IFERROR(M8/E8,"NM")</f>
        <v>3.654485049833887</v>
      </c>
      <c r="P8" s="61">
        <v>2.31</v>
      </c>
      <c r="Q8" s="119">
        <v>139</v>
      </c>
      <c r="R8" s="85">
        <f t="shared" ref="R8:R16" si="3">IFERROR(Q8/(Q8+S8+U8),"")</f>
        <v>2.1766704771449602E-3</v>
      </c>
      <c r="S8" s="119">
        <v>0</v>
      </c>
      <c r="T8" s="85">
        <f t="shared" ref="T8:T16" si="4">IFERROR(S8/(Q8+S8+U8),"")</f>
        <v>0</v>
      </c>
      <c r="U8" s="119">
        <v>63720</v>
      </c>
      <c r="V8" s="85">
        <f t="shared" ref="V8:V16" si="5">IFERROR(U8/(Q8+S8+U8),"")</f>
        <v>0.99782332952285502</v>
      </c>
      <c r="W8" s="220">
        <v>0.21</v>
      </c>
      <c r="X8" s="69">
        <f t="shared" ref="X8:X16" si="6">IFERROR(P8/(1+(Q8/U8)*(1-W8)+S8/U8),"")</f>
        <v>2.3060259775174012</v>
      </c>
    </row>
    <row r="9" spans="1:24" x14ac:dyDescent="0.3">
      <c r="A9" t="s">
        <v>511</v>
      </c>
      <c r="B9" t="s">
        <v>512</v>
      </c>
      <c r="C9" s="119">
        <v>9410</v>
      </c>
      <c r="D9" s="119">
        <v>9650</v>
      </c>
      <c r="E9" s="119">
        <v>821</v>
      </c>
      <c r="F9" s="55">
        <v>0.25</v>
      </c>
      <c r="G9" s="55">
        <v>0.1</v>
      </c>
      <c r="H9" s="55">
        <v>3.4000000000000002E-2</v>
      </c>
      <c r="I9" s="55">
        <v>0.3</v>
      </c>
      <c r="J9" s="213">
        <f t="shared" si="0"/>
        <v>11.753958587088915</v>
      </c>
      <c r="K9" s="163" t="str">
        <f t="shared" si="1"/>
        <v>NM</v>
      </c>
      <c r="L9" s="54"/>
      <c r="M9" s="119">
        <v>1100</v>
      </c>
      <c r="N9" s="214">
        <f t="shared" si="2"/>
        <v>1.3398294762484775</v>
      </c>
      <c r="P9" s="61">
        <v>1.4</v>
      </c>
      <c r="Q9" s="119">
        <v>826</v>
      </c>
      <c r="R9" s="85">
        <f t="shared" si="3"/>
        <v>8.0695584212583035E-2</v>
      </c>
      <c r="S9" s="119">
        <v>0</v>
      </c>
      <c r="T9" s="85">
        <f t="shared" si="4"/>
        <v>0</v>
      </c>
      <c r="U9" s="119">
        <v>9410</v>
      </c>
      <c r="V9" s="85">
        <f t="shared" si="5"/>
        <v>0.91930441578741695</v>
      </c>
      <c r="W9" s="220">
        <v>0.21</v>
      </c>
      <c r="X9" s="69">
        <f t="shared" si="6"/>
        <v>1.3092121869826105</v>
      </c>
    </row>
    <row r="10" spans="1:24" x14ac:dyDescent="0.3">
      <c r="A10" t="s">
        <v>513</v>
      </c>
      <c r="B10" t="s">
        <v>514</v>
      </c>
      <c r="C10" s="119">
        <v>10970</v>
      </c>
      <c r="D10" s="119">
        <v>10860</v>
      </c>
      <c r="E10" s="119">
        <v>1350</v>
      </c>
      <c r="F10" s="55">
        <v>0.28000000000000003</v>
      </c>
      <c r="G10" s="55">
        <v>0.08</v>
      </c>
      <c r="H10" s="55">
        <v>0.04</v>
      </c>
      <c r="I10" s="55">
        <v>0.19</v>
      </c>
      <c r="J10" s="213">
        <f t="shared" si="0"/>
        <v>8.0444444444444443</v>
      </c>
      <c r="K10" s="163" t="str">
        <f t="shared" si="1"/>
        <v>NM</v>
      </c>
      <c r="L10" s="54"/>
      <c r="M10" s="119">
        <v>2000</v>
      </c>
      <c r="N10" s="214">
        <f t="shared" si="2"/>
        <v>1.4814814814814814</v>
      </c>
      <c r="P10" s="61">
        <v>1.1499999999999999</v>
      </c>
      <c r="Q10" s="119">
        <v>280</v>
      </c>
      <c r="R10" s="85">
        <f t="shared" si="3"/>
        <v>2.4888888888888887E-2</v>
      </c>
      <c r="S10" s="119">
        <v>0</v>
      </c>
      <c r="T10" s="85">
        <f t="shared" si="4"/>
        <v>0</v>
      </c>
      <c r="U10" s="119">
        <v>10970</v>
      </c>
      <c r="V10" s="85">
        <f t="shared" si="5"/>
        <v>0.97511111111111115</v>
      </c>
      <c r="W10" s="220">
        <v>0.21</v>
      </c>
      <c r="X10" s="69">
        <f t="shared" si="6"/>
        <v>1.1272696404317679</v>
      </c>
    </row>
    <row r="11" spans="1:24" x14ac:dyDescent="0.3">
      <c r="A11" t="s">
        <v>515</v>
      </c>
      <c r="B11" t="s">
        <v>516</v>
      </c>
      <c r="C11" s="119">
        <v>4000</v>
      </c>
      <c r="D11" s="119">
        <v>4080</v>
      </c>
      <c r="E11" s="119">
        <v>469</v>
      </c>
      <c r="F11" s="55">
        <v>9.1999999999999998E-2</v>
      </c>
      <c r="G11" s="55">
        <v>-0.1</v>
      </c>
      <c r="H11" s="55">
        <v>6.2E-2</v>
      </c>
      <c r="I11" s="55">
        <v>0.41</v>
      </c>
      <c r="J11" s="213">
        <f t="shared" si="0"/>
        <v>8.6993603411513867</v>
      </c>
      <c r="K11" s="163" t="str">
        <f t="shared" si="1"/>
        <v>NM</v>
      </c>
      <c r="L11" s="54"/>
      <c r="M11" s="119">
        <v>498</v>
      </c>
      <c r="N11" s="214">
        <f t="shared" si="2"/>
        <v>1.0618336886993602</v>
      </c>
      <c r="P11" s="61">
        <v>2.5</v>
      </c>
      <c r="Q11" s="119">
        <v>80</v>
      </c>
      <c r="R11" s="85">
        <f t="shared" si="3"/>
        <v>1.9607843137254902E-2</v>
      </c>
      <c r="S11" s="119">
        <v>0</v>
      </c>
      <c r="T11" s="85">
        <f t="shared" si="4"/>
        <v>0</v>
      </c>
      <c r="U11" s="119">
        <v>4000</v>
      </c>
      <c r="V11" s="85">
        <f t="shared" si="5"/>
        <v>0.98039215686274506</v>
      </c>
      <c r="W11" s="220">
        <v>0.21</v>
      </c>
      <c r="X11" s="69">
        <f t="shared" si="6"/>
        <v>2.4611143925969676</v>
      </c>
    </row>
    <row r="12" spans="1:24" x14ac:dyDescent="0.3">
      <c r="A12" t="s">
        <v>517</v>
      </c>
      <c r="B12" t="s">
        <v>518</v>
      </c>
      <c r="C12" s="119">
        <v>5390</v>
      </c>
      <c r="D12" s="119">
        <v>5230</v>
      </c>
      <c r="E12" s="119">
        <v>1250</v>
      </c>
      <c r="F12" s="55">
        <v>0.28699999999999998</v>
      </c>
      <c r="G12" s="55">
        <v>0.18</v>
      </c>
      <c r="H12" s="55">
        <v>0.16300000000000001</v>
      </c>
      <c r="I12" s="55">
        <v>0.3</v>
      </c>
      <c r="J12" s="213">
        <f t="shared" si="0"/>
        <v>4.1840000000000002</v>
      </c>
      <c r="K12" s="163">
        <f t="shared" si="1"/>
        <v>23.244444444444444</v>
      </c>
      <c r="L12" s="54"/>
      <c r="M12" s="119">
        <v>1500</v>
      </c>
      <c r="N12" s="214">
        <f t="shared" si="2"/>
        <v>1.2</v>
      </c>
      <c r="P12" s="61">
        <v>0.12</v>
      </c>
      <c r="Q12" s="119">
        <v>273</v>
      </c>
      <c r="R12" s="85">
        <f t="shared" si="3"/>
        <v>4.8207663782447466E-2</v>
      </c>
      <c r="S12" s="119">
        <v>0</v>
      </c>
      <c r="T12" s="85">
        <f t="shared" si="4"/>
        <v>0</v>
      </c>
      <c r="U12" s="119">
        <v>5390</v>
      </c>
      <c r="V12" s="85">
        <f t="shared" si="5"/>
        <v>0.95179233621755255</v>
      </c>
      <c r="W12" s="220">
        <v>0.26500000000000001</v>
      </c>
      <c r="X12" s="69">
        <f t="shared" si="6"/>
        <v>0.11569306279854508</v>
      </c>
    </row>
    <row r="13" spans="1:24" x14ac:dyDescent="0.3">
      <c r="A13" t="s">
        <v>519</v>
      </c>
      <c r="B13" t="s">
        <v>520</v>
      </c>
      <c r="C13" s="119">
        <v>3950</v>
      </c>
      <c r="D13" s="119">
        <v>4150</v>
      </c>
      <c r="E13" s="119">
        <v>420</v>
      </c>
      <c r="F13" s="55">
        <v>0.19</v>
      </c>
      <c r="G13" s="55">
        <v>-0.1</v>
      </c>
      <c r="H13" s="55">
        <v>0.05</v>
      </c>
      <c r="I13" s="55">
        <v>0.48</v>
      </c>
      <c r="J13" s="213">
        <f t="shared" si="0"/>
        <v>9.8809523809523814</v>
      </c>
      <c r="K13" s="163" t="str">
        <f t="shared" si="1"/>
        <v>NM</v>
      </c>
      <c r="L13" s="54"/>
      <c r="M13" s="119">
        <v>450</v>
      </c>
      <c r="N13" s="214">
        <f t="shared" si="2"/>
        <v>1.0714285714285714</v>
      </c>
      <c r="P13" s="61">
        <v>2</v>
      </c>
      <c r="Q13" s="119">
        <v>200</v>
      </c>
      <c r="R13" s="85">
        <f t="shared" si="3"/>
        <v>4.8192771084337352E-2</v>
      </c>
      <c r="S13" s="119">
        <v>0</v>
      </c>
      <c r="T13" s="85">
        <f t="shared" si="4"/>
        <v>0</v>
      </c>
      <c r="U13" s="119">
        <v>3950</v>
      </c>
      <c r="V13" s="85">
        <f t="shared" si="5"/>
        <v>0.95180722891566261</v>
      </c>
      <c r="W13" s="220">
        <v>0.21</v>
      </c>
      <c r="X13" s="69">
        <f t="shared" si="6"/>
        <v>1.9230769230769229</v>
      </c>
    </row>
    <row r="14" spans="1:24" x14ac:dyDescent="0.3">
      <c r="A14" t="s">
        <v>521</v>
      </c>
      <c r="B14" t="s">
        <v>522</v>
      </c>
      <c r="C14" s="119">
        <v>2500</v>
      </c>
      <c r="D14" s="119">
        <v>2300</v>
      </c>
      <c r="E14" s="119">
        <v>230</v>
      </c>
      <c r="F14" s="55">
        <v>0.18</v>
      </c>
      <c r="G14" s="55">
        <v>-0.2</v>
      </c>
      <c r="H14" s="55">
        <v>0.5</v>
      </c>
      <c r="I14" s="55">
        <v>0.5</v>
      </c>
      <c r="J14" s="213">
        <f t="shared" si="0"/>
        <v>10</v>
      </c>
      <c r="K14" s="163" t="str">
        <f t="shared" si="1"/>
        <v>NM</v>
      </c>
      <c r="L14" s="54"/>
      <c r="M14" s="119">
        <v>1100</v>
      </c>
      <c r="N14" s="214">
        <f t="shared" si="2"/>
        <v>4.7826086956521738</v>
      </c>
      <c r="P14" s="61">
        <v>1.47</v>
      </c>
      <c r="Q14" s="119">
        <v>336</v>
      </c>
      <c r="R14" s="85">
        <f t="shared" si="3"/>
        <v>6.1617458279845959E-2</v>
      </c>
      <c r="S14" s="119">
        <v>7</v>
      </c>
      <c r="T14" s="85">
        <f t="shared" si="4"/>
        <v>1.2836970474967907E-3</v>
      </c>
      <c r="U14" s="119">
        <v>5110</v>
      </c>
      <c r="V14" s="85">
        <f t="shared" si="5"/>
        <v>0.93709884467265725</v>
      </c>
      <c r="W14" s="220">
        <v>0.21</v>
      </c>
      <c r="X14" s="69">
        <f t="shared" si="6"/>
        <v>1.3955938199032409</v>
      </c>
    </row>
    <row r="15" spans="1:24" x14ac:dyDescent="0.3">
      <c r="A15" t="s">
        <v>523</v>
      </c>
      <c r="B15" t="s">
        <v>524</v>
      </c>
      <c r="C15" s="119">
        <v>6000</v>
      </c>
      <c r="D15" s="119">
        <v>5500</v>
      </c>
      <c r="E15" s="119">
        <v>185</v>
      </c>
      <c r="F15" s="55">
        <v>0.248</v>
      </c>
      <c r="G15" s="55">
        <v>-0.3</v>
      </c>
      <c r="H15" s="55">
        <v>0.25</v>
      </c>
      <c r="I15" s="55">
        <v>0.55000000000000004</v>
      </c>
      <c r="J15" s="213">
        <f t="shared" si="0"/>
        <v>29.72972972972973</v>
      </c>
      <c r="K15" s="163" t="str">
        <f t="shared" si="1"/>
        <v>NM</v>
      </c>
      <c r="L15" s="54"/>
      <c r="M15" s="119">
        <v>1300</v>
      </c>
      <c r="N15" s="214">
        <f t="shared" si="2"/>
        <v>7.0270270270270272</v>
      </c>
      <c r="P15" s="61">
        <v>3</v>
      </c>
      <c r="Q15" s="119">
        <v>53</v>
      </c>
      <c r="R15" s="85">
        <f t="shared" si="3"/>
        <v>8.7559887659012063E-3</v>
      </c>
      <c r="S15" s="119">
        <v>0</v>
      </c>
      <c r="T15" s="85">
        <f t="shared" si="4"/>
        <v>0</v>
      </c>
      <c r="U15" s="119">
        <v>6000</v>
      </c>
      <c r="V15" s="85">
        <f t="shared" si="5"/>
        <v>0.99124401123409878</v>
      </c>
      <c r="W15" s="220">
        <v>0.21</v>
      </c>
      <c r="X15" s="69">
        <f t="shared" si="6"/>
        <v>2.9792100789987206</v>
      </c>
    </row>
    <row r="16" spans="1:24" x14ac:dyDescent="0.3">
      <c r="A16" t="s">
        <v>525</v>
      </c>
      <c r="B16" t="s">
        <v>526</v>
      </c>
      <c r="C16" s="119">
        <v>2800</v>
      </c>
      <c r="D16" s="119">
        <v>2850</v>
      </c>
      <c r="E16" s="119">
        <v>166</v>
      </c>
      <c r="F16" s="55">
        <v>0.17899999999999999</v>
      </c>
      <c r="G16" s="55">
        <v>-0.25</v>
      </c>
      <c r="H16" s="55">
        <v>0.36599999999999999</v>
      </c>
      <c r="I16" s="55">
        <v>0.4</v>
      </c>
      <c r="J16" s="213">
        <f t="shared" si="0"/>
        <v>17.168674698795179</v>
      </c>
      <c r="K16" s="163" t="str">
        <f t="shared" si="1"/>
        <v>NM</v>
      </c>
      <c r="L16" s="54"/>
      <c r="M16" s="119">
        <v>275</v>
      </c>
      <c r="N16" s="214">
        <f t="shared" si="2"/>
        <v>1.6566265060240963</v>
      </c>
      <c r="P16" s="61">
        <v>2.5</v>
      </c>
      <c r="Q16" s="119">
        <v>50</v>
      </c>
      <c r="R16" s="85">
        <f t="shared" si="3"/>
        <v>1.7543859649122806E-2</v>
      </c>
      <c r="S16" s="119">
        <v>0</v>
      </c>
      <c r="T16" s="85">
        <f t="shared" si="4"/>
        <v>0</v>
      </c>
      <c r="U16" s="119">
        <v>2800</v>
      </c>
      <c r="V16" s="85">
        <f t="shared" si="5"/>
        <v>0.98245614035087714</v>
      </c>
      <c r="W16" s="220">
        <v>0.21</v>
      </c>
      <c r="X16" s="69">
        <f t="shared" si="6"/>
        <v>2.4652227504842403</v>
      </c>
    </row>
    <row r="17" spans="1:24" x14ac:dyDescent="0.3">
      <c r="C17" s="118"/>
      <c r="D17" s="118"/>
      <c r="E17" s="118"/>
      <c r="G17" s="64"/>
      <c r="H17" s="64"/>
      <c r="I17" s="64"/>
      <c r="K17" s="163"/>
      <c r="L17" s="54"/>
      <c r="M17" s="118"/>
      <c r="N17" s="163"/>
      <c r="O17" s="54"/>
      <c r="P17" s="63"/>
      <c r="Q17" s="118"/>
      <c r="R17" s="64"/>
      <c r="S17" s="118"/>
      <c r="T17" s="64"/>
      <c r="U17" s="118"/>
      <c r="V17" s="64"/>
      <c r="W17" s="54"/>
      <c r="X17" s="63"/>
    </row>
    <row r="18" spans="1:24" x14ac:dyDescent="0.3">
      <c r="A18" s="1" t="s">
        <v>470</v>
      </c>
      <c r="C18" s="118">
        <f t="shared" ref="C18:J18" si="7">IFERROR(MIN(C8:C16),"")</f>
        <v>2500</v>
      </c>
      <c r="D18" s="118">
        <f t="shared" si="7"/>
        <v>2300</v>
      </c>
      <c r="E18" s="118">
        <f t="shared" si="7"/>
        <v>166</v>
      </c>
      <c r="F18" s="228">
        <f t="shared" si="7"/>
        <v>9.1999999999999998E-2</v>
      </c>
      <c r="G18" s="64">
        <f t="shared" si="7"/>
        <v>-0.3</v>
      </c>
      <c r="H18" s="64">
        <f t="shared" si="7"/>
        <v>3.4000000000000002E-2</v>
      </c>
      <c r="I18" s="64">
        <f t="shared" si="7"/>
        <v>0.19</v>
      </c>
      <c r="J18" s="229">
        <f t="shared" si="7"/>
        <v>4.1840000000000002</v>
      </c>
      <c r="K18" s="214">
        <f>IFERROR(_xlfn.AGGREGATE(15,6,K8:K16,1),"NM")</f>
        <v>23.244444444444444</v>
      </c>
      <c r="L18" s="54"/>
      <c r="M18" s="222">
        <f>IFERROR(MIN(M8:M16),"")</f>
        <v>275</v>
      </c>
      <c r="N18" s="214">
        <f>IFERROR(MIN(N8:N16),"")</f>
        <v>1.0618336886993602</v>
      </c>
      <c r="O18" s="54"/>
      <c r="P18" s="63">
        <f t="shared" ref="P18:X18" si="8">IFERROR(MIN(P8:P16),"")</f>
        <v>0.12</v>
      </c>
      <c r="Q18" s="118">
        <f t="shared" si="8"/>
        <v>50</v>
      </c>
      <c r="R18" s="64">
        <f t="shared" si="8"/>
        <v>2.1766704771449602E-3</v>
      </c>
      <c r="S18" s="118">
        <f t="shared" si="8"/>
        <v>0</v>
      </c>
      <c r="T18" s="64">
        <f t="shared" si="8"/>
        <v>0</v>
      </c>
      <c r="U18" s="118">
        <f t="shared" si="8"/>
        <v>2800</v>
      </c>
      <c r="V18" s="64">
        <f t="shared" si="8"/>
        <v>0.91930441578741695</v>
      </c>
      <c r="W18" s="230">
        <f t="shared" si="8"/>
        <v>0.21</v>
      </c>
      <c r="X18" s="63">
        <f t="shared" si="8"/>
        <v>0.11569306279854508</v>
      </c>
    </row>
    <row r="19" spans="1:24" x14ac:dyDescent="0.3">
      <c r="A19" s="1" t="s">
        <v>471</v>
      </c>
      <c r="C19" s="118">
        <f t="shared" ref="C19:J19" si="9">IFERROR(QUARTILE(C8:C16,1),"")</f>
        <v>3950</v>
      </c>
      <c r="D19" s="118">
        <f t="shared" si="9"/>
        <v>4080</v>
      </c>
      <c r="E19" s="118">
        <f t="shared" si="9"/>
        <v>230</v>
      </c>
      <c r="F19" s="228">
        <f t="shared" si="9"/>
        <v>0.18</v>
      </c>
      <c r="G19" s="64">
        <f t="shared" si="9"/>
        <v>-0.2</v>
      </c>
      <c r="H19" s="64">
        <f t="shared" si="9"/>
        <v>0.05</v>
      </c>
      <c r="I19" s="64">
        <f t="shared" si="9"/>
        <v>0.3</v>
      </c>
      <c r="J19" s="229">
        <f t="shared" si="9"/>
        <v>8.6993603411513867</v>
      </c>
      <c r="K19" s="214">
        <f>IFERROR(_xlfn.AGGREGATE(16,6,K8:K16,0.25),"NM")</f>
        <v>23.244444444444444</v>
      </c>
      <c r="L19" s="54"/>
      <c r="M19" s="222">
        <f>IFERROR(QUARTILE(M8:M16,1),"")</f>
        <v>498</v>
      </c>
      <c r="N19" s="214">
        <f>IFERROR(QUARTILE(N8:N16,1),"")</f>
        <v>1.2</v>
      </c>
      <c r="O19" s="54"/>
      <c r="P19" s="63">
        <f t="shared" ref="P19:X19" si="10">IFERROR(QUARTILE(P8:P16,1),"")</f>
        <v>1.4</v>
      </c>
      <c r="Q19" s="118">
        <f t="shared" si="10"/>
        <v>80</v>
      </c>
      <c r="R19" s="64">
        <f t="shared" si="10"/>
        <v>1.7543859649122806E-2</v>
      </c>
      <c r="S19" s="118">
        <f t="shared" si="10"/>
        <v>0</v>
      </c>
      <c r="T19" s="64">
        <f t="shared" si="10"/>
        <v>0</v>
      </c>
      <c r="U19" s="118">
        <f t="shared" si="10"/>
        <v>4000</v>
      </c>
      <c r="V19" s="64">
        <f t="shared" si="10"/>
        <v>0.95179233621755255</v>
      </c>
      <c r="W19" s="230">
        <f t="shared" si="10"/>
        <v>0.21</v>
      </c>
      <c r="X19" s="63">
        <f t="shared" si="10"/>
        <v>1.3092121869826105</v>
      </c>
    </row>
    <row r="20" spans="1:24" x14ac:dyDescent="0.3">
      <c r="A20" s="1" t="s">
        <v>472</v>
      </c>
      <c r="C20" s="118">
        <f t="shared" ref="C20:J20" si="11">IFERROR(MEDIAN(C8:C16),"")</f>
        <v>5390</v>
      </c>
      <c r="D20" s="118">
        <f t="shared" si="11"/>
        <v>5230</v>
      </c>
      <c r="E20" s="118">
        <f t="shared" si="11"/>
        <v>469</v>
      </c>
      <c r="F20" s="228">
        <f t="shared" si="11"/>
        <v>0.248</v>
      </c>
      <c r="G20" s="64">
        <f t="shared" si="11"/>
        <v>-0.1</v>
      </c>
      <c r="H20" s="64">
        <f t="shared" si="11"/>
        <v>0.16300000000000001</v>
      </c>
      <c r="I20" s="64">
        <f t="shared" si="11"/>
        <v>0.4</v>
      </c>
      <c r="J20" s="229">
        <f t="shared" si="11"/>
        <v>10</v>
      </c>
      <c r="K20" s="214">
        <f>IFERROR(_xlfn.AGGREGATE(16,6,K8:K16,0.5),"NM")</f>
        <v>23.244444444444444</v>
      </c>
      <c r="L20" s="54"/>
      <c r="M20" s="222">
        <f>IFERROR(MEDIAN(M8:M16),"")</f>
        <v>1100</v>
      </c>
      <c r="N20" s="214">
        <f>IFERROR(MEDIAN(N8:N16),"")</f>
        <v>1.4814814814814814</v>
      </c>
      <c r="O20" s="54"/>
      <c r="P20" s="63">
        <f t="shared" ref="P20:X20" si="12">IFERROR(MEDIAN(P8:P16),"")</f>
        <v>2</v>
      </c>
      <c r="Q20" s="118">
        <f t="shared" si="12"/>
        <v>200</v>
      </c>
      <c r="R20" s="64">
        <f t="shared" si="12"/>
        <v>2.4888888888888887E-2</v>
      </c>
      <c r="S20" s="118">
        <f t="shared" si="12"/>
        <v>0</v>
      </c>
      <c r="T20" s="64">
        <f t="shared" si="12"/>
        <v>0</v>
      </c>
      <c r="U20" s="118">
        <f t="shared" si="12"/>
        <v>5390</v>
      </c>
      <c r="V20" s="64">
        <f t="shared" si="12"/>
        <v>0.97511111111111115</v>
      </c>
      <c r="W20" s="230">
        <f t="shared" si="12"/>
        <v>0.21</v>
      </c>
      <c r="X20" s="63">
        <f t="shared" si="12"/>
        <v>1.9230769230769229</v>
      </c>
    </row>
    <row r="21" spans="1:24" x14ac:dyDescent="0.3">
      <c r="A21" s="1" t="s">
        <v>473</v>
      </c>
      <c r="C21" s="118">
        <f t="shared" ref="C21:J21" si="13">IFERROR(AVERAGE(C8:C16),"")</f>
        <v>13330</v>
      </c>
      <c r="D21" s="118">
        <f t="shared" si="13"/>
        <v>13146.666666666666</v>
      </c>
      <c r="E21" s="118">
        <f t="shared" si="13"/>
        <v>610.33333333333337</v>
      </c>
      <c r="F21" s="228">
        <f t="shared" si="13"/>
        <v>0.22477777777777774</v>
      </c>
      <c r="G21" s="64">
        <f t="shared" si="13"/>
        <v>-8.2222222222222224E-2</v>
      </c>
      <c r="H21" s="64">
        <f t="shared" si="13"/>
        <v>0.19122222222222224</v>
      </c>
      <c r="I21" s="64">
        <f t="shared" si="13"/>
        <v>0.3899999999999999</v>
      </c>
      <c r="J21" s="229">
        <f t="shared" si="13"/>
        <v>24.654041039066364</v>
      </c>
      <c r="K21" s="214">
        <f>IFERROR(_xlfn.AGGREGATE(1,6,K8:K16),"NM")</f>
        <v>23.244444444444444</v>
      </c>
      <c r="L21" s="54"/>
      <c r="M21" s="222">
        <f>IFERROR(AVERAGE(M8:M16),"")</f>
        <v>1158.1111111111111</v>
      </c>
      <c r="N21" s="214">
        <f>IFERROR(AVERAGE(N8:N16),"")</f>
        <v>2.5861467218216752</v>
      </c>
      <c r="O21" s="54"/>
      <c r="P21" s="63">
        <f t="shared" ref="P21:X21" si="14">IFERROR(AVERAGE(P8:P16),"")</f>
        <v>1.8277777777777782</v>
      </c>
      <c r="Q21" s="118">
        <f t="shared" si="14"/>
        <v>248.55555555555554</v>
      </c>
      <c r="R21" s="64">
        <f t="shared" si="14"/>
        <v>3.4631858697502946E-2</v>
      </c>
      <c r="S21" s="118">
        <f t="shared" si="14"/>
        <v>0.77777777777777779</v>
      </c>
      <c r="T21" s="64">
        <f t="shared" si="14"/>
        <v>1.4263300527742119E-4</v>
      </c>
      <c r="U21" s="118">
        <f t="shared" si="14"/>
        <v>12372.222222222223</v>
      </c>
      <c r="V21" s="64">
        <f t="shared" si="14"/>
        <v>0.96522550829721965</v>
      </c>
      <c r="W21" s="230">
        <f t="shared" si="14"/>
        <v>0.21611111111111109</v>
      </c>
      <c r="X21" s="63">
        <f t="shared" si="14"/>
        <v>1.7869354258656018</v>
      </c>
    </row>
    <row r="22" spans="1:24" x14ac:dyDescent="0.3">
      <c r="A22" s="1" t="s">
        <v>474</v>
      </c>
      <c r="C22" s="118">
        <f t="shared" ref="C22:J22" si="15">IFERROR(QUARTILE(C8:C16,3),"")</f>
        <v>9410</v>
      </c>
      <c r="D22" s="118">
        <f t="shared" si="15"/>
        <v>9650</v>
      </c>
      <c r="E22" s="118">
        <f t="shared" si="15"/>
        <v>821</v>
      </c>
      <c r="F22" s="228">
        <f t="shared" si="15"/>
        <v>0.28000000000000003</v>
      </c>
      <c r="G22" s="64">
        <f t="shared" si="15"/>
        <v>0.08</v>
      </c>
      <c r="H22" s="64">
        <f t="shared" si="15"/>
        <v>0.25600000000000001</v>
      </c>
      <c r="I22" s="64">
        <f t="shared" si="15"/>
        <v>0.48</v>
      </c>
      <c r="J22" s="229">
        <f t="shared" si="15"/>
        <v>17.168674698795179</v>
      </c>
      <c r="K22" s="214">
        <f>IFERROR(_xlfn.AGGREGATE(16,6,K8:K16,0.75),"NM")</f>
        <v>23.244444444444444</v>
      </c>
      <c r="L22" s="54"/>
      <c r="M22" s="222">
        <f>IFERROR(QUARTILE(M8:M16,3),"")</f>
        <v>1500</v>
      </c>
      <c r="N22" s="214">
        <f>IFERROR(QUARTILE(N8:N16,3),"")</f>
        <v>3.654485049833887</v>
      </c>
      <c r="O22" s="54"/>
      <c r="P22" s="63">
        <f t="shared" ref="P22:X22" si="16">IFERROR(QUARTILE(P8:P16,3),"")</f>
        <v>2.5</v>
      </c>
      <c r="Q22" s="118">
        <f t="shared" si="16"/>
        <v>280</v>
      </c>
      <c r="R22" s="64">
        <f t="shared" si="16"/>
        <v>4.8207663782447466E-2</v>
      </c>
      <c r="S22" s="118">
        <f t="shared" si="16"/>
        <v>0</v>
      </c>
      <c r="T22" s="64">
        <f t="shared" si="16"/>
        <v>0</v>
      </c>
      <c r="U22" s="118">
        <f t="shared" si="16"/>
        <v>9410</v>
      </c>
      <c r="V22" s="64">
        <f t="shared" si="16"/>
        <v>0.98245614035087714</v>
      </c>
      <c r="W22" s="230">
        <f t="shared" si="16"/>
        <v>0.21</v>
      </c>
      <c r="X22" s="63">
        <f t="shared" si="16"/>
        <v>2.4611143925969676</v>
      </c>
    </row>
    <row r="23" spans="1:24" x14ac:dyDescent="0.3">
      <c r="A23" s="1" t="s">
        <v>475</v>
      </c>
      <c r="C23" s="118">
        <f t="shared" ref="C23:J23" si="17">IFERROR(MAX(C8:C16),"")</f>
        <v>74950</v>
      </c>
      <c r="D23" s="118">
        <f t="shared" si="17"/>
        <v>73700</v>
      </c>
      <c r="E23" s="118">
        <f t="shared" si="17"/>
        <v>1350</v>
      </c>
      <c r="F23" s="228">
        <f t="shared" si="17"/>
        <v>0.317</v>
      </c>
      <c r="G23" s="64">
        <f t="shared" si="17"/>
        <v>0.18</v>
      </c>
      <c r="H23" s="64">
        <f t="shared" si="17"/>
        <v>0.5</v>
      </c>
      <c r="I23" s="64">
        <f t="shared" si="17"/>
        <v>0.55000000000000004</v>
      </c>
      <c r="J23" s="229">
        <f t="shared" si="17"/>
        <v>122.42524916943522</v>
      </c>
      <c r="K23" s="214">
        <f>IFERROR(_xlfn.AGGREGATE(14,6,K8:K16,1),"NM")</f>
        <v>23.244444444444444</v>
      </c>
      <c r="L23" s="54"/>
      <c r="M23" s="222">
        <f>IFERROR(MAX(M8:M16),"")</f>
        <v>2200</v>
      </c>
      <c r="N23" s="214">
        <f>IFERROR(MAX(N8:N16),"")</f>
        <v>7.0270270270270272</v>
      </c>
      <c r="O23" s="54"/>
      <c r="P23" s="63">
        <f t="shared" ref="P23:X23" si="18">IFERROR(MAX(P8:P16),"")</f>
        <v>3</v>
      </c>
      <c r="Q23" s="118">
        <f t="shared" si="18"/>
        <v>826</v>
      </c>
      <c r="R23" s="64">
        <f t="shared" si="18"/>
        <v>8.0695584212583035E-2</v>
      </c>
      <c r="S23" s="118">
        <f t="shared" si="18"/>
        <v>7</v>
      </c>
      <c r="T23" s="64">
        <f t="shared" si="18"/>
        <v>1.2836970474967907E-3</v>
      </c>
      <c r="U23" s="118">
        <f t="shared" si="18"/>
        <v>63720</v>
      </c>
      <c r="V23" s="64">
        <f t="shared" si="18"/>
        <v>0.99782332952285502</v>
      </c>
      <c r="W23" s="230">
        <f t="shared" si="18"/>
        <v>0.26500000000000001</v>
      </c>
      <c r="X23" s="63">
        <f t="shared" si="18"/>
        <v>2.9792100789987206</v>
      </c>
    </row>
    <row r="24" spans="1:24" x14ac:dyDescent="0.3">
      <c r="C24" s="54"/>
      <c r="D24" s="54"/>
      <c r="E24" s="54"/>
      <c r="G24" s="54"/>
      <c r="H24" s="54"/>
      <c r="I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 spans="1:24" x14ac:dyDescent="0.3">
      <c r="C25" s="54"/>
      <c r="D25" s="54"/>
      <c r="E25" s="54"/>
      <c r="G25" s="54"/>
      <c r="H25" s="54"/>
      <c r="I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 spans="1:24" x14ac:dyDescent="0.3">
      <c r="A26" s="4" t="s">
        <v>569</v>
      </c>
      <c r="B26" s="4"/>
      <c r="C26" s="90"/>
      <c r="D26" s="90"/>
      <c r="E26" s="90"/>
      <c r="F26" s="4"/>
      <c r="G26" s="90"/>
      <c r="H26" s="90"/>
      <c r="I26" s="90"/>
      <c r="J26" s="4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 spans="1:24" x14ac:dyDescent="0.3">
      <c r="A27" s="216" t="s">
        <v>428</v>
      </c>
      <c r="B27" s="216" t="s">
        <v>429</v>
      </c>
      <c r="C27" s="217" t="s">
        <v>415</v>
      </c>
      <c r="D27" s="217" t="s">
        <v>565</v>
      </c>
      <c r="E27" s="217" t="s">
        <v>441</v>
      </c>
      <c r="F27" s="217" t="s">
        <v>442</v>
      </c>
      <c r="G27" s="217" t="s">
        <v>90</v>
      </c>
      <c r="H27" s="217" t="s">
        <v>443</v>
      </c>
      <c r="I27" s="217" t="s">
        <v>444</v>
      </c>
      <c r="J27" s="217" t="s">
        <v>445</v>
      </c>
      <c r="K27" s="217" t="s">
        <v>445</v>
      </c>
      <c r="L27" s="217"/>
      <c r="M27" s="224" t="s">
        <v>508</v>
      </c>
      <c r="N27" s="224" t="s">
        <v>578</v>
      </c>
      <c r="O27" s="217"/>
      <c r="P27" s="217" t="s">
        <v>430</v>
      </c>
      <c r="Q27" s="217" t="s">
        <v>431</v>
      </c>
      <c r="R27" s="217" t="s">
        <v>432</v>
      </c>
      <c r="S27" s="217" t="s">
        <v>433</v>
      </c>
      <c r="T27" s="217" t="s">
        <v>434</v>
      </c>
      <c r="U27" s="217" t="s">
        <v>435</v>
      </c>
      <c r="V27" s="217" t="s">
        <v>436</v>
      </c>
      <c r="W27" s="217" t="s">
        <v>437</v>
      </c>
      <c r="X27" s="217" t="s">
        <v>438</v>
      </c>
    </row>
    <row r="28" spans="1:24" x14ac:dyDescent="0.3">
      <c r="A28" s="216"/>
      <c r="B28" s="216"/>
      <c r="C28" s="217" t="s">
        <v>447</v>
      </c>
      <c r="D28" s="217" t="s">
        <v>449</v>
      </c>
      <c r="E28" s="217" t="s">
        <v>0</v>
      </c>
      <c r="F28" s="217" t="s">
        <v>453</v>
      </c>
      <c r="G28" s="217" t="s">
        <v>453</v>
      </c>
      <c r="H28" s="217" t="s">
        <v>87</v>
      </c>
      <c r="I28" s="217" t="s">
        <v>416</v>
      </c>
      <c r="J28" s="217" t="s">
        <v>87</v>
      </c>
      <c r="K28" s="217" t="s">
        <v>90</v>
      </c>
      <c r="L28" s="217"/>
      <c r="M28" s="224" t="s">
        <v>447</v>
      </c>
      <c r="N28" s="224" t="s">
        <v>579</v>
      </c>
      <c r="O28" s="217"/>
      <c r="P28" s="217" t="s">
        <v>446</v>
      </c>
      <c r="Q28" s="217" t="s">
        <v>447</v>
      </c>
      <c r="R28" s="217"/>
      <c r="S28" s="217" t="s">
        <v>448</v>
      </c>
      <c r="T28" s="217"/>
      <c r="U28" s="217" t="s">
        <v>449</v>
      </c>
      <c r="V28" s="217"/>
      <c r="W28" s="217" t="s">
        <v>450</v>
      </c>
      <c r="X28" s="217" t="s">
        <v>446</v>
      </c>
    </row>
    <row r="29" spans="1:24" x14ac:dyDescent="0.3">
      <c r="A29" t="s">
        <v>527</v>
      </c>
      <c r="B29" t="s">
        <v>528</v>
      </c>
      <c r="C29" s="119">
        <v>170000</v>
      </c>
      <c r="D29" s="119">
        <v>196150</v>
      </c>
      <c r="E29" s="119">
        <v>92184</v>
      </c>
      <c r="F29" s="38">
        <v>4.8000000000000001E-2</v>
      </c>
      <c r="G29" s="55">
        <v>4.4999999999999998E-2</v>
      </c>
      <c r="H29" s="55">
        <v>1.7000000000000001E-2</v>
      </c>
      <c r="I29" s="55">
        <v>0.11</v>
      </c>
      <c r="J29" s="213">
        <f>IFERROR(D29/E29,"NM")</f>
        <v>2.1278095981949146</v>
      </c>
      <c r="K29" s="163">
        <f>IF(OR(G29&lt;=0,E29=0,D29=0),"NM",IF(D29/(E29*G29)&gt;100,"NM",D29/(E29*G29)))</f>
        <v>47.284657737664773</v>
      </c>
      <c r="L29" s="54"/>
      <c r="M29" s="119">
        <v>516000</v>
      </c>
      <c r="N29" s="214">
        <f>IFERROR(M29/E29,"NM")</f>
        <v>5.5975006508721687</v>
      </c>
      <c r="P29" s="61">
        <v>1.21</v>
      </c>
      <c r="Q29" s="119">
        <v>44354</v>
      </c>
      <c r="R29" s="85">
        <f>IFERROR(Q29/(Q29+S29+U29),"")</f>
        <v>0.20113003573307214</v>
      </c>
      <c r="S29" s="119">
        <v>5750</v>
      </c>
      <c r="T29" s="85">
        <f>IFERROR(S29/(Q29+S29+U29),"")</f>
        <v>2.6074259491030455E-2</v>
      </c>
      <c r="U29" s="119">
        <v>170420</v>
      </c>
      <c r="V29" s="85">
        <f>IFERROR(U29/(Q29+S29+U29),"")</f>
        <v>0.77279570477589743</v>
      </c>
      <c r="W29" s="220">
        <v>0.21</v>
      </c>
      <c r="X29" s="69">
        <f>IFERROR(P29/(1+(Q29/U29)*(1-W29)+S29/U29),"")</f>
        <v>0.97631992779118137</v>
      </c>
    </row>
    <row r="30" spans="1:24" x14ac:dyDescent="0.3">
      <c r="A30" t="s">
        <v>529</v>
      </c>
      <c r="B30" t="s">
        <v>530</v>
      </c>
      <c r="C30" s="119">
        <v>238380</v>
      </c>
      <c r="D30" s="119">
        <v>247000</v>
      </c>
      <c r="E30" s="119">
        <v>90373</v>
      </c>
      <c r="F30" s="38">
        <v>0.20200000000000001</v>
      </c>
      <c r="G30" s="55">
        <v>0.14499999999999999</v>
      </c>
      <c r="H30" s="55">
        <v>2.9000000000000001E-2</v>
      </c>
      <c r="I30" s="55">
        <v>0.1</v>
      </c>
      <c r="J30" s="213">
        <f>IFERROR(D30/E30,"NM")</f>
        <v>2.7331171920817057</v>
      </c>
      <c r="K30" s="163">
        <f>IF(OR(G30&lt;=0,E30=0,D30=0),"NM",IF(D30/(E30*G30)&gt;100,"NM",D30/(E30*G30)))</f>
        <v>18.849084083322111</v>
      </c>
      <c r="L30" s="54"/>
      <c r="M30" s="119">
        <v>217000</v>
      </c>
      <c r="N30" s="214">
        <f>IFERROR(M30/E30,"NM")</f>
        <v>2.4011596383875715</v>
      </c>
      <c r="P30" s="61">
        <v>0.3</v>
      </c>
      <c r="Q30" s="119">
        <v>38940</v>
      </c>
      <c r="R30" s="85">
        <f>IFERROR(Q30/(Q30+S30+U30),"")</f>
        <v>0.13748543586484482</v>
      </c>
      <c r="S30" s="119">
        <v>0</v>
      </c>
      <c r="T30" s="85">
        <f>IFERROR(S30/(Q30+S30+U30),"")</f>
        <v>0</v>
      </c>
      <c r="U30" s="119">
        <v>244290</v>
      </c>
      <c r="V30" s="85">
        <f>IFERROR(U30/(Q30+S30+U30),"")</f>
        <v>0.86251456413515515</v>
      </c>
      <c r="W30" s="220">
        <v>0.21</v>
      </c>
      <c r="X30" s="69">
        <f>IFERROR(P30/(1+(Q30/U30)*(1-W30)+S30/U30),"")</f>
        <v>0.26644721773217195</v>
      </c>
    </row>
    <row r="31" spans="1:24" x14ac:dyDescent="0.3">
      <c r="A31" t="s">
        <v>531</v>
      </c>
      <c r="B31" t="s">
        <v>532</v>
      </c>
      <c r="C31" s="119">
        <v>121000</v>
      </c>
      <c r="D31" s="119">
        <v>141700</v>
      </c>
      <c r="E31" s="119">
        <v>72000</v>
      </c>
      <c r="F31" s="38">
        <v>0.11</v>
      </c>
      <c r="G31" s="55">
        <v>0.13</v>
      </c>
      <c r="H31" s="55">
        <v>1.6E-2</v>
      </c>
      <c r="I31" s="55">
        <v>0.04</v>
      </c>
      <c r="J31" s="213">
        <f>IFERROR(D31/E31,"NM")</f>
        <v>1.9680555555555554</v>
      </c>
      <c r="K31" s="163">
        <f>IF(OR(G31&lt;=0,E31=0,D31=0),"NM",IF(D31/(E31*G31)&gt;100,"NM",D31/(E31*G31)))</f>
        <v>15.138888888888889</v>
      </c>
      <c r="L31" s="54"/>
      <c r="M31" s="119">
        <v>160000</v>
      </c>
      <c r="N31" s="214">
        <f>IFERROR(M31/E31,"NM")</f>
        <v>2.2222222222222223</v>
      </c>
      <c r="P31" s="61">
        <v>0.2</v>
      </c>
      <c r="Q31" s="119">
        <v>20530</v>
      </c>
      <c r="R31" s="85">
        <f>IFERROR(Q31/(Q31+S31+U31),"")</f>
        <v>0.14530398471229386</v>
      </c>
      <c r="S31" s="119">
        <v>0</v>
      </c>
      <c r="T31" s="85">
        <f>IFERROR(S31/(Q31+S31+U31),"")</f>
        <v>0</v>
      </c>
      <c r="U31" s="119">
        <v>120760</v>
      </c>
      <c r="V31" s="85">
        <f>IFERROR(U31/(Q31+S31+U31),"")</f>
        <v>0.85469601528770611</v>
      </c>
      <c r="W31" s="220">
        <v>0.21</v>
      </c>
      <c r="X31" s="69">
        <f>IFERROR(P31/(1+(Q31/U31)*(1-W31)+S31/U31),"")</f>
        <v>0.17631938396261609</v>
      </c>
    </row>
    <row r="32" spans="1:24" x14ac:dyDescent="0.3">
      <c r="A32" t="s">
        <v>533</v>
      </c>
      <c r="B32" t="s">
        <v>534</v>
      </c>
      <c r="C32" s="119">
        <v>92350</v>
      </c>
      <c r="D32" s="119">
        <v>99000</v>
      </c>
      <c r="E32" s="119">
        <v>53810</v>
      </c>
      <c r="F32" s="38">
        <v>0.152</v>
      </c>
      <c r="G32" s="55">
        <v>0.13</v>
      </c>
      <c r="H32" s="55">
        <v>1.2999999999999999E-2</v>
      </c>
      <c r="I32" s="55">
        <v>0.1</v>
      </c>
      <c r="J32" s="213">
        <f>IFERROR(D32/E32,"NM")</f>
        <v>1.8398067273740941</v>
      </c>
      <c r="K32" s="163">
        <f>IF(OR(G32&lt;=0,E32=0,D32=0),"NM",IF(D32/(E32*G32)&gt;100,"NM",D32/(E32*G32)))</f>
        <v>14.152359441339184</v>
      </c>
      <c r="L32" s="54"/>
      <c r="M32" s="119">
        <v>100000</v>
      </c>
      <c r="N32" s="214">
        <f>IFERROR(M32/E32,"NM")</f>
        <v>1.8583906337112062</v>
      </c>
      <c r="P32" s="61">
        <v>0.5</v>
      </c>
      <c r="Q32" s="119">
        <v>12800</v>
      </c>
      <c r="R32" s="85">
        <f>IFERROR(Q32/(Q32+S32+U32),"")</f>
        <v>0.12019907972579585</v>
      </c>
      <c r="S32" s="119">
        <v>0</v>
      </c>
      <c r="T32" s="85">
        <f>IFERROR(S32/(Q32+S32+U32),"")</f>
        <v>0</v>
      </c>
      <c r="U32" s="119">
        <v>93690</v>
      </c>
      <c r="V32" s="85">
        <f>IFERROR(U32/(Q32+S32+U32),"")</f>
        <v>0.8798009202742042</v>
      </c>
      <c r="W32" s="220">
        <v>0.21</v>
      </c>
      <c r="X32" s="69">
        <f>IFERROR(P32/(1+(Q32/U32)*(1-W32)+S32/U32),"")</f>
        <v>0.45129188262268549</v>
      </c>
    </row>
    <row r="33" spans="1:24" x14ac:dyDescent="0.3">
      <c r="A33" t="s">
        <v>535</v>
      </c>
      <c r="B33" t="s">
        <v>536</v>
      </c>
      <c r="C33" s="119">
        <v>79800</v>
      </c>
      <c r="D33" s="119">
        <v>94000</v>
      </c>
      <c r="E33" s="119">
        <v>42000</v>
      </c>
      <c r="F33" s="38">
        <v>0.2</v>
      </c>
      <c r="G33" s="55">
        <v>0.16</v>
      </c>
      <c r="H33" s="55">
        <v>1.6E-2</v>
      </c>
      <c r="I33" s="55">
        <v>0.03</v>
      </c>
      <c r="J33" s="213">
        <f>IFERROR(D33/E33,"NM")</f>
        <v>2.2380952380952381</v>
      </c>
      <c r="K33" s="163">
        <f>IF(OR(G33&lt;=0,E33=0,D33=0),"NM",IF(D33/(E33*G33)&gt;100,"NM",D33/(E33*G33)))</f>
        <v>13.988095238095237</v>
      </c>
      <c r="L33" s="54"/>
      <c r="M33" s="119">
        <v>90000</v>
      </c>
      <c r="N33" s="214">
        <f>IFERROR(M33/E33,"NM")</f>
        <v>2.1428571428571428</v>
      </c>
      <c r="P33" s="61">
        <v>0.05</v>
      </c>
      <c r="Q33" s="119">
        <v>14600</v>
      </c>
      <c r="R33" s="85">
        <f>IFERROR(Q33/(Q33+S33+U33),"")</f>
        <v>0.15883376849434291</v>
      </c>
      <c r="S33" s="119">
        <v>0</v>
      </c>
      <c r="T33" s="85">
        <f>IFERROR(S33/(Q33+S33+U33),"")</f>
        <v>0</v>
      </c>
      <c r="U33" s="119">
        <v>77320</v>
      </c>
      <c r="V33" s="85">
        <f>IFERROR(U33/(Q33+S33+U33),"")</f>
        <v>0.84116623150565706</v>
      </c>
      <c r="W33" s="220">
        <v>0.21</v>
      </c>
      <c r="X33" s="69">
        <f>IFERROR(P33/(1+(Q33/U33)*(1-W33)+S33/U33),"")</f>
        <v>4.3509577509172351E-2</v>
      </c>
    </row>
    <row r="34" spans="1:24" x14ac:dyDescent="0.3">
      <c r="C34" s="118"/>
      <c r="D34" s="118"/>
      <c r="E34" s="118"/>
      <c r="G34" s="64"/>
      <c r="H34" s="64"/>
      <c r="I34" s="64"/>
      <c r="K34" s="163"/>
      <c r="L34" s="54"/>
      <c r="M34" s="118"/>
      <c r="N34" s="163"/>
      <c r="O34" s="54"/>
      <c r="P34" s="63"/>
      <c r="Q34" s="118"/>
      <c r="R34" s="64"/>
      <c r="S34" s="118"/>
      <c r="T34" s="64"/>
      <c r="U34" s="118"/>
      <c r="V34" s="64"/>
      <c r="W34" s="54"/>
      <c r="X34" s="63"/>
    </row>
    <row r="35" spans="1:24" x14ac:dyDescent="0.3">
      <c r="A35" s="1" t="s">
        <v>470</v>
      </c>
      <c r="C35" s="118">
        <f t="shared" ref="C35:K35" si="19">IFERROR(MIN(C29:C33),"")</f>
        <v>79800</v>
      </c>
      <c r="D35" s="118">
        <f t="shared" si="19"/>
        <v>94000</v>
      </c>
      <c r="E35" s="118">
        <f t="shared" si="19"/>
        <v>42000</v>
      </c>
      <c r="F35" s="228">
        <f t="shared" si="19"/>
        <v>4.8000000000000001E-2</v>
      </c>
      <c r="G35" s="64">
        <f t="shared" si="19"/>
        <v>4.4999999999999998E-2</v>
      </c>
      <c r="H35" s="64">
        <f t="shared" si="19"/>
        <v>1.2999999999999999E-2</v>
      </c>
      <c r="I35" s="64">
        <f t="shared" si="19"/>
        <v>0.03</v>
      </c>
      <c r="J35" s="229">
        <f t="shared" si="19"/>
        <v>1.8398067273740941</v>
      </c>
      <c r="K35" s="163">
        <f t="shared" si="19"/>
        <v>13.988095238095237</v>
      </c>
      <c r="L35" s="54"/>
      <c r="M35" s="222">
        <f>IFERROR(MIN(M29:M33),"")</f>
        <v>90000</v>
      </c>
      <c r="N35" s="214">
        <f>IFERROR(MIN(N29:N33),"")</f>
        <v>1.8583906337112062</v>
      </c>
      <c r="O35" s="54"/>
      <c r="P35" s="63">
        <f t="shared" ref="P35:X35" si="20">IFERROR(MIN(P29:P33),"")</f>
        <v>0.05</v>
      </c>
      <c r="Q35" s="118">
        <f t="shared" si="20"/>
        <v>12800</v>
      </c>
      <c r="R35" s="64">
        <f t="shared" si="20"/>
        <v>0.12019907972579585</v>
      </c>
      <c r="S35" s="118">
        <f t="shared" si="20"/>
        <v>0</v>
      </c>
      <c r="T35" s="64">
        <f t="shared" si="20"/>
        <v>0</v>
      </c>
      <c r="U35" s="118">
        <f t="shared" si="20"/>
        <v>77320</v>
      </c>
      <c r="V35" s="64">
        <f t="shared" si="20"/>
        <v>0.77279570477589743</v>
      </c>
      <c r="W35" s="230">
        <f t="shared" si="20"/>
        <v>0.21</v>
      </c>
      <c r="X35" s="63">
        <f t="shared" si="20"/>
        <v>4.3509577509172351E-2</v>
      </c>
    </row>
    <row r="36" spans="1:24" x14ac:dyDescent="0.3">
      <c r="A36" s="1" t="s">
        <v>471</v>
      </c>
      <c r="C36" s="118">
        <f t="shared" ref="C36:K36" si="21">IFERROR(QUARTILE(C29:C33,1),"")</f>
        <v>92350</v>
      </c>
      <c r="D36" s="118">
        <f t="shared" si="21"/>
        <v>99000</v>
      </c>
      <c r="E36" s="118">
        <f t="shared" si="21"/>
        <v>53810</v>
      </c>
      <c r="F36" s="228">
        <f t="shared" si="21"/>
        <v>0.11</v>
      </c>
      <c r="G36" s="64">
        <f t="shared" si="21"/>
        <v>0.13</v>
      </c>
      <c r="H36" s="64">
        <f t="shared" si="21"/>
        <v>1.6E-2</v>
      </c>
      <c r="I36" s="64">
        <f t="shared" si="21"/>
        <v>0.04</v>
      </c>
      <c r="J36" s="229">
        <f t="shared" si="21"/>
        <v>1.9680555555555554</v>
      </c>
      <c r="K36" s="163">
        <f t="shared" si="21"/>
        <v>14.152359441339184</v>
      </c>
      <c r="L36" s="54"/>
      <c r="M36" s="222">
        <f>IFERROR(QUARTILE(M29:M33,1),"")</f>
        <v>100000</v>
      </c>
      <c r="N36" s="214">
        <f>IFERROR(QUARTILE(N29:N33,1),"")</f>
        <v>2.1428571428571428</v>
      </c>
      <c r="O36" s="54"/>
      <c r="P36" s="63">
        <f t="shared" ref="P36:X36" si="22">IFERROR(QUARTILE(P29:P33,1),"")</f>
        <v>0.2</v>
      </c>
      <c r="Q36" s="118">
        <f t="shared" si="22"/>
        <v>14600</v>
      </c>
      <c r="R36" s="64">
        <f t="shared" si="22"/>
        <v>0.13748543586484482</v>
      </c>
      <c r="S36" s="118">
        <f t="shared" si="22"/>
        <v>0</v>
      </c>
      <c r="T36" s="64">
        <f t="shared" si="22"/>
        <v>0</v>
      </c>
      <c r="U36" s="118">
        <f t="shared" si="22"/>
        <v>93690</v>
      </c>
      <c r="V36" s="64">
        <f t="shared" si="22"/>
        <v>0.84116623150565706</v>
      </c>
      <c r="W36" s="230">
        <f t="shared" si="22"/>
        <v>0.21</v>
      </c>
      <c r="X36" s="63">
        <f t="shared" si="22"/>
        <v>0.17631938396261609</v>
      </c>
    </row>
    <row r="37" spans="1:24" x14ac:dyDescent="0.3">
      <c r="A37" s="1" t="s">
        <v>472</v>
      </c>
      <c r="C37" s="118">
        <f t="shared" ref="C37:K37" si="23">IFERROR(MEDIAN(C29:C33),"")</f>
        <v>121000</v>
      </c>
      <c r="D37" s="118">
        <f t="shared" si="23"/>
        <v>141700</v>
      </c>
      <c r="E37" s="118">
        <f t="shared" si="23"/>
        <v>72000</v>
      </c>
      <c r="F37" s="228">
        <f t="shared" si="23"/>
        <v>0.152</v>
      </c>
      <c r="G37" s="64">
        <f t="shared" si="23"/>
        <v>0.13</v>
      </c>
      <c r="H37" s="64">
        <f t="shared" si="23"/>
        <v>1.6E-2</v>
      </c>
      <c r="I37" s="64">
        <f t="shared" si="23"/>
        <v>0.1</v>
      </c>
      <c r="J37" s="229">
        <f t="shared" si="23"/>
        <v>2.1278095981949146</v>
      </c>
      <c r="K37" s="163">
        <f t="shared" si="23"/>
        <v>15.138888888888889</v>
      </c>
      <c r="L37" s="54"/>
      <c r="M37" s="222">
        <f>IFERROR(MEDIAN(M29:M33),"")</f>
        <v>160000</v>
      </c>
      <c r="N37" s="214">
        <f>IFERROR(MEDIAN(N29:N33),"")</f>
        <v>2.2222222222222223</v>
      </c>
      <c r="O37" s="54"/>
      <c r="P37" s="63">
        <f t="shared" ref="P37:X37" si="24">IFERROR(MEDIAN(P29:P33),"")</f>
        <v>0.3</v>
      </c>
      <c r="Q37" s="118">
        <f t="shared" si="24"/>
        <v>20530</v>
      </c>
      <c r="R37" s="64">
        <f t="shared" si="24"/>
        <v>0.14530398471229386</v>
      </c>
      <c r="S37" s="118">
        <f t="shared" si="24"/>
        <v>0</v>
      </c>
      <c r="T37" s="64">
        <f t="shared" si="24"/>
        <v>0</v>
      </c>
      <c r="U37" s="118">
        <f t="shared" si="24"/>
        <v>120760</v>
      </c>
      <c r="V37" s="64">
        <f t="shared" si="24"/>
        <v>0.85469601528770611</v>
      </c>
      <c r="W37" s="230">
        <f t="shared" si="24"/>
        <v>0.21</v>
      </c>
      <c r="X37" s="63">
        <f t="shared" si="24"/>
        <v>0.26644721773217195</v>
      </c>
    </row>
    <row r="38" spans="1:24" x14ac:dyDescent="0.3">
      <c r="A38" s="1" t="s">
        <v>473</v>
      </c>
      <c r="C38" s="118">
        <f t="shared" ref="C38:K38" si="25">IFERROR(AVERAGE(C29:C33),"")</f>
        <v>140306</v>
      </c>
      <c r="D38" s="118">
        <f t="shared" si="25"/>
        <v>155570</v>
      </c>
      <c r="E38" s="118">
        <f t="shared" si="25"/>
        <v>70073.399999999994</v>
      </c>
      <c r="F38" s="228">
        <f t="shared" si="25"/>
        <v>0.1424</v>
      </c>
      <c r="G38" s="64">
        <f t="shared" si="25"/>
        <v>0.122</v>
      </c>
      <c r="H38" s="64">
        <f t="shared" si="25"/>
        <v>1.8200000000000001E-2</v>
      </c>
      <c r="I38" s="64">
        <f t="shared" si="25"/>
        <v>7.5999999999999998E-2</v>
      </c>
      <c r="J38" s="229">
        <f t="shared" si="25"/>
        <v>2.1813768622603016</v>
      </c>
      <c r="K38" s="163">
        <f t="shared" si="25"/>
        <v>21.88261707786204</v>
      </c>
      <c r="L38" s="54"/>
      <c r="M38" s="222">
        <f>IFERROR(AVERAGE(M29:M33),"")</f>
        <v>216600</v>
      </c>
      <c r="N38" s="214">
        <f>IFERROR(AVERAGE(N29:N33),"")</f>
        <v>2.8444260576100624</v>
      </c>
      <c r="O38" s="54"/>
      <c r="P38" s="63">
        <f t="shared" ref="P38:X38" si="26">IFERROR(AVERAGE(P29:P33),"")</f>
        <v>0.45199999999999996</v>
      </c>
      <c r="Q38" s="118">
        <f t="shared" si="26"/>
        <v>26244.799999999999</v>
      </c>
      <c r="R38" s="64">
        <f t="shared" si="26"/>
        <v>0.15259046090606992</v>
      </c>
      <c r="S38" s="118">
        <f t="shared" si="26"/>
        <v>1150</v>
      </c>
      <c r="T38" s="64">
        <f t="shared" si="26"/>
        <v>5.2148518982060906E-3</v>
      </c>
      <c r="U38" s="118">
        <f t="shared" si="26"/>
        <v>141296</v>
      </c>
      <c r="V38" s="64">
        <f t="shared" si="26"/>
        <v>0.8421946871957241</v>
      </c>
      <c r="W38" s="230">
        <f t="shared" si="26"/>
        <v>0.21000000000000002</v>
      </c>
      <c r="X38" s="63">
        <f t="shared" si="26"/>
        <v>0.38277759792356542</v>
      </c>
    </row>
    <row r="39" spans="1:24" x14ac:dyDescent="0.3">
      <c r="A39" s="1" t="s">
        <v>474</v>
      </c>
      <c r="C39" s="118">
        <f t="shared" ref="C39:K39" si="27">IFERROR(QUARTILE(C29:C33,3),"")</f>
        <v>170000</v>
      </c>
      <c r="D39" s="118">
        <f t="shared" si="27"/>
        <v>196150</v>
      </c>
      <c r="E39" s="118">
        <f t="shared" si="27"/>
        <v>90373</v>
      </c>
      <c r="F39" s="228">
        <f t="shared" si="27"/>
        <v>0.2</v>
      </c>
      <c r="G39" s="64">
        <f t="shared" si="27"/>
        <v>0.14499999999999999</v>
      </c>
      <c r="H39" s="64">
        <f t="shared" si="27"/>
        <v>1.7000000000000001E-2</v>
      </c>
      <c r="I39" s="64">
        <f t="shared" si="27"/>
        <v>0.1</v>
      </c>
      <c r="J39" s="229">
        <f t="shared" si="27"/>
        <v>2.2380952380952381</v>
      </c>
      <c r="K39" s="163">
        <f t="shared" si="27"/>
        <v>18.849084083322111</v>
      </c>
      <c r="L39" s="54"/>
      <c r="M39" s="222">
        <f>IFERROR(QUARTILE(M29:M33,3),"")</f>
        <v>217000</v>
      </c>
      <c r="N39" s="214">
        <f>IFERROR(QUARTILE(N29:N33,3),"")</f>
        <v>2.4011596383875715</v>
      </c>
      <c r="O39" s="54"/>
      <c r="P39" s="63">
        <f t="shared" ref="P39:X39" si="28">IFERROR(QUARTILE(P29:P33,3),"")</f>
        <v>0.5</v>
      </c>
      <c r="Q39" s="118">
        <f t="shared" si="28"/>
        <v>38940</v>
      </c>
      <c r="R39" s="64">
        <f t="shared" si="28"/>
        <v>0.15883376849434291</v>
      </c>
      <c r="S39" s="118">
        <f t="shared" si="28"/>
        <v>0</v>
      </c>
      <c r="T39" s="64">
        <f t="shared" si="28"/>
        <v>0</v>
      </c>
      <c r="U39" s="118">
        <f t="shared" si="28"/>
        <v>170420</v>
      </c>
      <c r="V39" s="64">
        <f t="shared" si="28"/>
        <v>0.86251456413515515</v>
      </c>
      <c r="W39" s="230">
        <f t="shared" si="28"/>
        <v>0.21</v>
      </c>
      <c r="X39" s="63">
        <f t="shared" si="28"/>
        <v>0.45129188262268549</v>
      </c>
    </row>
    <row r="40" spans="1:24" x14ac:dyDescent="0.3">
      <c r="A40" s="1" t="s">
        <v>475</v>
      </c>
      <c r="C40" s="118">
        <f t="shared" ref="C40:K40" si="29">IFERROR(MAX(C29:C33),"")</f>
        <v>238380</v>
      </c>
      <c r="D40" s="118">
        <f t="shared" si="29"/>
        <v>247000</v>
      </c>
      <c r="E40" s="118">
        <f t="shared" si="29"/>
        <v>92184</v>
      </c>
      <c r="F40" s="228">
        <f t="shared" si="29"/>
        <v>0.20200000000000001</v>
      </c>
      <c r="G40" s="64">
        <f t="shared" si="29"/>
        <v>0.16</v>
      </c>
      <c r="H40" s="64">
        <f t="shared" si="29"/>
        <v>2.9000000000000001E-2</v>
      </c>
      <c r="I40" s="64">
        <f t="shared" si="29"/>
        <v>0.11</v>
      </c>
      <c r="J40" s="229">
        <f t="shared" si="29"/>
        <v>2.7331171920817057</v>
      </c>
      <c r="K40" s="163">
        <f t="shared" si="29"/>
        <v>47.284657737664773</v>
      </c>
      <c r="L40" s="54"/>
      <c r="M40" s="222">
        <f>IFERROR(MAX(M29:M33),"")</f>
        <v>516000</v>
      </c>
      <c r="N40" s="214">
        <f>IFERROR(MAX(N29:N33),"")</f>
        <v>5.5975006508721687</v>
      </c>
      <c r="O40" s="54"/>
      <c r="P40" s="63">
        <f t="shared" ref="P40:X40" si="30">IFERROR(MAX(P29:P33),"")</f>
        <v>1.21</v>
      </c>
      <c r="Q40" s="118">
        <f t="shared" si="30"/>
        <v>44354</v>
      </c>
      <c r="R40" s="64">
        <f t="shared" si="30"/>
        <v>0.20113003573307214</v>
      </c>
      <c r="S40" s="118">
        <f t="shared" si="30"/>
        <v>5750</v>
      </c>
      <c r="T40" s="64">
        <f t="shared" si="30"/>
        <v>2.6074259491030455E-2</v>
      </c>
      <c r="U40" s="118">
        <f t="shared" si="30"/>
        <v>244290</v>
      </c>
      <c r="V40" s="64">
        <f t="shared" si="30"/>
        <v>0.8798009202742042</v>
      </c>
      <c r="W40" s="230">
        <f t="shared" si="30"/>
        <v>0.21</v>
      </c>
      <c r="X40" s="63">
        <f t="shared" si="30"/>
        <v>0.97631992779118137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A8D1-FE90-4028-88B9-EB9BBFFEDAB2}">
  <sheetPr>
    <tabColor rgb="FFED7D31"/>
  </sheetPr>
  <dimension ref="A1:X50"/>
  <sheetViews>
    <sheetView showGridLines="0" zoomScale="85" zoomScaleNormal="85" workbookViewId="0">
      <pane ySplit="3" topLeftCell="A4" activePane="bottomLeft" state="frozen"/>
      <selection pane="bottomLeft" activeCell="D47" sqref="D47:K47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customWidth="1"/>
  </cols>
  <sheetData>
    <row r="1" spans="1:24" ht="30" customHeight="1" x14ac:dyDescent="0.3">
      <c r="A1" s="324" t="s">
        <v>774</v>
      </c>
    </row>
    <row r="2" spans="1:24" x14ac:dyDescent="0.3">
      <c r="A2" s="219" t="s">
        <v>537</v>
      </c>
    </row>
    <row r="3" spans="1:24" x14ac:dyDescent="0.3">
      <c r="A3" s="219" t="s">
        <v>538</v>
      </c>
    </row>
    <row r="5" spans="1:24" x14ac:dyDescent="0.3">
      <c r="A5" s="4" t="s">
        <v>570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">
      <c r="A6" s="216" t="s">
        <v>428</v>
      </c>
      <c r="B6" s="216" t="s">
        <v>429</v>
      </c>
      <c r="C6" s="217" t="s">
        <v>415</v>
      </c>
      <c r="D6" s="217" t="s">
        <v>565</v>
      </c>
      <c r="E6" s="217" t="s">
        <v>441</v>
      </c>
      <c r="F6" s="217" t="s">
        <v>442</v>
      </c>
      <c r="G6" s="217" t="s">
        <v>90</v>
      </c>
      <c r="H6" s="217" t="s">
        <v>667</v>
      </c>
      <c r="I6" s="217" t="s">
        <v>444</v>
      </c>
      <c r="J6" s="217" t="s">
        <v>445</v>
      </c>
      <c r="K6" s="217" t="s">
        <v>445</v>
      </c>
      <c r="L6" s="217"/>
      <c r="M6" s="224" t="s">
        <v>580</v>
      </c>
      <c r="N6" s="224" t="s">
        <v>582</v>
      </c>
      <c r="O6" s="217"/>
      <c r="P6" s="217" t="s">
        <v>430</v>
      </c>
      <c r="Q6" s="217" t="s">
        <v>431</v>
      </c>
      <c r="R6" s="217" t="s">
        <v>432</v>
      </c>
      <c r="S6" s="217" t="s">
        <v>433</v>
      </c>
      <c r="T6" s="217" t="s">
        <v>434</v>
      </c>
      <c r="U6" s="217" t="s">
        <v>435</v>
      </c>
      <c r="V6" s="217" t="s">
        <v>436</v>
      </c>
      <c r="W6" s="217" t="s">
        <v>437</v>
      </c>
      <c r="X6" s="217" t="s">
        <v>438</v>
      </c>
    </row>
    <row r="7" spans="1:24" x14ac:dyDescent="0.3">
      <c r="A7" s="216"/>
      <c r="B7" s="216"/>
      <c r="C7" s="217" t="s">
        <v>447</v>
      </c>
      <c r="D7" s="217" t="s">
        <v>449</v>
      </c>
      <c r="E7" s="217" t="s">
        <v>0</v>
      </c>
      <c r="F7" s="217" t="s">
        <v>453</v>
      </c>
      <c r="G7" s="217" t="s">
        <v>453</v>
      </c>
      <c r="H7" s="217" t="s">
        <v>87</v>
      </c>
      <c r="I7" s="217" t="s">
        <v>416</v>
      </c>
      <c r="J7" s="217" t="s">
        <v>87</v>
      </c>
      <c r="K7" s="217" t="s">
        <v>90</v>
      </c>
      <c r="L7" s="217"/>
      <c r="M7" s="224" t="s">
        <v>581</v>
      </c>
      <c r="N7" s="224" t="s">
        <v>583</v>
      </c>
      <c r="O7" s="217"/>
      <c r="P7" s="217" t="s">
        <v>446</v>
      </c>
      <c r="Q7" s="217" t="s">
        <v>447</v>
      </c>
      <c r="R7" s="217"/>
      <c r="S7" s="217" t="s">
        <v>448</v>
      </c>
      <c r="T7" s="217"/>
      <c r="U7" s="217" t="s">
        <v>449</v>
      </c>
      <c r="V7" s="217"/>
      <c r="W7" s="217" t="s">
        <v>450</v>
      </c>
      <c r="X7" s="217" t="s">
        <v>446</v>
      </c>
    </row>
    <row r="8" spans="1:24" x14ac:dyDescent="0.3">
      <c r="A8" t="s">
        <v>539</v>
      </c>
      <c r="B8" t="s">
        <v>540</v>
      </c>
      <c r="C8" s="119">
        <v>55470</v>
      </c>
      <c r="D8" s="119">
        <v>88930</v>
      </c>
      <c r="E8" s="137">
        <v>6230</v>
      </c>
      <c r="F8" s="55">
        <v>-0.28999999999999998</v>
      </c>
      <c r="G8" s="55">
        <v>-0.28999999999999998</v>
      </c>
      <c r="H8" s="105">
        <v>5</v>
      </c>
      <c r="I8" s="55">
        <v>1.1200000000000001</v>
      </c>
      <c r="J8" s="214">
        <f>IFERROR(D8/E8,"NM")</f>
        <v>14.274478330658106</v>
      </c>
      <c r="K8" s="163" t="str">
        <f>IF(OR(G8&lt;=0,E8=0,D8=0),"NM",IF(D8/(E8*G8)&gt;100,"NM",D8/(E8*G8)))</f>
        <v>NM</v>
      </c>
      <c r="L8" s="54"/>
      <c r="M8" s="215">
        <v>470</v>
      </c>
      <c r="N8" s="225">
        <f>IFERROR(E8/M8,"NM")</f>
        <v>13.25531914893617</v>
      </c>
      <c r="P8" s="61">
        <v>1.8</v>
      </c>
      <c r="Q8" s="137">
        <v>35150</v>
      </c>
      <c r="R8" s="85">
        <f>IFERROR(Q8/(Q8+S8+U8),"")</f>
        <v>0.38788346943279628</v>
      </c>
      <c r="S8" s="137">
        <v>0</v>
      </c>
      <c r="T8" s="64">
        <f>IFERROR(S8/(Q8+S8+U8),"")</f>
        <v>0</v>
      </c>
      <c r="U8" s="137">
        <v>55470</v>
      </c>
      <c r="V8" s="85">
        <f>IFERROR(U8/(Q8+S8+U8),"")</f>
        <v>0.61211653056720372</v>
      </c>
      <c r="W8" s="220">
        <v>0.21</v>
      </c>
      <c r="X8" s="69">
        <f>IFERROR(P8/(1+(Q8/U8)*(1-W8)+S8/U8),"")</f>
        <v>1.1995170504033592</v>
      </c>
    </row>
    <row r="9" spans="1:24" x14ac:dyDescent="0.3">
      <c r="A9" t="s">
        <v>541</v>
      </c>
      <c r="B9" t="s">
        <v>542</v>
      </c>
      <c r="C9" s="119">
        <v>56000</v>
      </c>
      <c r="D9" s="119">
        <v>58040</v>
      </c>
      <c r="E9" s="137">
        <v>878</v>
      </c>
      <c r="F9" s="55">
        <v>0.45</v>
      </c>
      <c r="G9" s="55">
        <v>0.45</v>
      </c>
      <c r="H9" s="105">
        <v>2.5</v>
      </c>
      <c r="I9" s="55">
        <v>6.84</v>
      </c>
      <c r="J9" s="214">
        <f>IFERROR(D9/E9,"NM")</f>
        <v>66.104783599088833</v>
      </c>
      <c r="K9" s="163" t="str">
        <f>IF(OR(G9&lt;=0,E9=0,D9=0),"NM",IF(D9/(E9*G9)&gt;100,"NM",D9/(E9*G9)))</f>
        <v>NM</v>
      </c>
      <c r="L9" s="54"/>
      <c r="M9" s="215">
        <v>300</v>
      </c>
      <c r="N9" s="225">
        <f>IFERROR(E9/M9,"NM")</f>
        <v>2.9266666666666667</v>
      </c>
      <c r="P9" s="61">
        <v>2.8</v>
      </c>
      <c r="Q9" s="137">
        <v>7800</v>
      </c>
      <c r="R9" s="85">
        <f>IFERROR(Q9/(Q9+S9+U9),"")</f>
        <v>0.12225705329153605</v>
      </c>
      <c r="S9" s="137">
        <v>0</v>
      </c>
      <c r="T9" s="64">
        <f>IFERROR(S9/(Q9+S9+U9),"")</f>
        <v>0</v>
      </c>
      <c r="U9" s="137">
        <v>56000</v>
      </c>
      <c r="V9" s="85">
        <f>IFERROR(U9/(Q9+S9+U9),"")</f>
        <v>0.87774294670846398</v>
      </c>
      <c r="W9" s="220">
        <v>0.25</v>
      </c>
      <c r="X9" s="69">
        <f>IFERROR(P9/(1+(Q9/U9)*(1-W9)+S9/U9),"")</f>
        <v>2.5351657235246563</v>
      </c>
    </row>
    <row r="10" spans="1:24" x14ac:dyDescent="0.3">
      <c r="C10" s="54"/>
      <c r="D10" s="54"/>
      <c r="E10" s="54"/>
      <c r="G10" s="54"/>
      <c r="H10" s="163"/>
      <c r="I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</row>
    <row r="11" spans="1:24" x14ac:dyDescent="0.3">
      <c r="A11" s="1" t="s">
        <v>470</v>
      </c>
      <c r="C11" s="118">
        <f t="shared" ref="C11:J11" si="0">IFERROR(MIN(C8:C9),"")</f>
        <v>55470</v>
      </c>
      <c r="D11" s="118">
        <f t="shared" si="0"/>
        <v>58040</v>
      </c>
      <c r="E11" s="117">
        <f t="shared" si="0"/>
        <v>878</v>
      </c>
      <c r="F11" s="85">
        <f t="shared" si="0"/>
        <v>-0.28999999999999998</v>
      </c>
      <c r="G11" s="64">
        <f t="shared" si="0"/>
        <v>-0.28999999999999998</v>
      </c>
      <c r="H11" s="163">
        <f t="shared" si="0"/>
        <v>2.5</v>
      </c>
      <c r="I11" s="64">
        <f t="shared" si="0"/>
        <v>1.1200000000000001</v>
      </c>
      <c r="J11" s="214">
        <f t="shared" si="0"/>
        <v>14.274478330658106</v>
      </c>
      <c r="K11" s="214" t="str">
        <f>IFERROR(_xlfn.AGGREGATE(15,6,K8:K9,1),"NM")</f>
        <v>NM</v>
      </c>
      <c r="L11" s="54"/>
      <c r="M11" s="227">
        <f>IFERROR(MIN(M8:M9),"")</f>
        <v>300</v>
      </c>
      <c r="N11" s="225">
        <f>IFERROR(MIN(N8:N9),"")</f>
        <v>2.9266666666666667</v>
      </c>
      <c r="O11" s="54"/>
      <c r="P11" s="63">
        <f t="shared" ref="P11:X11" si="1">IFERROR(MIN(P8:P9),"")</f>
        <v>1.8</v>
      </c>
      <c r="Q11" s="117">
        <f t="shared" si="1"/>
        <v>7800</v>
      </c>
      <c r="R11" s="64">
        <f t="shared" si="1"/>
        <v>0.12225705329153605</v>
      </c>
      <c r="S11" s="117">
        <f t="shared" si="1"/>
        <v>0</v>
      </c>
      <c r="T11" s="64">
        <f t="shared" si="1"/>
        <v>0</v>
      </c>
      <c r="U11" s="117">
        <f t="shared" si="1"/>
        <v>55470</v>
      </c>
      <c r="V11" s="64">
        <f t="shared" si="1"/>
        <v>0.61211653056720372</v>
      </c>
      <c r="W11" s="64">
        <f t="shared" si="1"/>
        <v>0.21</v>
      </c>
      <c r="X11" s="63">
        <f t="shared" si="1"/>
        <v>1.1995170504033592</v>
      </c>
    </row>
    <row r="12" spans="1:24" x14ac:dyDescent="0.3">
      <c r="A12" s="1" t="s">
        <v>471</v>
      </c>
      <c r="C12" s="118">
        <f t="shared" ref="C12:J12" si="2">IFERROR(QUARTILE(C8:C9,1),"")</f>
        <v>55602.5</v>
      </c>
      <c r="D12" s="118">
        <f t="shared" si="2"/>
        <v>65762.5</v>
      </c>
      <c r="E12" s="117">
        <f t="shared" si="2"/>
        <v>2216</v>
      </c>
      <c r="F12" s="85">
        <f t="shared" si="2"/>
        <v>-0.10499999999999998</v>
      </c>
      <c r="G12" s="64">
        <f t="shared" si="2"/>
        <v>-0.10499999999999998</v>
      </c>
      <c r="H12" s="163">
        <f t="shared" si="2"/>
        <v>3.125</v>
      </c>
      <c r="I12" s="64">
        <f t="shared" si="2"/>
        <v>2.5499999999999998</v>
      </c>
      <c r="J12" s="214">
        <f t="shared" si="2"/>
        <v>27.232054647765786</v>
      </c>
      <c r="K12" s="214" t="str">
        <f>IFERROR(_xlfn.AGGREGATE(16,6,K8:K9,0.25),"NM")</f>
        <v>NM</v>
      </c>
      <c r="L12" s="54"/>
      <c r="M12" s="227">
        <f>IFERROR(QUARTILE(M8:M9,1),"")</f>
        <v>342.5</v>
      </c>
      <c r="N12" s="225">
        <f>IFERROR(QUARTILE(N8:N9,1),"")</f>
        <v>5.5088297872340428</v>
      </c>
      <c r="O12" s="54"/>
      <c r="P12" s="63">
        <f t="shared" ref="P12:X12" si="3">IFERROR(QUARTILE(P8:P9,1),"")</f>
        <v>2.0499999999999998</v>
      </c>
      <c r="Q12" s="117">
        <f t="shared" si="3"/>
        <v>14637.5</v>
      </c>
      <c r="R12" s="64">
        <f t="shared" si="3"/>
        <v>0.18866365732685111</v>
      </c>
      <c r="S12" s="117">
        <f t="shared" si="3"/>
        <v>0</v>
      </c>
      <c r="T12" s="64">
        <f t="shared" si="3"/>
        <v>0</v>
      </c>
      <c r="U12" s="117">
        <f t="shared" si="3"/>
        <v>55602.5</v>
      </c>
      <c r="V12" s="64">
        <f t="shared" si="3"/>
        <v>0.67852313460251878</v>
      </c>
      <c r="W12" s="64">
        <f t="shared" si="3"/>
        <v>0.22</v>
      </c>
      <c r="X12" s="63">
        <f t="shared" si="3"/>
        <v>1.5334292186836835</v>
      </c>
    </row>
    <row r="13" spans="1:24" x14ac:dyDescent="0.3">
      <c r="A13" s="1" t="s">
        <v>472</v>
      </c>
      <c r="C13" s="118">
        <f t="shared" ref="C13:J13" si="4">IFERROR(MEDIAN(C8:C9),"")</f>
        <v>55735</v>
      </c>
      <c r="D13" s="118">
        <f t="shared" si="4"/>
        <v>73485</v>
      </c>
      <c r="E13" s="117">
        <f t="shared" si="4"/>
        <v>3554</v>
      </c>
      <c r="F13" s="85">
        <f t="shared" si="4"/>
        <v>8.0000000000000016E-2</v>
      </c>
      <c r="G13" s="64">
        <f t="shared" si="4"/>
        <v>8.0000000000000016E-2</v>
      </c>
      <c r="H13" s="163">
        <f t="shared" si="4"/>
        <v>3.75</v>
      </c>
      <c r="I13" s="64">
        <f t="shared" si="4"/>
        <v>3.98</v>
      </c>
      <c r="J13" s="214">
        <f t="shared" si="4"/>
        <v>40.189630964873473</v>
      </c>
      <c r="K13" s="214" t="str">
        <f>IFERROR(_xlfn.AGGREGATE(16,6,K8:K9,0.5),"NM")</f>
        <v>NM</v>
      </c>
      <c r="L13" s="54"/>
      <c r="M13" s="227">
        <f>IFERROR(MEDIAN(M8:M9),"")</f>
        <v>385</v>
      </c>
      <c r="N13" s="225">
        <f>IFERROR(MEDIAN(N8:N9),"")</f>
        <v>8.090992907801418</v>
      </c>
      <c r="O13" s="54"/>
      <c r="P13" s="63">
        <f t="shared" ref="P13:X13" si="5">IFERROR(MEDIAN(P8:P9),"")</f>
        <v>2.2999999999999998</v>
      </c>
      <c r="Q13" s="117">
        <f t="shared" si="5"/>
        <v>21475</v>
      </c>
      <c r="R13" s="64">
        <f t="shared" si="5"/>
        <v>0.25507026136216615</v>
      </c>
      <c r="S13" s="117">
        <f t="shared" si="5"/>
        <v>0</v>
      </c>
      <c r="T13" s="64">
        <f t="shared" si="5"/>
        <v>0</v>
      </c>
      <c r="U13" s="117">
        <f t="shared" si="5"/>
        <v>55735</v>
      </c>
      <c r="V13" s="64">
        <f t="shared" si="5"/>
        <v>0.74492973863783385</v>
      </c>
      <c r="W13" s="64">
        <f t="shared" si="5"/>
        <v>0.22999999999999998</v>
      </c>
      <c r="X13" s="63">
        <f t="shared" si="5"/>
        <v>1.8673413869640076</v>
      </c>
    </row>
    <row r="14" spans="1:24" x14ac:dyDescent="0.3">
      <c r="A14" s="1" t="s">
        <v>473</v>
      </c>
      <c r="C14" s="118">
        <f t="shared" ref="C14:J14" si="6">IFERROR(AVERAGE(C8:C9),"")</f>
        <v>55735</v>
      </c>
      <c r="D14" s="118">
        <f t="shared" si="6"/>
        <v>73485</v>
      </c>
      <c r="E14" s="117">
        <f t="shared" si="6"/>
        <v>3554</v>
      </c>
      <c r="F14" s="85">
        <f t="shared" si="6"/>
        <v>8.0000000000000016E-2</v>
      </c>
      <c r="G14" s="64">
        <f t="shared" si="6"/>
        <v>8.0000000000000016E-2</v>
      </c>
      <c r="H14" s="163">
        <f t="shared" si="6"/>
        <v>3.75</v>
      </c>
      <c r="I14" s="64">
        <f t="shared" si="6"/>
        <v>3.98</v>
      </c>
      <c r="J14" s="214">
        <f t="shared" si="6"/>
        <v>40.189630964873473</v>
      </c>
      <c r="K14" s="214" t="str">
        <f>IFERROR(_xlfn.AGGREGATE(1,6,K8:K9),"NM")</f>
        <v>NM</v>
      </c>
      <c r="L14" s="54"/>
      <c r="M14" s="227">
        <f>IFERROR(AVERAGE(M8:M9),"")</f>
        <v>385</v>
      </c>
      <c r="N14" s="225">
        <f>IFERROR(AVERAGE(N8:N9),"")</f>
        <v>8.090992907801418</v>
      </c>
      <c r="O14" s="54"/>
      <c r="P14" s="63">
        <f t="shared" ref="P14:X14" si="7">IFERROR(AVERAGE(P8:P9),"")</f>
        <v>2.2999999999999998</v>
      </c>
      <c r="Q14" s="117">
        <f t="shared" si="7"/>
        <v>21475</v>
      </c>
      <c r="R14" s="64">
        <f t="shared" si="7"/>
        <v>0.25507026136216615</v>
      </c>
      <c r="S14" s="117">
        <f t="shared" si="7"/>
        <v>0</v>
      </c>
      <c r="T14" s="64">
        <f t="shared" si="7"/>
        <v>0</v>
      </c>
      <c r="U14" s="117">
        <f t="shared" si="7"/>
        <v>55735</v>
      </c>
      <c r="V14" s="64">
        <f t="shared" si="7"/>
        <v>0.74492973863783385</v>
      </c>
      <c r="W14" s="64">
        <f t="shared" si="7"/>
        <v>0.22999999999999998</v>
      </c>
      <c r="X14" s="63">
        <f t="shared" si="7"/>
        <v>1.8673413869640076</v>
      </c>
    </row>
    <row r="15" spans="1:24" x14ac:dyDescent="0.3">
      <c r="A15" s="1" t="s">
        <v>474</v>
      </c>
      <c r="C15" s="118">
        <f t="shared" ref="C15:J15" si="8">IFERROR(QUARTILE(C8:C9,3),"")</f>
        <v>55867.5</v>
      </c>
      <c r="D15" s="118">
        <f t="shared" si="8"/>
        <v>81207.5</v>
      </c>
      <c r="E15" s="117">
        <f t="shared" si="8"/>
        <v>4892</v>
      </c>
      <c r="F15" s="85">
        <f t="shared" si="8"/>
        <v>0.26499999999999996</v>
      </c>
      <c r="G15" s="64">
        <f t="shared" si="8"/>
        <v>0.26499999999999996</v>
      </c>
      <c r="H15" s="163">
        <f t="shared" si="8"/>
        <v>4.375</v>
      </c>
      <c r="I15" s="64">
        <f t="shared" si="8"/>
        <v>5.41</v>
      </c>
      <c r="J15" s="214">
        <f t="shared" si="8"/>
        <v>53.147207281981153</v>
      </c>
      <c r="K15" s="214" t="str">
        <f>IFERROR(_xlfn.AGGREGATE(16,6,K8:K9,0.75),"NM")</f>
        <v>NM</v>
      </c>
      <c r="L15" s="54"/>
      <c r="M15" s="227">
        <f>IFERROR(QUARTILE(M8:M9,3),"")</f>
        <v>427.5</v>
      </c>
      <c r="N15" s="225">
        <f>IFERROR(QUARTILE(N8:N9,3),"")</f>
        <v>10.673156028368794</v>
      </c>
      <c r="O15" s="54"/>
      <c r="P15" s="63">
        <f t="shared" ref="P15:X15" si="9">IFERROR(QUARTILE(P8:P9,3),"")</f>
        <v>2.5499999999999998</v>
      </c>
      <c r="Q15" s="117">
        <f t="shared" si="9"/>
        <v>28312.5</v>
      </c>
      <c r="R15" s="64">
        <f t="shared" si="9"/>
        <v>0.32147686539748122</v>
      </c>
      <c r="S15" s="117">
        <f t="shared" si="9"/>
        <v>0</v>
      </c>
      <c r="T15" s="64">
        <f t="shared" si="9"/>
        <v>0</v>
      </c>
      <c r="U15" s="117">
        <f t="shared" si="9"/>
        <v>55867.5</v>
      </c>
      <c r="V15" s="64">
        <f t="shared" si="9"/>
        <v>0.81133634267314891</v>
      </c>
      <c r="W15" s="64">
        <f t="shared" si="9"/>
        <v>0.24</v>
      </c>
      <c r="X15" s="63">
        <f t="shared" si="9"/>
        <v>2.2012535552443317</v>
      </c>
    </row>
    <row r="16" spans="1:24" x14ac:dyDescent="0.3">
      <c r="A16" s="1" t="s">
        <v>475</v>
      </c>
      <c r="C16" s="118">
        <f t="shared" ref="C16:J16" si="10">IFERROR(MAX(C8:C9),"")</f>
        <v>56000</v>
      </c>
      <c r="D16" s="118">
        <f t="shared" si="10"/>
        <v>88930</v>
      </c>
      <c r="E16" s="117">
        <f t="shared" si="10"/>
        <v>6230</v>
      </c>
      <c r="F16" s="85">
        <f t="shared" si="10"/>
        <v>0.45</v>
      </c>
      <c r="G16" s="64">
        <f t="shared" si="10"/>
        <v>0.45</v>
      </c>
      <c r="H16" s="163">
        <f t="shared" si="10"/>
        <v>5</v>
      </c>
      <c r="I16" s="64">
        <f t="shared" si="10"/>
        <v>6.84</v>
      </c>
      <c r="J16" s="214">
        <f t="shared" si="10"/>
        <v>66.104783599088833</v>
      </c>
      <c r="K16" s="214" t="str">
        <f>IFERROR(_xlfn.AGGREGATE(14,6,K8:K9,1),"NM")</f>
        <v>NM</v>
      </c>
      <c r="L16" s="54"/>
      <c r="M16" s="227">
        <f>IFERROR(MAX(M8:M9),"")</f>
        <v>470</v>
      </c>
      <c r="N16" s="225">
        <f>IFERROR(MAX(N8:N9),"")</f>
        <v>13.25531914893617</v>
      </c>
      <c r="O16" s="54"/>
      <c r="P16" s="63">
        <f t="shared" ref="P16:X16" si="11">IFERROR(MAX(P8:P9),"")</f>
        <v>2.8</v>
      </c>
      <c r="Q16" s="117">
        <f t="shared" si="11"/>
        <v>35150</v>
      </c>
      <c r="R16" s="64">
        <f t="shared" si="11"/>
        <v>0.38788346943279628</v>
      </c>
      <c r="S16" s="117">
        <f t="shared" si="11"/>
        <v>0</v>
      </c>
      <c r="T16" s="64">
        <f t="shared" si="11"/>
        <v>0</v>
      </c>
      <c r="U16" s="117">
        <f t="shared" si="11"/>
        <v>56000</v>
      </c>
      <c r="V16" s="64">
        <f t="shared" si="11"/>
        <v>0.87774294670846398</v>
      </c>
      <c r="W16" s="64">
        <f t="shared" si="11"/>
        <v>0.25</v>
      </c>
      <c r="X16" s="63">
        <f t="shared" si="11"/>
        <v>2.5351657235246563</v>
      </c>
    </row>
    <row r="17" spans="1:24" x14ac:dyDescent="0.3">
      <c r="C17" s="54"/>
      <c r="D17" s="54"/>
      <c r="E17" s="54"/>
      <c r="G17" s="54"/>
      <c r="H17" s="54"/>
      <c r="I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 spans="1:24" x14ac:dyDescent="0.3">
      <c r="C18" s="54"/>
      <c r="D18" s="54"/>
      <c r="E18" s="54"/>
      <c r="G18" s="54"/>
      <c r="H18" s="54"/>
      <c r="I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</row>
    <row r="19" spans="1:24" x14ac:dyDescent="0.3">
      <c r="A19" s="4" t="s">
        <v>571</v>
      </c>
      <c r="B19" s="4"/>
      <c r="C19" s="90" t="s">
        <v>566</v>
      </c>
      <c r="D19" s="90" t="s">
        <v>565</v>
      </c>
      <c r="E19" s="90"/>
      <c r="F19" s="4"/>
      <c r="G19" s="90"/>
      <c r="H19" s="90"/>
      <c r="I19" s="90"/>
      <c r="J19" s="4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</row>
    <row r="20" spans="1:24" x14ac:dyDescent="0.3">
      <c r="A20" s="216" t="s">
        <v>428</v>
      </c>
      <c r="B20" s="216" t="s">
        <v>429</v>
      </c>
      <c r="C20" s="217" t="s">
        <v>415</v>
      </c>
      <c r="D20" s="217" t="s">
        <v>565</v>
      </c>
      <c r="E20" s="217" t="s">
        <v>441</v>
      </c>
      <c r="F20" s="217" t="s">
        <v>442</v>
      </c>
      <c r="G20" s="217" t="s">
        <v>90</v>
      </c>
      <c r="H20" s="217" t="s">
        <v>667</v>
      </c>
      <c r="I20" s="217" t="s">
        <v>444</v>
      </c>
      <c r="J20" s="217" t="s">
        <v>445</v>
      </c>
      <c r="K20" s="217" t="s">
        <v>445</v>
      </c>
      <c r="L20" s="217"/>
      <c r="M20" s="224" t="s">
        <v>580</v>
      </c>
      <c r="N20" s="224" t="s">
        <v>582</v>
      </c>
      <c r="O20" s="217"/>
      <c r="P20" s="217" t="s">
        <v>430</v>
      </c>
      <c r="Q20" s="217" t="s">
        <v>431</v>
      </c>
      <c r="R20" s="217" t="s">
        <v>432</v>
      </c>
      <c r="S20" s="217" t="s">
        <v>433</v>
      </c>
      <c r="T20" s="217" t="s">
        <v>434</v>
      </c>
      <c r="U20" s="217" t="s">
        <v>435</v>
      </c>
      <c r="V20" s="217" t="s">
        <v>436</v>
      </c>
      <c r="W20" s="217" t="s">
        <v>437</v>
      </c>
      <c r="X20" s="217" t="s">
        <v>438</v>
      </c>
    </row>
    <row r="21" spans="1:24" x14ac:dyDescent="0.3">
      <c r="A21" s="216"/>
      <c r="B21" s="216"/>
      <c r="C21" s="217" t="s">
        <v>447</v>
      </c>
      <c r="D21" s="217" t="s">
        <v>449</v>
      </c>
      <c r="E21" s="217" t="s">
        <v>0</v>
      </c>
      <c r="F21" s="217" t="s">
        <v>453</v>
      </c>
      <c r="G21" s="217" t="s">
        <v>453</v>
      </c>
      <c r="H21" s="217" t="s">
        <v>87</v>
      </c>
      <c r="I21" s="217" t="s">
        <v>416</v>
      </c>
      <c r="J21" s="217" t="s">
        <v>87</v>
      </c>
      <c r="K21" s="217" t="s">
        <v>90</v>
      </c>
      <c r="L21" s="217"/>
      <c r="M21" s="224" t="s">
        <v>581</v>
      </c>
      <c r="N21" s="224" t="s">
        <v>583</v>
      </c>
      <c r="O21" s="217"/>
      <c r="P21" s="217" t="s">
        <v>446</v>
      </c>
      <c r="Q21" s="217" t="s">
        <v>447</v>
      </c>
      <c r="R21" s="217"/>
      <c r="S21" s="217" t="s">
        <v>448</v>
      </c>
      <c r="T21" s="217"/>
      <c r="U21" s="217" t="s">
        <v>449</v>
      </c>
      <c r="V21" s="217"/>
      <c r="W21" s="217" t="s">
        <v>450</v>
      </c>
      <c r="X21" s="217" t="s">
        <v>446</v>
      </c>
    </row>
    <row r="22" spans="1:24" x14ac:dyDescent="0.3">
      <c r="A22" t="s">
        <v>543</v>
      </c>
      <c r="B22" t="s">
        <v>544</v>
      </c>
      <c r="C22" s="119">
        <v>898</v>
      </c>
      <c r="D22" s="119">
        <v>1070</v>
      </c>
      <c r="E22" s="137">
        <v>84</v>
      </c>
      <c r="F22" s="55">
        <v>0.45</v>
      </c>
      <c r="G22" s="55">
        <v>-0.25</v>
      </c>
      <c r="H22" s="105">
        <v>2</v>
      </c>
      <c r="I22" s="55">
        <v>0.79</v>
      </c>
      <c r="J22" s="214">
        <f>IFERROR(D22/E22,"NM")</f>
        <v>12.738095238095237</v>
      </c>
      <c r="K22" s="163" t="str">
        <f>IF(OR(G22&lt;=0,E22=0,D22=0),"NM",IF(D22/(E22*G22)&gt;100,"NM",D22/(E22*G22)))</f>
        <v>NM</v>
      </c>
      <c r="L22" s="54"/>
      <c r="M22" s="215">
        <v>54</v>
      </c>
      <c r="N22" s="99">
        <v>1.2</v>
      </c>
      <c r="P22" s="61">
        <v>1.5</v>
      </c>
      <c r="Q22" s="137">
        <v>230</v>
      </c>
      <c r="R22" s="85">
        <f>IFERROR(Q22/(Q22+S22+U22),"")</f>
        <v>0.20390070921985815</v>
      </c>
      <c r="S22" s="137">
        <v>0</v>
      </c>
      <c r="T22" s="64">
        <f>IFERROR(S22/(Q22+S22+U22),"")</f>
        <v>0</v>
      </c>
      <c r="U22" s="137">
        <v>898</v>
      </c>
      <c r="V22" s="85">
        <f>IFERROR(U22/(Q22+S22+U22),"")</f>
        <v>0.79609929078014185</v>
      </c>
      <c r="W22" s="220">
        <v>0.21</v>
      </c>
      <c r="X22" s="69">
        <f>IFERROR(P22/(1+(Q22/U22)*(1-W22)+S22/U22),"")</f>
        <v>1.2475687691025283</v>
      </c>
    </row>
    <row r="23" spans="1:24" x14ac:dyDescent="0.3">
      <c r="A23" t="s">
        <v>545</v>
      </c>
      <c r="B23" t="s">
        <v>546</v>
      </c>
      <c r="C23" s="119">
        <v>16000</v>
      </c>
      <c r="D23" s="119">
        <v>17750</v>
      </c>
      <c r="E23" s="137">
        <v>757</v>
      </c>
      <c r="F23" s="55">
        <v>0.5</v>
      </c>
      <c r="G23" s="55">
        <v>-0.33</v>
      </c>
      <c r="H23" s="105">
        <v>5</v>
      </c>
      <c r="I23" s="55">
        <v>1.07</v>
      </c>
      <c r="J23" s="214">
        <f>IFERROR(D23/E23,"NM")</f>
        <v>23.447820343461029</v>
      </c>
      <c r="K23" s="163" t="str">
        <f>IF(OR(G23&lt;=0,E23=0,D23=0),"NM",IF(D23/(E23*G23)&gt;100,"NM",D23/(E23*G23)))</f>
        <v>NM</v>
      </c>
      <c r="L23" s="54"/>
      <c r="M23" s="215">
        <v>480</v>
      </c>
      <c r="N23" s="99">
        <v>1.58</v>
      </c>
      <c r="P23" s="61">
        <v>4.18</v>
      </c>
      <c r="Q23" s="137">
        <v>3960</v>
      </c>
      <c r="R23" s="85">
        <f>IFERROR(Q23/(Q23+S23+U23),"")</f>
        <v>0.19839679358717435</v>
      </c>
      <c r="S23" s="137">
        <v>0</v>
      </c>
      <c r="T23" s="64">
        <f>IFERROR(S23/(Q23+S23+U23),"")</f>
        <v>0</v>
      </c>
      <c r="U23" s="137">
        <v>16000</v>
      </c>
      <c r="V23" s="85">
        <f>IFERROR(U23/(Q23+S23+U23),"")</f>
        <v>0.80160320641282568</v>
      </c>
      <c r="W23" s="220">
        <v>0.21</v>
      </c>
      <c r="X23" s="69">
        <f>IFERROR(P23/(1+(Q23/U23)*(1-W23)+S23/U23),"")</f>
        <v>3.4963718868279625</v>
      </c>
    </row>
    <row r="24" spans="1:24" x14ac:dyDescent="0.3">
      <c r="A24" t="s">
        <v>547</v>
      </c>
      <c r="B24" t="s">
        <v>548</v>
      </c>
      <c r="C24" s="119">
        <v>11320</v>
      </c>
      <c r="D24" s="119">
        <v>13235</v>
      </c>
      <c r="E24" s="137">
        <v>264</v>
      </c>
      <c r="F24" s="55">
        <v>0.5</v>
      </c>
      <c r="G24" s="55">
        <v>-0.48</v>
      </c>
      <c r="H24" s="105">
        <v>4</v>
      </c>
      <c r="I24" s="55">
        <v>0.52</v>
      </c>
      <c r="J24" s="214">
        <f>IFERROR(D24/E24,"NM")</f>
        <v>50.132575757575758</v>
      </c>
      <c r="K24" s="163" t="str">
        <f>IF(OR(G24&lt;=0,E24=0,D24=0),"NM",IF(D24/(E24*G24)&gt;100,"NM",D24/(E24*G24)))</f>
        <v>NM</v>
      </c>
      <c r="L24" s="54"/>
      <c r="M24" s="215">
        <v>300</v>
      </c>
      <c r="N24" s="99">
        <v>0.88</v>
      </c>
      <c r="P24" s="61">
        <v>7.34</v>
      </c>
      <c r="Q24" s="137">
        <v>2610</v>
      </c>
      <c r="R24" s="85">
        <f>IFERROR(Q24/(Q24+S24+U24),"")</f>
        <v>0.18736539842067479</v>
      </c>
      <c r="S24" s="137">
        <v>0</v>
      </c>
      <c r="T24" s="64">
        <f>IFERROR(S24/(Q24+S24+U24),"")</f>
        <v>0</v>
      </c>
      <c r="U24" s="137">
        <v>11320</v>
      </c>
      <c r="V24" s="85">
        <f>IFERROR(U24/(Q24+S24+U24),"")</f>
        <v>0.81263460157932521</v>
      </c>
      <c r="W24" s="220">
        <v>0.21</v>
      </c>
      <c r="X24" s="69">
        <f>IFERROR(P24/(1+(Q24/U24)*(1-W24)+S24/U24),"")</f>
        <v>6.2090435588369361</v>
      </c>
    </row>
    <row r="25" spans="1:24" x14ac:dyDescent="0.3">
      <c r="A25" t="s">
        <v>549</v>
      </c>
      <c r="B25" t="s">
        <v>550</v>
      </c>
      <c r="C25" s="119">
        <v>11000</v>
      </c>
      <c r="D25" s="119">
        <v>14930</v>
      </c>
      <c r="E25" s="137">
        <v>168</v>
      </c>
      <c r="F25" s="55">
        <v>0.55000000000000004</v>
      </c>
      <c r="G25" s="55">
        <v>-3.93</v>
      </c>
      <c r="H25" s="105">
        <v>5</v>
      </c>
      <c r="I25" s="55">
        <v>0.73</v>
      </c>
      <c r="J25" s="214">
        <f>IFERROR(D25/E25,"NM")</f>
        <v>88.86904761904762</v>
      </c>
      <c r="K25" s="163" t="str">
        <f>IF(OR(G25&lt;=0,E25=0,D25=0),"NM",IF(D25/(E25*G25)&gt;100,"NM",D25/(E25*G25)))</f>
        <v>NM</v>
      </c>
      <c r="L25" s="54"/>
      <c r="M25" s="215">
        <v>480</v>
      </c>
      <c r="N25" s="99">
        <v>0.35</v>
      </c>
      <c r="P25" s="61">
        <v>4.3</v>
      </c>
      <c r="Q25" s="137">
        <v>5200</v>
      </c>
      <c r="R25" s="85">
        <f>IFERROR(Q25/(Q25+S25+U25),"")</f>
        <v>0.32098765432098764</v>
      </c>
      <c r="S25" s="137">
        <v>0</v>
      </c>
      <c r="T25" s="64">
        <f>IFERROR(S25/(Q25+S25+U25),"")</f>
        <v>0</v>
      </c>
      <c r="U25" s="137">
        <v>11000</v>
      </c>
      <c r="V25" s="85">
        <f>IFERROR(U25/(Q25+S25+U25),"")</f>
        <v>0.67901234567901236</v>
      </c>
      <c r="W25" s="220">
        <v>0.21</v>
      </c>
      <c r="X25" s="69">
        <f>IFERROR(P25/(1+(Q25/U25)*(1-W25)+S25/U25),"")</f>
        <v>3.1307916335716173</v>
      </c>
    </row>
    <row r="26" spans="1:24" x14ac:dyDescent="0.3">
      <c r="A26" t="s">
        <v>551</v>
      </c>
      <c r="B26" t="s">
        <v>552</v>
      </c>
      <c r="C26" s="119">
        <v>10620</v>
      </c>
      <c r="D26" s="119">
        <v>10440</v>
      </c>
      <c r="E26" s="137">
        <v>224</v>
      </c>
      <c r="F26" s="55">
        <v>0.63700000000000001</v>
      </c>
      <c r="G26" s="55">
        <v>-3.67</v>
      </c>
      <c r="H26" s="105">
        <v>3</v>
      </c>
      <c r="I26" s="55">
        <v>0.65</v>
      </c>
      <c r="J26" s="214">
        <f>IFERROR(D26/E26,"NM")</f>
        <v>46.607142857142854</v>
      </c>
      <c r="K26" s="163" t="str">
        <f>IF(OR(G26&lt;=0,E26=0,D26=0),"NM",IF(D26/(E26*G26)&gt;100,"NM",D26/(E26*G26)))</f>
        <v>NM</v>
      </c>
      <c r="L26" s="54"/>
      <c r="M26" s="215">
        <v>495</v>
      </c>
      <c r="N26" s="99">
        <v>0.45</v>
      </c>
      <c r="P26" s="61">
        <v>2.89</v>
      </c>
      <c r="Q26" s="137">
        <v>500</v>
      </c>
      <c r="R26" s="85">
        <f>IFERROR(Q26/(Q26+S26+U26),"")</f>
        <v>4.4964028776978415E-2</v>
      </c>
      <c r="S26" s="137">
        <v>0</v>
      </c>
      <c r="T26" s="64">
        <f>IFERROR(S26/(Q26+S26+U26),"")</f>
        <v>0</v>
      </c>
      <c r="U26" s="137">
        <v>10620</v>
      </c>
      <c r="V26" s="85">
        <f>IFERROR(U26/(Q26+S26+U26),"")</f>
        <v>0.95503597122302153</v>
      </c>
      <c r="W26" s="220">
        <v>0.21</v>
      </c>
      <c r="X26" s="69">
        <f>IFERROR(P26/(1+(Q26/U26)*(1-W26)+S26/U26),"")</f>
        <v>2.7863640490240584</v>
      </c>
    </row>
    <row r="27" spans="1:24" x14ac:dyDescent="0.3">
      <c r="C27" s="54"/>
      <c r="D27" s="54"/>
      <c r="E27" s="54"/>
      <c r="G27" s="54"/>
      <c r="H27" s="163"/>
      <c r="I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</row>
    <row r="28" spans="1:24" x14ac:dyDescent="0.3">
      <c r="A28" s="1" t="s">
        <v>470</v>
      </c>
      <c r="C28" s="118">
        <f t="shared" ref="C28:J28" si="12">IFERROR(MIN(C22:C26),"")</f>
        <v>898</v>
      </c>
      <c r="D28" s="118">
        <f t="shared" si="12"/>
        <v>1070</v>
      </c>
      <c r="E28" s="54">
        <f t="shared" si="12"/>
        <v>84</v>
      </c>
      <c r="F28" s="85">
        <f t="shared" si="12"/>
        <v>0.45</v>
      </c>
      <c r="G28" s="54">
        <f t="shared" si="12"/>
        <v>-3.93</v>
      </c>
      <c r="H28" s="163">
        <f t="shared" si="12"/>
        <v>2</v>
      </c>
      <c r="I28" s="54">
        <f t="shared" si="12"/>
        <v>0.52</v>
      </c>
      <c r="J28" s="214">
        <f t="shared" si="12"/>
        <v>12.738095238095237</v>
      </c>
      <c r="K28" s="214" t="str">
        <f>IFERROR(_xlfn.AGGREGATE(15,6,K22:K26,1),"NM")</f>
        <v>NM</v>
      </c>
      <c r="L28" s="54"/>
      <c r="M28" s="226">
        <f>IFERROR(MIN(M22:M26),"")</f>
        <v>54</v>
      </c>
      <c r="N28" s="214">
        <f>IFERROR(MIN(N22:N26),"")</f>
        <v>0.35</v>
      </c>
      <c r="O28" s="54"/>
      <c r="P28" s="54">
        <f t="shared" ref="P28:X28" si="13">IFERROR(MIN(P22:P26),"")</f>
        <v>1.5</v>
      </c>
      <c r="Q28" s="54">
        <f t="shared" si="13"/>
        <v>230</v>
      </c>
      <c r="R28" s="64">
        <f t="shared" si="13"/>
        <v>4.4964028776978415E-2</v>
      </c>
      <c r="S28" s="54">
        <f t="shared" si="13"/>
        <v>0</v>
      </c>
      <c r="T28" s="54">
        <f t="shared" si="13"/>
        <v>0</v>
      </c>
      <c r="U28" s="54">
        <f t="shared" si="13"/>
        <v>898</v>
      </c>
      <c r="V28" s="64">
        <f t="shared" si="13"/>
        <v>0.67901234567901236</v>
      </c>
      <c r="W28" s="64">
        <f t="shared" si="13"/>
        <v>0.21</v>
      </c>
      <c r="X28" s="63">
        <f t="shared" si="13"/>
        <v>1.2475687691025283</v>
      </c>
    </row>
    <row r="29" spans="1:24" x14ac:dyDescent="0.3">
      <c r="A29" s="1" t="s">
        <v>471</v>
      </c>
      <c r="C29" s="118">
        <f t="shared" ref="C29:J29" si="14">IFERROR(QUARTILE(C22:C26,1),"")</f>
        <v>10620</v>
      </c>
      <c r="D29" s="118">
        <f t="shared" si="14"/>
        <v>10440</v>
      </c>
      <c r="E29" s="117">
        <f t="shared" si="14"/>
        <v>168</v>
      </c>
      <c r="F29" s="85">
        <f t="shared" si="14"/>
        <v>0.5</v>
      </c>
      <c r="G29" s="64">
        <f t="shared" si="14"/>
        <v>-3.67</v>
      </c>
      <c r="H29" s="163">
        <f t="shared" si="14"/>
        <v>3</v>
      </c>
      <c r="I29" s="64">
        <f t="shared" si="14"/>
        <v>0.65</v>
      </c>
      <c r="J29" s="214">
        <f t="shared" si="14"/>
        <v>23.447820343461029</v>
      </c>
      <c r="K29" s="214" t="str">
        <f>IFERROR(_xlfn.AGGREGATE(16,6,K22:K26,0.25),"NM")</f>
        <v>NM</v>
      </c>
      <c r="L29" s="54"/>
      <c r="M29" s="226">
        <f>IFERROR(QUARTILE(M22:M26,1),"")</f>
        <v>300</v>
      </c>
      <c r="N29" s="214">
        <f>IFERROR(QUARTILE(N22:N26,1),"")</f>
        <v>0.45</v>
      </c>
      <c r="O29" s="54"/>
      <c r="P29" s="63">
        <f t="shared" ref="P29:X29" si="15">IFERROR(QUARTILE(P22:P26,1),"")</f>
        <v>2.89</v>
      </c>
      <c r="Q29" s="117">
        <f t="shared" si="15"/>
        <v>500</v>
      </c>
      <c r="R29" s="64">
        <f t="shared" si="15"/>
        <v>0.18736539842067479</v>
      </c>
      <c r="S29" s="117">
        <f t="shared" si="15"/>
        <v>0</v>
      </c>
      <c r="T29" s="64">
        <f t="shared" si="15"/>
        <v>0</v>
      </c>
      <c r="U29" s="117">
        <f t="shared" si="15"/>
        <v>10620</v>
      </c>
      <c r="V29" s="64">
        <f t="shared" si="15"/>
        <v>0.79609929078014185</v>
      </c>
      <c r="W29" s="64">
        <f t="shared" si="15"/>
        <v>0.21</v>
      </c>
      <c r="X29" s="63">
        <f t="shared" si="15"/>
        <v>2.7863640490240584</v>
      </c>
    </row>
    <row r="30" spans="1:24" x14ac:dyDescent="0.3">
      <c r="A30" s="1" t="s">
        <v>472</v>
      </c>
      <c r="C30" s="118">
        <f t="shared" ref="C30:J30" si="16">IFERROR(MEDIAN(C22:C26),"")</f>
        <v>11000</v>
      </c>
      <c r="D30" s="118">
        <f t="shared" si="16"/>
        <v>13235</v>
      </c>
      <c r="E30" s="117">
        <f t="shared" si="16"/>
        <v>224</v>
      </c>
      <c r="F30" s="85">
        <f t="shared" si="16"/>
        <v>0.5</v>
      </c>
      <c r="G30" s="64">
        <f t="shared" si="16"/>
        <v>-0.48</v>
      </c>
      <c r="H30" s="163">
        <f t="shared" si="16"/>
        <v>4</v>
      </c>
      <c r="I30" s="64">
        <f t="shared" si="16"/>
        <v>0.73</v>
      </c>
      <c r="J30" s="214">
        <f t="shared" si="16"/>
        <v>46.607142857142854</v>
      </c>
      <c r="K30" s="214" t="str">
        <f>IFERROR(_xlfn.AGGREGATE(16,6,K22:K26,0.5),"NM")</f>
        <v>NM</v>
      </c>
      <c r="L30" s="54"/>
      <c r="M30" s="226">
        <f>IFERROR(MEDIAN(M22:M26),"")</f>
        <v>480</v>
      </c>
      <c r="N30" s="214">
        <f>IFERROR(MEDIAN(N22:N26),"")</f>
        <v>0.88</v>
      </c>
      <c r="O30" s="54"/>
      <c r="P30" s="63">
        <f t="shared" ref="P30:X30" si="17">IFERROR(MEDIAN(P22:P26),"")</f>
        <v>4.18</v>
      </c>
      <c r="Q30" s="117">
        <f t="shared" si="17"/>
        <v>2610</v>
      </c>
      <c r="R30" s="64">
        <f t="shared" si="17"/>
        <v>0.19839679358717435</v>
      </c>
      <c r="S30" s="117">
        <f t="shared" si="17"/>
        <v>0</v>
      </c>
      <c r="T30" s="64">
        <f t="shared" si="17"/>
        <v>0</v>
      </c>
      <c r="U30" s="117">
        <f t="shared" si="17"/>
        <v>11000</v>
      </c>
      <c r="V30" s="64">
        <f t="shared" si="17"/>
        <v>0.80160320641282568</v>
      </c>
      <c r="W30" s="64">
        <f t="shared" si="17"/>
        <v>0.21</v>
      </c>
      <c r="X30" s="63">
        <f t="shared" si="17"/>
        <v>3.1307916335716173</v>
      </c>
    </row>
    <row r="31" spans="1:24" x14ac:dyDescent="0.3">
      <c r="A31" s="1" t="s">
        <v>473</v>
      </c>
      <c r="C31" s="118">
        <f t="shared" ref="C31:J31" si="18">IFERROR(AVERAGE(C22:C26),"")</f>
        <v>9967.6</v>
      </c>
      <c r="D31" s="118">
        <f t="shared" si="18"/>
        <v>11485</v>
      </c>
      <c r="E31" s="117">
        <f t="shared" si="18"/>
        <v>299.39999999999998</v>
      </c>
      <c r="F31" s="85">
        <f t="shared" si="18"/>
        <v>0.52739999999999998</v>
      </c>
      <c r="G31" s="64">
        <f t="shared" si="18"/>
        <v>-1.732</v>
      </c>
      <c r="H31" s="163">
        <f t="shared" si="18"/>
        <v>3.8</v>
      </c>
      <c r="I31" s="64">
        <f t="shared" si="18"/>
        <v>0.752</v>
      </c>
      <c r="J31" s="214">
        <f t="shared" si="18"/>
        <v>44.358936363064501</v>
      </c>
      <c r="K31" s="214" t="str">
        <f>IFERROR(_xlfn.AGGREGATE(1,6,K22:K26),"NM")</f>
        <v>NM</v>
      </c>
      <c r="L31" s="54"/>
      <c r="M31" s="226">
        <f>IFERROR(AVERAGE(M22:M26),"")</f>
        <v>361.8</v>
      </c>
      <c r="N31" s="214">
        <f>IFERROR(AVERAGE(N22:N26),"")</f>
        <v>0.89200000000000002</v>
      </c>
      <c r="O31" s="54"/>
      <c r="P31" s="63">
        <f t="shared" ref="P31:X31" si="19">IFERROR(AVERAGE(P22:P26),"")</f>
        <v>4.0419999999999998</v>
      </c>
      <c r="Q31" s="117">
        <f t="shared" si="19"/>
        <v>2500</v>
      </c>
      <c r="R31" s="64">
        <f t="shared" si="19"/>
        <v>0.19112291686513466</v>
      </c>
      <c r="S31" s="117">
        <f t="shared" si="19"/>
        <v>0</v>
      </c>
      <c r="T31" s="64">
        <f t="shared" si="19"/>
        <v>0</v>
      </c>
      <c r="U31" s="117">
        <f t="shared" si="19"/>
        <v>9967.6</v>
      </c>
      <c r="V31" s="64">
        <f t="shared" si="19"/>
        <v>0.80887708313486528</v>
      </c>
      <c r="W31" s="64">
        <f t="shared" si="19"/>
        <v>0.21000000000000002</v>
      </c>
      <c r="X31" s="63">
        <f t="shared" si="19"/>
        <v>3.3740279794726207</v>
      </c>
    </row>
    <row r="32" spans="1:24" x14ac:dyDescent="0.3">
      <c r="A32" s="1" t="s">
        <v>474</v>
      </c>
      <c r="C32" s="118">
        <f t="shared" ref="C32:J32" si="20">IFERROR(QUARTILE(C22:C26,3),"")</f>
        <v>11320</v>
      </c>
      <c r="D32" s="118">
        <f t="shared" si="20"/>
        <v>14930</v>
      </c>
      <c r="E32" s="117">
        <f t="shared" si="20"/>
        <v>264</v>
      </c>
      <c r="F32" s="85">
        <f t="shared" si="20"/>
        <v>0.55000000000000004</v>
      </c>
      <c r="G32" s="64">
        <f t="shared" si="20"/>
        <v>-0.33</v>
      </c>
      <c r="H32" s="163">
        <f t="shared" si="20"/>
        <v>5</v>
      </c>
      <c r="I32" s="64">
        <f t="shared" si="20"/>
        <v>0.79</v>
      </c>
      <c r="J32" s="214">
        <f t="shared" si="20"/>
        <v>50.132575757575758</v>
      </c>
      <c r="K32" s="214" t="str">
        <f>IFERROR(_xlfn.AGGREGATE(16,6,K22:K26,0.75),"NM")</f>
        <v>NM</v>
      </c>
      <c r="L32" s="54"/>
      <c r="M32" s="226">
        <f>IFERROR(QUARTILE(M22:M26,3),"")</f>
        <v>480</v>
      </c>
      <c r="N32" s="214">
        <f>IFERROR(QUARTILE(N22:N26,3),"")</f>
        <v>1.2</v>
      </c>
      <c r="O32" s="54"/>
      <c r="P32" s="63">
        <f t="shared" ref="P32:X32" si="21">IFERROR(QUARTILE(P22:P26,3),"")</f>
        <v>4.3</v>
      </c>
      <c r="Q32" s="117">
        <f t="shared" si="21"/>
        <v>3960</v>
      </c>
      <c r="R32" s="64">
        <f t="shared" si="21"/>
        <v>0.20390070921985815</v>
      </c>
      <c r="S32" s="117">
        <f t="shared" si="21"/>
        <v>0</v>
      </c>
      <c r="T32" s="64">
        <f t="shared" si="21"/>
        <v>0</v>
      </c>
      <c r="U32" s="117">
        <f t="shared" si="21"/>
        <v>11320</v>
      </c>
      <c r="V32" s="64">
        <f t="shared" si="21"/>
        <v>0.81263460157932521</v>
      </c>
      <c r="W32" s="64">
        <f t="shared" si="21"/>
        <v>0.21</v>
      </c>
      <c r="X32" s="63">
        <f t="shared" si="21"/>
        <v>3.4963718868279625</v>
      </c>
    </row>
    <row r="33" spans="1:24" x14ac:dyDescent="0.3">
      <c r="A33" s="1" t="s">
        <v>475</v>
      </c>
      <c r="C33" s="118">
        <f t="shared" ref="C33:J33" si="22">IFERROR(MAX(C22:C26),"")</f>
        <v>16000</v>
      </c>
      <c r="D33" s="118">
        <f t="shared" si="22"/>
        <v>17750</v>
      </c>
      <c r="E33" s="117">
        <f t="shared" si="22"/>
        <v>757</v>
      </c>
      <c r="F33" s="85">
        <f t="shared" si="22"/>
        <v>0.63700000000000001</v>
      </c>
      <c r="G33" s="64">
        <f t="shared" si="22"/>
        <v>-0.25</v>
      </c>
      <c r="H33" s="163">
        <f t="shared" si="22"/>
        <v>5</v>
      </c>
      <c r="I33" s="64">
        <f t="shared" si="22"/>
        <v>1.07</v>
      </c>
      <c r="J33" s="214">
        <f t="shared" si="22"/>
        <v>88.86904761904762</v>
      </c>
      <c r="K33" s="214" t="str">
        <f>IFERROR(_xlfn.AGGREGATE(14,6,K22:K26,1),"NM")</f>
        <v>NM</v>
      </c>
      <c r="L33" s="54"/>
      <c r="M33" s="226">
        <f>IFERROR(MAX(M22:M26),"")</f>
        <v>495</v>
      </c>
      <c r="N33" s="214">
        <f>IFERROR(MAX(N22:N26),"")</f>
        <v>1.58</v>
      </c>
      <c r="O33" s="54"/>
      <c r="P33" s="63">
        <f t="shared" ref="P33:X33" si="23">IFERROR(MAX(P22:P26),"")</f>
        <v>7.34</v>
      </c>
      <c r="Q33" s="117">
        <f t="shared" si="23"/>
        <v>5200</v>
      </c>
      <c r="R33" s="64">
        <f t="shared" si="23"/>
        <v>0.32098765432098764</v>
      </c>
      <c r="S33" s="117">
        <f t="shared" si="23"/>
        <v>0</v>
      </c>
      <c r="T33" s="64">
        <f t="shared" si="23"/>
        <v>0</v>
      </c>
      <c r="U33" s="117">
        <f t="shared" si="23"/>
        <v>16000</v>
      </c>
      <c r="V33" s="64">
        <f t="shared" si="23"/>
        <v>0.95503597122302153</v>
      </c>
      <c r="W33" s="64">
        <f t="shared" si="23"/>
        <v>0.21</v>
      </c>
      <c r="X33" s="63">
        <f t="shared" si="23"/>
        <v>6.2090435588369361</v>
      </c>
    </row>
    <row r="34" spans="1:24" x14ac:dyDescent="0.3">
      <c r="C34" s="54"/>
      <c r="D34" s="54"/>
      <c r="E34" s="117"/>
      <c r="G34" s="64"/>
      <c r="H34" s="64"/>
      <c r="I34" s="64"/>
      <c r="K34" s="163"/>
      <c r="L34" s="54"/>
      <c r="M34" s="54"/>
      <c r="N34" s="54"/>
      <c r="O34" s="54"/>
      <c r="P34" s="63"/>
      <c r="Q34" s="117"/>
      <c r="R34" s="64"/>
      <c r="S34" s="117"/>
      <c r="T34" s="64"/>
      <c r="U34" s="117"/>
      <c r="V34" s="64"/>
      <c r="W34" s="64"/>
      <c r="X34" s="63"/>
    </row>
    <row r="35" spans="1:24" x14ac:dyDescent="0.3">
      <c r="C35" s="54"/>
      <c r="D35" s="54"/>
      <c r="E35" s="54"/>
      <c r="G35" s="54"/>
      <c r="H35" s="54"/>
      <c r="I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 spans="1:24" x14ac:dyDescent="0.3">
      <c r="A36" s="4" t="s">
        <v>572</v>
      </c>
      <c r="B36" s="4"/>
      <c r="C36" s="90" t="s">
        <v>566</v>
      </c>
      <c r="D36" s="90" t="s">
        <v>565</v>
      </c>
      <c r="E36" s="90"/>
      <c r="F36" s="4"/>
      <c r="G36" s="90"/>
      <c r="H36" s="90"/>
      <c r="I36" s="90"/>
      <c r="J36" s="4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spans="1:24" x14ac:dyDescent="0.3">
      <c r="A37" s="216" t="s">
        <v>428</v>
      </c>
      <c r="B37" s="216" t="s">
        <v>429</v>
      </c>
      <c r="C37" s="217" t="s">
        <v>415</v>
      </c>
      <c r="D37" s="217" t="s">
        <v>565</v>
      </c>
      <c r="E37" s="217" t="s">
        <v>441</v>
      </c>
      <c r="F37" s="217" t="s">
        <v>442</v>
      </c>
      <c r="G37" s="217" t="s">
        <v>90</v>
      </c>
      <c r="H37" s="217" t="s">
        <v>443</v>
      </c>
      <c r="I37" s="217" t="s">
        <v>444</v>
      </c>
      <c r="J37" s="217" t="s">
        <v>445</v>
      </c>
      <c r="K37" s="217" t="s">
        <v>445</v>
      </c>
      <c r="L37" s="217"/>
      <c r="M37" s="224" t="s">
        <v>584</v>
      </c>
      <c r="N37" s="224" t="s">
        <v>440</v>
      </c>
      <c r="O37" s="217"/>
      <c r="P37" s="217" t="s">
        <v>430</v>
      </c>
      <c r="Q37" s="217" t="s">
        <v>431</v>
      </c>
      <c r="R37" s="217" t="s">
        <v>432</v>
      </c>
      <c r="S37" s="217" t="s">
        <v>433</v>
      </c>
      <c r="T37" s="217" t="s">
        <v>434</v>
      </c>
      <c r="U37" s="217" t="s">
        <v>435</v>
      </c>
      <c r="V37" s="217" t="s">
        <v>436</v>
      </c>
      <c r="W37" s="217" t="s">
        <v>437</v>
      </c>
      <c r="X37" s="217" t="s">
        <v>438</v>
      </c>
    </row>
    <row r="38" spans="1:24" x14ac:dyDescent="0.3">
      <c r="A38" s="216"/>
      <c r="B38" s="216"/>
      <c r="C38" s="217" t="s">
        <v>447</v>
      </c>
      <c r="D38" s="217" t="s">
        <v>449</v>
      </c>
      <c r="E38" s="217" t="s">
        <v>0</v>
      </c>
      <c r="F38" s="217" t="s">
        <v>453</v>
      </c>
      <c r="G38" s="217" t="s">
        <v>453</v>
      </c>
      <c r="H38" s="217" t="s">
        <v>87</v>
      </c>
      <c r="I38" s="217" t="s">
        <v>416</v>
      </c>
      <c r="J38" s="217" t="s">
        <v>87</v>
      </c>
      <c r="K38" s="217" t="s">
        <v>90</v>
      </c>
      <c r="L38" s="217"/>
      <c r="M38" s="224" t="s">
        <v>451</v>
      </c>
      <c r="N38" s="224" t="s">
        <v>452</v>
      </c>
      <c r="O38" s="217"/>
      <c r="P38" s="217" t="s">
        <v>446</v>
      </c>
      <c r="Q38" s="217" t="s">
        <v>447</v>
      </c>
      <c r="R38" s="217"/>
      <c r="S38" s="217" t="s">
        <v>448</v>
      </c>
      <c r="T38" s="217"/>
      <c r="U38" s="217" t="s">
        <v>449</v>
      </c>
      <c r="V38" s="217"/>
      <c r="W38" s="217" t="s">
        <v>450</v>
      </c>
      <c r="X38" s="217" t="s">
        <v>446</v>
      </c>
    </row>
    <row r="39" spans="1:24" x14ac:dyDescent="0.3">
      <c r="A39" t="s">
        <v>553</v>
      </c>
      <c r="B39" t="s">
        <v>554</v>
      </c>
      <c r="C39" s="119">
        <v>9550</v>
      </c>
      <c r="D39" s="119">
        <v>11700</v>
      </c>
      <c r="E39" s="137">
        <v>5900</v>
      </c>
      <c r="F39" s="55">
        <v>0.55000000000000004</v>
      </c>
      <c r="G39" s="55">
        <v>0.18770000000000001</v>
      </c>
      <c r="H39" s="55">
        <v>3.7999999999999999E-2</v>
      </c>
      <c r="I39" s="55">
        <v>0.12</v>
      </c>
      <c r="J39" s="214">
        <f>IFERROR(D39/E39,"NM")</f>
        <v>1.9830508474576272</v>
      </c>
      <c r="K39" s="163">
        <f>IF(OR(G39&lt;=0,E39=0,D39=0),"NM",IF(D39/(E39*G39)&gt;100,"NM",D39/(E39*G39)))</f>
        <v>10.565001851132802</v>
      </c>
      <c r="L39" s="54"/>
      <c r="M39" s="137">
        <v>453</v>
      </c>
      <c r="N39" s="99">
        <v>11.7</v>
      </c>
      <c r="P39" s="61">
        <v>1.05</v>
      </c>
      <c r="Q39" s="137">
        <v>3536</v>
      </c>
      <c r="R39" s="85">
        <f>IFERROR(Q39/(Q39+S39+U39),"")</f>
        <v>0.27021244077640227</v>
      </c>
      <c r="S39" s="137">
        <v>0</v>
      </c>
      <c r="T39" s="64">
        <f>IFERROR(S39/(Q39+S39+U39),"")</f>
        <v>0</v>
      </c>
      <c r="U39" s="137">
        <v>9550</v>
      </c>
      <c r="V39" s="85">
        <f>IFERROR(U39/(Q39+S39+U39),"")</f>
        <v>0.72978755922359773</v>
      </c>
      <c r="W39" s="220">
        <v>0.21</v>
      </c>
      <c r="X39" s="69">
        <f>IFERROR(P39/(1+(Q39/U39)*(1-W39)+S39/U39),"")</f>
        <v>0.81237483229958585</v>
      </c>
    </row>
    <row r="40" spans="1:24" x14ac:dyDescent="0.3">
      <c r="A40" t="s">
        <v>555</v>
      </c>
      <c r="B40" t="s">
        <v>556</v>
      </c>
      <c r="C40" s="119">
        <v>11580</v>
      </c>
      <c r="D40" s="119">
        <v>11480</v>
      </c>
      <c r="E40" s="137">
        <v>4370</v>
      </c>
      <c r="F40" s="55">
        <v>0.79</v>
      </c>
      <c r="G40" s="55">
        <v>0.29049999999999998</v>
      </c>
      <c r="H40" s="55">
        <v>0.03</v>
      </c>
      <c r="I40" s="55">
        <v>0.15</v>
      </c>
      <c r="J40" s="214">
        <f>IFERROR(D40/E40,"NM")</f>
        <v>2.6270022883295194</v>
      </c>
      <c r="K40" s="163">
        <f>IF(OR(G40&lt;=0,E40=0,D40=0),"NM",IF(D40/(E40*G40)&gt;100,"NM",D40/(E40*G40)))</f>
        <v>9.043037137106781</v>
      </c>
      <c r="L40" s="54"/>
      <c r="M40" s="137">
        <v>570</v>
      </c>
      <c r="N40" s="99">
        <v>5.3</v>
      </c>
      <c r="P40" s="61">
        <v>0.92</v>
      </c>
      <c r="Q40" s="137">
        <v>262</v>
      </c>
      <c r="R40" s="85">
        <f>IFERROR(Q40/(Q40+S40+U40),"")</f>
        <v>2.2124641107920961E-2</v>
      </c>
      <c r="S40" s="137">
        <v>0</v>
      </c>
      <c r="T40" s="64">
        <f>IFERROR(S40/(Q40+S40+U40),"")</f>
        <v>0</v>
      </c>
      <c r="U40" s="137">
        <v>11580</v>
      </c>
      <c r="V40" s="85">
        <f>IFERROR(U40/(Q40+S40+U40),"")</f>
        <v>0.97787535889207899</v>
      </c>
      <c r="W40" s="220">
        <v>0.21</v>
      </c>
      <c r="X40" s="69">
        <f>IFERROR(P40/(1+(Q40/U40)*(1-W40)+S40/U40),"")</f>
        <v>0.9038447507334364</v>
      </c>
    </row>
    <row r="41" spans="1:24" x14ac:dyDescent="0.3">
      <c r="A41" t="s">
        <v>557</v>
      </c>
      <c r="B41" t="s">
        <v>558</v>
      </c>
      <c r="C41" s="119">
        <v>35400</v>
      </c>
      <c r="D41" s="119">
        <v>32650</v>
      </c>
      <c r="E41" s="137">
        <v>2474</v>
      </c>
      <c r="F41" s="55">
        <v>0.91</v>
      </c>
      <c r="G41" s="55">
        <v>0.38</v>
      </c>
      <c r="H41" s="55">
        <v>2.5000000000000001E-2</v>
      </c>
      <c r="I41" s="55">
        <v>0.69</v>
      </c>
      <c r="J41" s="214">
        <f>IFERROR(D41/E41,"NM")</f>
        <v>13.197251414713016</v>
      </c>
      <c r="K41" s="163">
        <f>IF(OR(G41&lt;=0,E41=0,D41=0),"NM",IF(D41/(E41*G41)&gt;100,"NM",D41/(E41*G41)))</f>
        <v>34.72960898608688</v>
      </c>
      <c r="L41" s="54"/>
      <c r="M41" s="137">
        <v>97</v>
      </c>
      <c r="N41" s="99">
        <v>25.5</v>
      </c>
      <c r="P41" s="61">
        <v>0.8</v>
      </c>
      <c r="Q41" s="137">
        <v>17</v>
      </c>
      <c r="R41" s="85">
        <f>IFERROR(Q41/(Q41+S41+U41),"")</f>
        <v>4.7999548239545983E-4</v>
      </c>
      <c r="S41" s="137">
        <v>0</v>
      </c>
      <c r="T41" s="64">
        <f>IFERROR(S41/(Q41+S41+U41),"")</f>
        <v>0</v>
      </c>
      <c r="U41" s="137">
        <v>35400</v>
      </c>
      <c r="V41" s="85">
        <f>IFERROR(U41/(Q41+S41+U41),"")</f>
        <v>0.99952000451760459</v>
      </c>
      <c r="W41" s="220">
        <v>0.21</v>
      </c>
      <c r="X41" s="69">
        <f>IFERROR(P41/(1+(Q41/U41)*(1-W41)+S41/U41),"")</f>
        <v>0.79969661227393107</v>
      </c>
    </row>
    <row r="42" spans="1:24" x14ac:dyDescent="0.3">
      <c r="A42" t="s">
        <v>784</v>
      </c>
      <c r="B42" t="s">
        <v>785</v>
      </c>
      <c r="C42" s="119">
        <v>1449000</v>
      </c>
      <c r="D42" s="119">
        <v>1450000</v>
      </c>
      <c r="E42" s="137">
        <v>214963</v>
      </c>
      <c r="F42" s="55">
        <v>0.82</v>
      </c>
      <c r="G42" s="55">
        <v>0.50900000000000001</v>
      </c>
      <c r="H42" s="55">
        <v>0.2</v>
      </c>
      <c r="I42" s="55">
        <v>0.2</v>
      </c>
      <c r="J42" s="214">
        <f>IFERROR(D42/E42,"NM")</f>
        <v>6.7453468736480229</v>
      </c>
      <c r="K42" s="163">
        <f>IFERROR(IF(G42&lt;=0,"NM",D42/(E42*G42)),"NM")</f>
        <v>13.252154958051126</v>
      </c>
      <c r="L42" s="54"/>
      <c r="M42" s="137">
        <v>3430</v>
      </c>
      <c r="N42" s="99">
        <v>62.7</v>
      </c>
      <c r="P42" s="61">
        <v>1.24</v>
      </c>
      <c r="Q42" s="137">
        <v>83900</v>
      </c>
      <c r="R42" s="85">
        <f>IFERROR(Q42/(Q42+S42+U42),"")</f>
        <v>5.4732859286320046E-2</v>
      </c>
      <c r="S42" s="137">
        <v>0</v>
      </c>
      <c r="T42" s="64">
        <f>IFERROR(S42/(Q42+S42+U42),"")</f>
        <v>0</v>
      </c>
      <c r="U42" s="137">
        <v>1449000</v>
      </c>
      <c r="V42" s="85">
        <f>IFERROR(U42/(Q42+S42+U42),"")</f>
        <v>0.9452671407136799</v>
      </c>
      <c r="W42" s="220">
        <v>0.15</v>
      </c>
      <c r="X42" s="69">
        <f>IFERROR(P42/(1+(Q42/U42)*(1-W42)+S42/U42),"")</f>
        <v>1.1818340278166037</v>
      </c>
    </row>
    <row r="43" spans="1:24" x14ac:dyDescent="0.3">
      <c r="A43" t="s">
        <v>559</v>
      </c>
      <c r="B43" t="s">
        <v>560</v>
      </c>
      <c r="C43" s="119">
        <v>8360</v>
      </c>
      <c r="D43" s="119">
        <v>11370</v>
      </c>
      <c r="E43" s="137">
        <v>3520</v>
      </c>
      <c r="F43" s="55">
        <v>0.74</v>
      </c>
      <c r="G43" s="55">
        <v>0.38</v>
      </c>
      <c r="H43" s="55">
        <v>0.04</v>
      </c>
      <c r="I43" s="55">
        <v>0.02</v>
      </c>
      <c r="J43" s="214">
        <f>IFERROR(D43/E43,"NM")</f>
        <v>3.2301136363636362</v>
      </c>
      <c r="K43" s="163">
        <f>IF(OR(G43&lt;=0,E43=0,D43=0),"NM",IF(D43/(E43*G43)&gt;100,"NM",D43/(E43*G43)))</f>
        <v>8.500299043062201</v>
      </c>
      <c r="L43" s="54"/>
      <c r="M43" s="137">
        <v>65</v>
      </c>
      <c r="N43" s="99">
        <v>54.2</v>
      </c>
      <c r="P43" s="61">
        <v>1.36</v>
      </c>
      <c r="Q43" s="137">
        <v>4000</v>
      </c>
      <c r="R43" s="85">
        <f>IFERROR(Q43/(Q43+S43+U43),"")</f>
        <v>0.32362459546925565</v>
      </c>
      <c r="S43" s="137">
        <v>0</v>
      </c>
      <c r="T43" s="64">
        <f>IFERROR(S43/(Q43+S43+U43),"")</f>
        <v>0</v>
      </c>
      <c r="U43" s="137">
        <v>8360</v>
      </c>
      <c r="V43" s="85">
        <f>IFERROR(U43/(Q43+S43+U43),"")</f>
        <v>0.6763754045307443</v>
      </c>
      <c r="W43" s="220">
        <v>0.23</v>
      </c>
      <c r="X43" s="69">
        <f>IFERROR(P43/(1+(Q43/U43)*(1-W43)+S43/U43),"")</f>
        <v>0.99384615384615393</v>
      </c>
    </row>
    <row r="44" spans="1:24" x14ac:dyDescent="0.3">
      <c r="C44" s="54"/>
      <c r="D44" s="54"/>
      <c r="E44" s="54"/>
      <c r="G44" s="54"/>
      <c r="H44" s="54"/>
      <c r="I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 spans="1:24" x14ac:dyDescent="0.3">
      <c r="A45" s="1" t="s">
        <v>470</v>
      </c>
      <c r="C45" s="118">
        <f t="shared" ref="C45:K45" si="24">IFERROR(MIN(C39:C43),"")</f>
        <v>8360</v>
      </c>
      <c r="D45" s="118">
        <f t="shared" si="24"/>
        <v>11370</v>
      </c>
      <c r="E45" s="117">
        <f t="shared" si="24"/>
        <v>2474</v>
      </c>
      <c r="F45" s="85">
        <f t="shared" si="24"/>
        <v>0.55000000000000004</v>
      </c>
      <c r="G45" s="64">
        <f t="shared" si="24"/>
        <v>0.18770000000000001</v>
      </c>
      <c r="H45" s="64">
        <f t="shared" si="24"/>
        <v>2.5000000000000001E-2</v>
      </c>
      <c r="I45" s="64">
        <f t="shared" si="24"/>
        <v>0.02</v>
      </c>
      <c r="J45" s="214">
        <f t="shared" si="24"/>
        <v>1.9830508474576272</v>
      </c>
      <c r="K45" s="163">
        <f t="shared" si="24"/>
        <v>8.500299043062201</v>
      </c>
      <c r="L45" s="54"/>
      <c r="M45" s="227">
        <f>IFERROR(MIN(M39:M43),"")</f>
        <v>65</v>
      </c>
      <c r="N45" s="225">
        <f>IFERROR(MIN(N39:N43),"")</f>
        <v>5.3</v>
      </c>
      <c r="O45" s="54"/>
      <c r="P45" s="63">
        <f t="shared" ref="P45:X45" si="25">IFERROR(MIN(P39:P43),"")</f>
        <v>0.8</v>
      </c>
      <c r="Q45" s="117">
        <f t="shared" si="25"/>
        <v>17</v>
      </c>
      <c r="R45" s="64">
        <f t="shared" si="25"/>
        <v>4.7999548239545983E-4</v>
      </c>
      <c r="S45" s="117">
        <f t="shared" si="25"/>
        <v>0</v>
      </c>
      <c r="T45" s="64">
        <f t="shared" si="25"/>
        <v>0</v>
      </c>
      <c r="U45" s="117">
        <f t="shared" si="25"/>
        <v>8360</v>
      </c>
      <c r="V45" s="64">
        <f t="shared" si="25"/>
        <v>0.6763754045307443</v>
      </c>
      <c r="W45" s="64">
        <f t="shared" si="25"/>
        <v>0.15</v>
      </c>
      <c r="X45" s="63">
        <f t="shared" si="25"/>
        <v>0.79969661227393107</v>
      </c>
    </row>
    <row r="46" spans="1:24" x14ac:dyDescent="0.3">
      <c r="A46" s="1" t="s">
        <v>471</v>
      </c>
      <c r="C46" s="118">
        <f t="shared" ref="C46:K46" si="26">IFERROR(QUARTILE(C39:C43,1),"")</f>
        <v>9550</v>
      </c>
      <c r="D46" s="118">
        <f t="shared" si="26"/>
        <v>11480</v>
      </c>
      <c r="E46" s="117">
        <f t="shared" si="26"/>
        <v>3520</v>
      </c>
      <c r="F46" s="85">
        <f t="shared" si="26"/>
        <v>0.74</v>
      </c>
      <c r="G46" s="64">
        <f t="shared" si="26"/>
        <v>0.29049999999999998</v>
      </c>
      <c r="H46" s="64">
        <f t="shared" si="26"/>
        <v>0.03</v>
      </c>
      <c r="I46" s="64">
        <f t="shared" si="26"/>
        <v>0.12</v>
      </c>
      <c r="J46" s="214">
        <f t="shared" si="26"/>
        <v>2.6270022883295194</v>
      </c>
      <c r="K46" s="163">
        <f t="shared" si="26"/>
        <v>9.043037137106781</v>
      </c>
      <c r="L46" s="54"/>
      <c r="M46" s="227">
        <f>IFERROR(QUARTILE(M39:M43,1),"")</f>
        <v>97</v>
      </c>
      <c r="N46" s="225">
        <f>IFERROR(QUARTILE(N39:N43,1),"")</f>
        <v>11.7</v>
      </c>
      <c r="O46" s="54"/>
      <c r="P46" s="63">
        <f t="shared" ref="P46:X46" si="27">IFERROR(QUARTILE(P39:P43,1),"")</f>
        <v>0.92</v>
      </c>
      <c r="Q46" s="117">
        <f t="shared" si="27"/>
        <v>262</v>
      </c>
      <c r="R46" s="64">
        <f t="shared" si="27"/>
        <v>2.2124641107920961E-2</v>
      </c>
      <c r="S46" s="117">
        <f t="shared" si="27"/>
        <v>0</v>
      </c>
      <c r="T46" s="64">
        <f t="shared" si="27"/>
        <v>0</v>
      </c>
      <c r="U46" s="117">
        <f t="shared" si="27"/>
        <v>9550</v>
      </c>
      <c r="V46" s="64">
        <f t="shared" si="27"/>
        <v>0.72978755922359773</v>
      </c>
      <c r="W46" s="64">
        <f t="shared" si="27"/>
        <v>0.21</v>
      </c>
      <c r="X46" s="63">
        <f t="shared" si="27"/>
        <v>0.81237483229958585</v>
      </c>
    </row>
    <row r="47" spans="1:24" x14ac:dyDescent="0.3">
      <c r="A47" s="1" t="s">
        <v>472</v>
      </c>
      <c r="C47" s="118">
        <f t="shared" ref="C47:K47" si="28">IFERROR(MEDIAN(C39:C43),"")</f>
        <v>11580</v>
      </c>
      <c r="D47" s="118">
        <f t="shared" si="28"/>
        <v>11700</v>
      </c>
      <c r="E47" s="117">
        <f t="shared" si="28"/>
        <v>4370</v>
      </c>
      <c r="F47" s="85">
        <f t="shared" si="28"/>
        <v>0.79</v>
      </c>
      <c r="G47" s="64">
        <f t="shared" si="28"/>
        <v>0.38</v>
      </c>
      <c r="H47" s="64">
        <f t="shared" si="28"/>
        <v>3.7999999999999999E-2</v>
      </c>
      <c r="I47" s="64">
        <f t="shared" si="28"/>
        <v>0.15</v>
      </c>
      <c r="J47" s="214">
        <f t="shared" si="28"/>
        <v>3.2301136363636362</v>
      </c>
      <c r="K47" s="163">
        <f t="shared" si="28"/>
        <v>10.565001851132802</v>
      </c>
      <c r="L47" s="54"/>
      <c r="M47" s="227">
        <f>IFERROR(MEDIAN(M39:M43),"")</f>
        <v>453</v>
      </c>
      <c r="N47" s="225">
        <f>IFERROR(MEDIAN(N39:N43),"")</f>
        <v>25.5</v>
      </c>
      <c r="O47" s="54"/>
      <c r="P47" s="63">
        <f t="shared" ref="P47:X47" si="29">IFERROR(MEDIAN(P39:P43),"")</f>
        <v>1.05</v>
      </c>
      <c r="Q47" s="117">
        <f t="shared" si="29"/>
        <v>3536</v>
      </c>
      <c r="R47" s="64">
        <f t="shared" si="29"/>
        <v>5.4732859286320046E-2</v>
      </c>
      <c r="S47" s="117">
        <f t="shared" si="29"/>
        <v>0</v>
      </c>
      <c r="T47" s="64">
        <f t="shared" si="29"/>
        <v>0</v>
      </c>
      <c r="U47" s="117">
        <f t="shared" si="29"/>
        <v>11580</v>
      </c>
      <c r="V47" s="64">
        <f t="shared" si="29"/>
        <v>0.9452671407136799</v>
      </c>
      <c r="W47" s="64">
        <f t="shared" si="29"/>
        <v>0.21</v>
      </c>
      <c r="X47" s="63">
        <f t="shared" si="29"/>
        <v>0.9038447507334364</v>
      </c>
    </row>
    <row r="48" spans="1:24" x14ac:dyDescent="0.3">
      <c r="A48" s="1" t="s">
        <v>473</v>
      </c>
      <c r="C48" s="118">
        <f t="shared" ref="C48:K48" si="30">IFERROR(AVERAGE(C39:C43),"")</f>
        <v>302778</v>
      </c>
      <c r="D48" s="118">
        <f t="shared" si="30"/>
        <v>303440</v>
      </c>
      <c r="E48" s="117">
        <f t="shared" si="30"/>
        <v>46245.4</v>
      </c>
      <c r="F48" s="85">
        <f t="shared" si="30"/>
        <v>0.7619999999999999</v>
      </c>
      <c r="G48" s="64">
        <f t="shared" si="30"/>
        <v>0.34943999999999997</v>
      </c>
      <c r="H48" s="64">
        <f t="shared" si="30"/>
        <v>6.6600000000000006E-2</v>
      </c>
      <c r="I48" s="64">
        <f t="shared" si="30"/>
        <v>0.23599999999999999</v>
      </c>
      <c r="J48" s="214">
        <f t="shared" si="30"/>
        <v>5.5565530121023645</v>
      </c>
      <c r="K48" s="163">
        <f t="shared" si="30"/>
        <v>15.218020395087958</v>
      </c>
      <c r="L48" s="54"/>
      <c r="M48" s="227">
        <f>IFERROR(AVERAGE(M39:M43),"")</f>
        <v>923</v>
      </c>
      <c r="N48" s="225">
        <f>IFERROR(AVERAGE(N39:N43),"")</f>
        <v>31.880000000000003</v>
      </c>
      <c r="O48" s="54"/>
      <c r="P48" s="63">
        <f t="shared" ref="P48:X48" si="31">IFERROR(AVERAGE(P39:P43),"")</f>
        <v>1.0740000000000003</v>
      </c>
      <c r="Q48" s="117">
        <f t="shared" si="31"/>
        <v>18343</v>
      </c>
      <c r="R48" s="64">
        <f t="shared" si="31"/>
        <v>0.13423490642445887</v>
      </c>
      <c r="S48" s="117">
        <f t="shared" si="31"/>
        <v>0</v>
      </c>
      <c r="T48" s="64">
        <f t="shared" si="31"/>
        <v>0</v>
      </c>
      <c r="U48" s="117">
        <f t="shared" si="31"/>
        <v>302778</v>
      </c>
      <c r="V48" s="64">
        <f t="shared" si="31"/>
        <v>0.8657650935755411</v>
      </c>
      <c r="W48" s="64">
        <f t="shared" si="31"/>
        <v>0.20200000000000001</v>
      </c>
      <c r="X48" s="63">
        <f t="shared" si="31"/>
        <v>0.93831927539394222</v>
      </c>
    </row>
    <row r="49" spans="1:24" x14ac:dyDescent="0.3">
      <c r="A49" s="1" t="s">
        <v>474</v>
      </c>
      <c r="C49" s="118">
        <f t="shared" ref="C49:K49" si="32">IFERROR(QUARTILE(C39:C43,3),"")</f>
        <v>35400</v>
      </c>
      <c r="D49" s="118">
        <f t="shared" si="32"/>
        <v>32650</v>
      </c>
      <c r="E49" s="117">
        <f t="shared" si="32"/>
        <v>5900</v>
      </c>
      <c r="F49" s="85">
        <f t="shared" si="32"/>
        <v>0.82</v>
      </c>
      <c r="G49" s="64">
        <f t="shared" si="32"/>
        <v>0.38</v>
      </c>
      <c r="H49" s="64">
        <f t="shared" si="32"/>
        <v>0.04</v>
      </c>
      <c r="I49" s="64">
        <f t="shared" si="32"/>
        <v>0.2</v>
      </c>
      <c r="J49" s="214">
        <f t="shared" si="32"/>
        <v>6.7453468736480229</v>
      </c>
      <c r="K49" s="163">
        <f t="shared" si="32"/>
        <v>13.252154958051126</v>
      </c>
      <c r="L49" s="54"/>
      <c r="M49" s="227">
        <f>IFERROR(QUARTILE(M39:M43,3),"")</f>
        <v>570</v>
      </c>
      <c r="N49" s="225">
        <f>IFERROR(QUARTILE(N39:N43,3),"")</f>
        <v>54.2</v>
      </c>
      <c r="O49" s="54"/>
      <c r="P49" s="63">
        <f t="shared" ref="P49:X49" si="33">IFERROR(QUARTILE(P39:P43,3),"")</f>
        <v>1.24</v>
      </c>
      <c r="Q49" s="117">
        <f t="shared" si="33"/>
        <v>4000</v>
      </c>
      <c r="R49" s="64">
        <f t="shared" si="33"/>
        <v>0.27021244077640227</v>
      </c>
      <c r="S49" s="117">
        <f t="shared" si="33"/>
        <v>0</v>
      </c>
      <c r="T49" s="64">
        <f t="shared" si="33"/>
        <v>0</v>
      </c>
      <c r="U49" s="117">
        <f t="shared" si="33"/>
        <v>35400</v>
      </c>
      <c r="V49" s="64">
        <f t="shared" si="33"/>
        <v>0.97787535889207899</v>
      </c>
      <c r="W49" s="64">
        <f t="shared" si="33"/>
        <v>0.21</v>
      </c>
      <c r="X49" s="63">
        <f t="shared" si="33"/>
        <v>0.99384615384615393</v>
      </c>
    </row>
    <row r="50" spans="1:24" x14ac:dyDescent="0.3">
      <c r="A50" s="1" t="s">
        <v>475</v>
      </c>
      <c r="C50" s="118">
        <f t="shared" ref="C50:K50" si="34">IFERROR(MAX(C39:C43),"")</f>
        <v>1449000</v>
      </c>
      <c r="D50" s="118">
        <f t="shared" si="34"/>
        <v>1450000</v>
      </c>
      <c r="E50" s="117">
        <f t="shared" si="34"/>
        <v>214963</v>
      </c>
      <c r="F50" s="85">
        <f t="shared" si="34"/>
        <v>0.91</v>
      </c>
      <c r="G50" s="64">
        <f t="shared" si="34"/>
        <v>0.50900000000000001</v>
      </c>
      <c r="H50" s="64">
        <f t="shared" si="34"/>
        <v>0.2</v>
      </c>
      <c r="I50" s="64">
        <f t="shared" si="34"/>
        <v>0.69</v>
      </c>
      <c r="J50" s="214">
        <f t="shared" si="34"/>
        <v>13.197251414713016</v>
      </c>
      <c r="K50" s="163">
        <f t="shared" si="34"/>
        <v>34.72960898608688</v>
      </c>
      <c r="L50" s="54"/>
      <c r="M50" s="227">
        <f>IFERROR(MAX(M39:M43),"")</f>
        <v>3430</v>
      </c>
      <c r="N50" s="225">
        <f>IFERROR(MAX(N39:N43),"")</f>
        <v>62.7</v>
      </c>
      <c r="O50" s="54"/>
      <c r="P50" s="63">
        <f t="shared" ref="P50:X50" si="35">IFERROR(MAX(P39:P43),"")</f>
        <v>1.36</v>
      </c>
      <c r="Q50" s="117">
        <f t="shared" si="35"/>
        <v>83900</v>
      </c>
      <c r="R50" s="64">
        <f t="shared" si="35"/>
        <v>0.32362459546925565</v>
      </c>
      <c r="S50" s="117">
        <f t="shared" si="35"/>
        <v>0</v>
      </c>
      <c r="T50" s="64">
        <f t="shared" si="35"/>
        <v>0</v>
      </c>
      <c r="U50" s="117">
        <f t="shared" si="35"/>
        <v>1449000</v>
      </c>
      <c r="V50" s="64">
        <f t="shared" si="35"/>
        <v>0.99952000451760459</v>
      </c>
      <c r="W50" s="64">
        <f t="shared" si="35"/>
        <v>0.23</v>
      </c>
      <c r="X50" s="63">
        <f t="shared" si="35"/>
        <v>1.1818340278166037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2A60-27D1-4188-B447-9A6EC050121B}">
  <sheetPr>
    <tabColor rgb="FF548235"/>
  </sheetPr>
  <dimension ref="A1:H51"/>
  <sheetViews>
    <sheetView showGridLines="0" workbookViewId="0">
      <pane ySplit="2" topLeftCell="A3" activePane="bottomLeft" state="frozen"/>
      <selection pane="bottomLeft" activeCell="G30" sqref="G30"/>
    </sheetView>
  </sheetViews>
  <sheetFormatPr defaultRowHeight="14.4" x14ac:dyDescent="0.3"/>
  <cols>
    <col min="1" max="1" width="42.5546875" customWidth="1"/>
    <col min="2" max="8" width="11.109375" customWidth="1"/>
    <col min="9" max="18" width="15.21875" customWidth="1"/>
  </cols>
  <sheetData>
    <row r="1" spans="1:8" ht="30" customHeight="1" x14ac:dyDescent="0.3">
      <c r="A1" s="324" t="s">
        <v>775</v>
      </c>
    </row>
    <row r="2" spans="1:8" x14ac:dyDescent="0.3">
      <c r="A2" s="325" t="s">
        <v>389</v>
      </c>
    </row>
    <row r="4" spans="1:8" x14ac:dyDescent="0.3">
      <c r="A4" s="350" t="s">
        <v>390</v>
      </c>
      <c r="B4" s="351"/>
      <c r="C4" s="351"/>
      <c r="D4" s="351"/>
      <c r="E4" s="351"/>
      <c r="F4" s="351"/>
      <c r="G4" s="351"/>
      <c r="H4" s="351"/>
    </row>
    <row r="5" spans="1:8" x14ac:dyDescent="0.3">
      <c r="A5" s="80" t="s">
        <v>391</v>
      </c>
      <c r="B5" s="52" t="s">
        <v>64</v>
      </c>
      <c r="C5" s="52" t="s">
        <v>65</v>
      </c>
      <c r="D5" s="52" t="s">
        <v>66</v>
      </c>
      <c r="E5" s="52" t="s">
        <v>67</v>
      </c>
      <c r="F5" s="52" t="s">
        <v>68</v>
      </c>
      <c r="G5" s="52" t="s">
        <v>69</v>
      </c>
      <c r="H5" s="34"/>
    </row>
    <row r="6" spans="1:8" x14ac:dyDescent="0.3">
      <c r="A6" t="s">
        <v>222</v>
      </c>
      <c r="B6" s="140">
        <v>10387</v>
      </c>
      <c r="C6" s="140">
        <v>14015</v>
      </c>
      <c r="D6" s="140">
        <v>18674</v>
      </c>
      <c r="E6" s="139">
        <f>'Conn DCF'!E49+'Space DCF'!E49+'AI DCF'!E49</f>
        <v>24305.94</v>
      </c>
      <c r="F6" s="139">
        <f>'Conn DCF'!F49+'Space DCF'!F49+'AI DCF'!F49</f>
        <v>31520.649600000001</v>
      </c>
      <c r="G6" s="139">
        <f>'Conn DCF'!G49+'Space DCF'!G49+'AI DCF'!G49</f>
        <v>40380.417792</v>
      </c>
    </row>
    <row r="7" spans="1:8" x14ac:dyDescent="0.3">
      <c r="A7" t="s">
        <v>223</v>
      </c>
      <c r="B7" s="140">
        <v>3869</v>
      </c>
      <c r="C7" s="140">
        <v>7599</v>
      </c>
      <c r="D7" s="140">
        <v>11387</v>
      </c>
      <c r="E7" s="139">
        <f>'Conn DCF'!E49</f>
        <v>15714.06</v>
      </c>
      <c r="F7" s="139">
        <f>'Conn DCF'!F49</f>
        <v>20742.5592</v>
      </c>
      <c r="G7" s="139">
        <f>'Conn DCF'!G49</f>
        <v>26135.624592</v>
      </c>
    </row>
    <row r="8" spans="1:8" x14ac:dyDescent="0.3">
      <c r="A8" t="s">
        <v>224</v>
      </c>
      <c r="B8" s="140">
        <v>3557</v>
      </c>
      <c r="C8" s="140">
        <v>3796</v>
      </c>
      <c r="D8" s="140">
        <v>4086</v>
      </c>
      <c r="E8" s="139">
        <f>'Space DCF'!E49</f>
        <v>4494.6000000000004</v>
      </c>
      <c r="F8" s="139">
        <f>'Space DCF'!F49</f>
        <v>5123.844000000001</v>
      </c>
      <c r="G8" s="139">
        <f>'Space DCF'!G49</f>
        <v>6046.1359200000006</v>
      </c>
    </row>
    <row r="9" spans="1:8" x14ac:dyDescent="0.3">
      <c r="A9" t="s">
        <v>225</v>
      </c>
      <c r="B9" s="140">
        <v>2961</v>
      </c>
      <c r="C9" s="140">
        <v>2620</v>
      </c>
      <c r="D9" s="140">
        <v>3201</v>
      </c>
      <c r="E9" s="139">
        <f>'AI DCF'!E49</f>
        <v>4097.28</v>
      </c>
      <c r="F9" s="139">
        <f>'AI DCF'!F49</f>
        <v>5654.2463999999991</v>
      </c>
      <c r="G9" s="139">
        <f>'AI DCF'!G49</f>
        <v>8198.6572799999976</v>
      </c>
    </row>
    <row r="10" spans="1:8" x14ac:dyDescent="0.3">
      <c r="A10" t="s">
        <v>388</v>
      </c>
      <c r="B10" s="140">
        <v>469</v>
      </c>
      <c r="C10" s="140">
        <v>2006</v>
      </c>
      <c r="D10" s="140">
        <v>7168</v>
      </c>
      <c r="E10" s="139">
        <f>'Conn DCF'!E51</f>
        <v>9899.8577999999998</v>
      </c>
      <c r="F10" s="139">
        <f>'Conn DCF'!F51</f>
        <v>13482.663480000001</v>
      </c>
      <c r="G10" s="139">
        <f>'Conn DCF'!G51</f>
        <v>17249.51223072</v>
      </c>
    </row>
    <row r="11" spans="1:8" x14ac:dyDescent="0.3">
      <c r="A11" t="s">
        <v>380</v>
      </c>
      <c r="B11" s="140">
        <v>-1</v>
      </c>
      <c r="C11" s="140">
        <v>21</v>
      </c>
      <c r="D11" s="140">
        <v>653</v>
      </c>
      <c r="E11" s="139">
        <f>'Space DCF'!E51</f>
        <v>629.24400000000014</v>
      </c>
      <c r="F11" s="139">
        <f>'Space DCF'!F51</f>
        <v>922.29192000000012</v>
      </c>
      <c r="G11" s="139">
        <f>'Space DCF'!G51</f>
        <v>1451.0726208000001</v>
      </c>
    </row>
    <row r="12" spans="1:8" x14ac:dyDescent="0.3">
      <c r="A12" t="s">
        <v>381</v>
      </c>
      <c r="B12" s="140">
        <v>-3973</v>
      </c>
      <c r="C12" s="140">
        <v>-1561</v>
      </c>
      <c r="D12" s="140">
        <v>-1237</v>
      </c>
      <c r="E12" s="139">
        <f>'AI DCF'!E51</f>
        <v>-614.59199999999998</v>
      </c>
      <c r="F12" s="139">
        <f>'AI DCF'!F51</f>
        <v>113.08492799999999</v>
      </c>
      <c r="G12" s="139">
        <f>'AI DCF'!G51</f>
        <v>983.83887359999972</v>
      </c>
    </row>
    <row r="13" spans="1:8" x14ac:dyDescent="0.3">
      <c r="A13" t="s">
        <v>382</v>
      </c>
      <c r="B13" s="140">
        <v>2635</v>
      </c>
      <c r="C13" s="140">
        <v>3824</v>
      </c>
      <c r="D13" s="140">
        <v>6701</v>
      </c>
      <c r="E13" s="139">
        <f>'Conn DCF'!E53+'Space DCF'!E53+'AI DCF'!E53</f>
        <v>8220.3597000000009</v>
      </c>
      <c r="F13" s="139">
        <f>'Conn DCF'!F53+'Space DCF'!F53+'AI DCF'!F53</f>
        <v>9848.4871319999984</v>
      </c>
      <c r="G13" s="139">
        <f>'Conn DCF'!G53+'Space DCF'!G53+'AI DCF'!G53</f>
        <v>11750.570369999998</v>
      </c>
    </row>
    <row r="14" spans="1:8" x14ac:dyDescent="0.3">
      <c r="A14" t="s">
        <v>230</v>
      </c>
      <c r="B14" s="140">
        <v>-4415</v>
      </c>
      <c r="C14" s="140">
        <v>-11163</v>
      </c>
      <c r="D14" s="140">
        <v>-20737</v>
      </c>
      <c r="E14" s="139">
        <f>'Conn DCF'!E59+'Space DCF'!E59+'AI DCF'!E59</f>
        <v>-21510.745200000001</v>
      </c>
      <c r="F14" s="139">
        <f>'Conn DCF'!F59+'Space DCF'!F59+'AI DCF'!F59</f>
        <v>-22501.180944</v>
      </c>
      <c r="G14" s="139">
        <f>'Conn DCF'!G59+'Space DCF'!G59+'AI DCF'!G59</f>
        <v>-24094.151516159996</v>
      </c>
    </row>
    <row r="15" spans="1:8" x14ac:dyDescent="0.3">
      <c r="A15" t="s">
        <v>231</v>
      </c>
      <c r="B15" s="140">
        <v>-4628</v>
      </c>
      <c r="C15" s="140">
        <v>791</v>
      </c>
      <c r="D15" s="140">
        <v>-4937</v>
      </c>
      <c r="E15" s="158" t="s">
        <v>234</v>
      </c>
      <c r="F15" s="158" t="s">
        <v>234</v>
      </c>
      <c r="G15" s="158" t="s">
        <v>234</v>
      </c>
    </row>
    <row r="16" spans="1:8" x14ac:dyDescent="0.3">
      <c r="B16" s="54"/>
      <c r="C16" s="54"/>
      <c r="D16" s="54"/>
      <c r="E16" s="54"/>
      <c r="F16" s="54"/>
      <c r="G16" s="54"/>
    </row>
    <row r="18" spans="1:8" x14ac:dyDescent="0.3">
      <c r="A18" s="355" t="s">
        <v>392</v>
      </c>
      <c r="B18" s="355"/>
      <c r="C18" s="355"/>
      <c r="D18" s="355"/>
      <c r="E18" s="355"/>
      <c r="F18" s="355"/>
      <c r="G18" s="355"/>
      <c r="H18" s="355"/>
    </row>
    <row r="19" spans="1:8" x14ac:dyDescent="0.3">
      <c r="A19" s="6" t="s">
        <v>391</v>
      </c>
      <c r="B19" s="52" t="s">
        <v>221</v>
      </c>
      <c r="C19" s="52" t="s">
        <v>393</v>
      </c>
      <c r="D19" s="52" t="s">
        <v>394</v>
      </c>
      <c r="E19" s="52" t="s">
        <v>395</v>
      </c>
      <c r="F19" s="6" t="s">
        <v>396</v>
      </c>
      <c r="G19" s="52"/>
      <c r="H19" s="52"/>
    </row>
    <row r="20" spans="1:8" x14ac:dyDescent="0.3">
      <c r="A20" t="s">
        <v>222</v>
      </c>
      <c r="B20" s="159">
        <v>4694</v>
      </c>
      <c r="C20" s="160">
        <f>(E6-B20)*C$24</f>
        <v>6275.8207999999995</v>
      </c>
      <c r="D20" s="160">
        <f>(E6-B20)*D$24</f>
        <v>6668.0595999999996</v>
      </c>
      <c r="E20" s="160">
        <f>(E6-B20)*E$24</f>
        <v>6668.0595999999996</v>
      </c>
      <c r="F20" s="161">
        <f>B20+C20+D20+E20</f>
        <v>24305.94</v>
      </c>
      <c r="G20" s="54"/>
      <c r="H20" s="54"/>
    </row>
    <row r="21" spans="1:8" x14ac:dyDescent="0.3">
      <c r="A21" t="s">
        <v>223</v>
      </c>
      <c r="B21" s="159">
        <v>3257</v>
      </c>
      <c r="C21" s="160">
        <f>(E7-B21)*C$24</f>
        <v>3986.2592</v>
      </c>
      <c r="D21" s="160">
        <f>(E7-B21)*D$24</f>
        <v>4235.4004000000004</v>
      </c>
      <c r="E21" s="160">
        <f>(E7-B21)*E$24</f>
        <v>4235.4004000000004</v>
      </c>
      <c r="F21" s="161">
        <f>B21+C21+D21+E21</f>
        <v>15714.060000000001</v>
      </c>
      <c r="G21" s="54"/>
      <c r="H21" s="54"/>
    </row>
    <row r="22" spans="1:8" x14ac:dyDescent="0.3">
      <c r="A22" t="s">
        <v>224</v>
      </c>
      <c r="B22" s="159">
        <v>619</v>
      </c>
      <c r="C22" s="160">
        <f>(E8-B22)*C$24</f>
        <v>1240.1920000000002</v>
      </c>
      <c r="D22" s="160">
        <f>(E8-B22)*D$24</f>
        <v>1317.7040000000002</v>
      </c>
      <c r="E22" s="160">
        <f>(E8-B22)*E$24</f>
        <v>1317.7040000000002</v>
      </c>
      <c r="F22" s="161">
        <f>B22+C22+D22+E22</f>
        <v>4494.6000000000004</v>
      </c>
      <c r="G22" s="54"/>
      <c r="H22" s="54"/>
    </row>
    <row r="23" spans="1:8" x14ac:dyDescent="0.3">
      <c r="A23" t="s">
        <v>225</v>
      </c>
      <c r="B23" s="159">
        <v>818</v>
      </c>
      <c r="C23" s="160">
        <f>(E9-B23)*C$24</f>
        <v>1049.3696</v>
      </c>
      <c r="D23" s="160">
        <f>(E9-B23)*D$24</f>
        <v>1114.9552000000001</v>
      </c>
      <c r="E23" s="160">
        <f>(E9-B23)*E$24</f>
        <v>1114.9552000000001</v>
      </c>
      <c r="F23" s="161">
        <f>B23+C23+D23+E23</f>
        <v>4097.2800000000007</v>
      </c>
      <c r="G23" s="54"/>
      <c r="H23" s="54"/>
    </row>
    <row r="24" spans="1:8" x14ac:dyDescent="0.3">
      <c r="A24" s="325" t="s">
        <v>782</v>
      </c>
      <c r="C24" s="327">
        <v>0.32</v>
      </c>
      <c r="D24" s="327">
        <v>0.34</v>
      </c>
      <c r="E24" s="327">
        <v>0.34</v>
      </c>
    </row>
    <row r="26" spans="1:8" x14ac:dyDescent="0.3">
      <c r="A26" s="355" t="s">
        <v>397</v>
      </c>
      <c r="B26" s="355"/>
      <c r="C26" s="355"/>
      <c r="D26" s="355"/>
      <c r="E26" s="355"/>
      <c r="F26" s="355"/>
      <c r="G26" s="355"/>
      <c r="H26" s="355"/>
    </row>
    <row r="27" spans="1:8" x14ac:dyDescent="0.3">
      <c r="A27" s="6" t="s">
        <v>398</v>
      </c>
      <c r="B27" s="52" t="s">
        <v>399</v>
      </c>
      <c r="C27" s="52" t="s">
        <v>386</v>
      </c>
      <c r="D27" s="52" t="s">
        <v>400</v>
      </c>
      <c r="E27" s="52" t="s">
        <v>387</v>
      </c>
      <c r="F27" s="52"/>
      <c r="G27" s="52"/>
      <c r="H27" s="52"/>
    </row>
    <row r="28" spans="1:8" x14ac:dyDescent="0.3">
      <c r="A28" t="s">
        <v>222</v>
      </c>
      <c r="B28" s="162">
        <f t="shared" ref="B28:B34" si="0">E6</f>
        <v>24305.94</v>
      </c>
      <c r="C28" s="119"/>
      <c r="D28" s="64" t="str">
        <f t="shared" ref="D28:D36" si="1">IF(C28="","—",C28/B28-1)</f>
        <v>—</v>
      </c>
      <c r="E28" s="54" t="s">
        <v>422</v>
      </c>
      <c r="F28" s="54"/>
      <c r="G28" s="54"/>
      <c r="H28" s="54"/>
    </row>
    <row r="29" spans="1:8" x14ac:dyDescent="0.3">
      <c r="A29" t="s">
        <v>401</v>
      </c>
      <c r="B29" s="162">
        <f t="shared" si="0"/>
        <v>15714.06</v>
      </c>
      <c r="C29" s="119"/>
      <c r="D29" s="64" t="str">
        <f t="shared" si="1"/>
        <v>—</v>
      </c>
      <c r="E29" s="54" t="str">
        <f t="shared" ref="E29:E36" si="2">IF(C29="","(awaiting)",IF(ABS(D29)&lt;0.05,"On track",IF(D29&gt;0,"Beat","Miss")))</f>
        <v>(awaiting)</v>
      </c>
      <c r="F29" s="54"/>
      <c r="G29" s="54"/>
      <c r="H29" s="54"/>
    </row>
    <row r="30" spans="1:8" x14ac:dyDescent="0.3">
      <c r="A30" t="s">
        <v>378</v>
      </c>
      <c r="B30" s="162">
        <f t="shared" si="0"/>
        <v>4494.6000000000004</v>
      </c>
      <c r="C30" s="119"/>
      <c r="D30" s="64" t="str">
        <f t="shared" si="1"/>
        <v>—</v>
      </c>
      <c r="E30" s="54" t="str">
        <f t="shared" si="2"/>
        <v>(awaiting)</v>
      </c>
      <c r="F30" s="54"/>
      <c r="G30" s="54"/>
      <c r="H30" s="54"/>
    </row>
    <row r="31" spans="1:8" x14ac:dyDescent="0.3">
      <c r="A31" t="s">
        <v>379</v>
      </c>
      <c r="B31" s="162">
        <f t="shared" si="0"/>
        <v>4097.28</v>
      </c>
      <c r="C31" s="119"/>
      <c r="D31" s="64" t="str">
        <f t="shared" si="1"/>
        <v>—</v>
      </c>
      <c r="E31" s="54" t="str">
        <f t="shared" si="2"/>
        <v>(awaiting)</v>
      </c>
      <c r="F31" s="54"/>
      <c r="G31" s="54"/>
      <c r="H31" s="54"/>
    </row>
    <row r="32" spans="1:8" x14ac:dyDescent="0.3">
      <c r="A32" t="s">
        <v>388</v>
      </c>
      <c r="B32" s="172">
        <f t="shared" si="0"/>
        <v>9899.8577999999998</v>
      </c>
      <c r="C32" s="159"/>
      <c r="D32" s="64" t="str">
        <f t="shared" si="1"/>
        <v>—</v>
      </c>
      <c r="E32" s="54" t="str">
        <f t="shared" si="2"/>
        <v>(awaiting)</v>
      </c>
      <c r="F32" s="54"/>
      <c r="G32" s="54"/>
      <c r="H32" s="54"/>
    </row>
    <row r="33" spans="1:8" x14ac:dyDescent="0.3">
      <c r="A33" t="s">
        <v>380</v>
      </c>
      <c r="B33" s="172">
        <f t="shared" si="0"/>
        <v>629.24400000000014</v>
      </c>
      <c r="C33" s="159"/>
      <c r="D33" s="64" t="str">
        <f t="shared" si="1"/>
        <v>—</v>
      </c>
      <c r="E33" s="54" t="str">
        <f t="shared" si="2"/>
        <v>(awaiting)</v>
      </c>
      <c r="F33" s="54"/>
      <c r="G33" s="54"/>
      <c r="H33" s="54"/>
    </row>
    <row r="34" spans="1:8" x14ac:dyDescent="0.3">
      <c r="A34" t="s">
        <v>381</v>
      </c>
      <c r="B34" s="172">
        <f t="shared" si="0"/>
        <v>-614.59199999999998</v>
      </c>
      <c r="C34" s="159"/>
      <c r="D34" s="64" t="str">
        <f t="shared" si="1"/>
        <v>—</v>
      </c>
      <c r="E34" s="54" t="str">
        <f t="shared" si="2"/>
        <v>(awaiting)</v>
      </c>
      <c r="F34" s="54"/>
      <c r="G34" s="54"/>
      <c r="H34" s="54"/>
    </row>
    <row r="35" spans="1:8" x14ac:dyDescent="0.3">
      <c r="A35" t="s">
        <v>230</v>
      </c>
      <c r="B35" s="172">
        <f>E14</f>
        <v>-21510.745200000001</v>
      </c>
      <c r="C35" s="159"/>
      <c r="D35" s="64" t="str">
        <f t="shared" si="1"/>
        <v>—</v>
      </c>
      <c r="E35" s="54" t="str">
        <f t="shared" si="2"/>
        <v>(awaiting)</v>
      </c>
      <c r="F35" s="54"/>
      <c r="G35" s="54"/>
      <c r="H35" s="54"/>
    </row>
    <row r="36" spans="1:8" x14ac:dyDescent="0.3">
      <c r="A36" t="s">
        <v>414</v>
      </c>
      <c r="B36" s="172">
        <f>'Conn DCF'!E61+'Space DCF'!E61+'AI DCF'!E61</f>
        <v>-13279.003981</v>
      </c>
      <c r="C36" s="159"/>
      <c r="D36" s="64" t="str">
        <f t="shared" si="1"/>
        <v>—</v>
      </c>
      <c r="E36" s="54" t="str">
        <f t="shared" si="2"/>
        <v>(awaiting)</v>
      </c>
      <c r="F36" s="54"/>
      <c r="G36" s="54"/>
      <c r="H36" s="54"/>
    </row>
    <row r="38" spans="1:8" x14ac:dyDescent="0.3">
      <c r="A38" s="355" t="s">
        <v>402</v>
      </c>
      <c r="B38" s="355"/>
      <c r="C38" s="355"/>
      <c r="D38" s="355"/>
      <c r="E38" s="355"/>
      <c r="F38" s="355"/>
      <c r="G38" s="355"/>
      <c r="H38" s="355"/>
    </row>
    <row r="39" spans="1:8" x14ac:dyDescent="0.3">
      <c r="A39" s="6" t="s">
        <v>403</v>
      </c>
      <c r="B39" s="52" t="s">
        <v>404</v>
      </c>
      <c r="C39" s="52" t="s">
        <v>386</v>
      </c>
      <c r="D39" s="52" t="s">
        <v>400</v>
      </c>
      <c r="E39" s="52" t="s">
        <v>387</v>
      </c>
      <c r="F39" s="52"/>
      <c r="G39" s="52"/>
      <c r="H39" s="52"/>
    </row>
    <row r="40" spans="1:8" x14ac:dyDescent="0.3">
      <c r="A40" t="s">
        <v>222</v>
      </c>
      <c r="B40" s="162">
        <f>C20</f>
        <v>6275.8207999999995</v>
      </c>
      <c r="C40" s="119"/>
      <c r="D40" s="64" t="str">
        <f>IF(C40="","—",C40/B40-1)</f>
        <v>—</v>
      </c>
      <c r="E40" s="54" t="str">
        <f>IF(C40="","(awaiting)",IF(ABS(D40)&lt;0.05,"On track",IF(D40&gt;0,"Beat","Miss")))</f>
        <v>(awaiting)</v>
      </c>
      <c r="F40" s="54"/>
      <c r="G40" s="54"/>
      <c r="H40" s="54"/>
    </row>
    <row r="41" spans="1:8" x14ac:dyDescent="0.3">
      <c r="A41" t="s">
        <v>401</v>
      </c>
      <c r="B41" s="162">
        <f>C21</f>
        <v>3986.2592</v>
      </c>
      <c r="C41" s="119"/>
      <c r="D41" s="64" t="str">
        <f>IF(C41="","—",C41/B41-1)</f>
        <v>—</v>
      </c>
      <c r="E41" s="54" t="str">
        <f>IF(C41="","(awaiting)",IF(ABS(D41)&lt;0.05,"On track",IF(D41&gt;0,"Beat","Miss")))</f>
        <v>(awaiting)</v>
      </c>
      <c r="F41" s="54"/>
      <c r="G41" s="54"/>
      <c r="H41" s="54"/>
    </row>
    <row r="42" spans="1:8" x14ac:dyDescent="0.3">
      <c r="A42" t="s">
        <v>378</v>
      </c>
      <c r="B42" s="162">
        <f>C22</f>
        <v>1240.1920000000002</v>
      </c>
      <c r="C42" s="119"/>
      <c r="D42" s="64" t="str">
        <f>IF(C42="","—",C42/B42-1)</f>
        <v>—</v>
      </c>
      <c r="E42" s="54" t="str">
        <f>IF(C42="","(awaiting)",IF(ABS(D42)&lt;0.05,"On track",IF(D42&gt;0,"Beat","Miss")))</f>
        <v>(awaiting)</v>
      </c>
      <c r="F42" s="54"/>
      <c r="G42" s="54"/>
      <c r="H42" s="54"/>
    </row>
    <row r="43" spans="1:8" x14ac:dyDescent="0.3">
      <c r="A43" t="s">
        <v>379</v>
      </c>
      <c r="B43" s="162">
        <f>C23</f>
        <v>1049.3696</v>
      </c>
      <c r="C43" s="119"/>
      <c r="D43" s="64" t="str">
        <f>IF(C43="","—",C43/B43-1)</f>
        <v>—</v>
      </c>
      <c r="E43" s="54" t="str">
        <f>IF(C43="","(awaiting)",IF(ABS(D43)&lt;0.05,"On track",IF(D43&gt;0,"Beat","Miss")))</f>
        <v>(awaiting)</v>
      </c>
      <c r="F43" s="54"/>
      <c r="G43" s="54"/>
      <c r="H43" s="54"/>
    </row>
    <row r="46" spans="1:8" x14ac:dyDescent="0.3">
      <c r="A46" s="4" t="s">
        <v>405</v>
      </c>
      <c r="B46" s="4"/>
      <c r="C46" s="4"/>
      <c r="D46" s="4"/>
      <c r="E46" s="4"/>
      <c r="F46" s="4"/>
      <c r="G46" s="4"/>
      <c r="H46" s="4"/>
    </row>
    <row r="47" spans="1:8" x14ac:dyDescent="0.3">
      <c r="A47" s="157" t="s">
        <v>406</v>
      </c>
    </row>
    <row r="48" spans="1:8" x14ac:dyDescent="0.3">
      <c r="A48" s="157" t="s">
        <v>407</v>
      </c>
    </row>
    <row r="49" spans="1:1" x14ac:dyDescent="0.3">
      <c r="A49" s="157" t="s">
        <v>408</v>
      </c>
    </row>
    <row r="50" spans="1:1" x14ac:dyDescent="0.3">
      <c r="A50" s="157" t="s">
        <v>409</v>
      </c>
    </row>
    <row r="51" spans="1:1" x14ac:dyDescent="0.3">
      <c r="A51" s="157" t="s">
        <v>410</v>
      </c>
    </row>
  </sheetData>
  <mergeCells count="4">
    <mergeCell ref="A18:H18"/>
    <mergeCell ref="A26:H26"/>
    <mergeCell ref="A38:H38"/>
    <mergeCell ref="A4:H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6289-180E-44BF-8B5A-E46EA35699B4}">
  <sheetPr>
    <tabColor rgb="FF00B050"/>
  </sheetPr>
  <dimension ref="A1:F161"/>
  <sheetViews>
    <sheetView showGridLines="0" workbookViewId="0">
      <pane ySplit="5" topLeftCell="A6" activePane="bottomLeft" state="frozen"/>
      <selection pane="bottomLeft" activeCell="H9" sqref="H9"/>
    </sheetView>
  </sheetViews>
  <sheetFormatPr defaultRowHeight="14.4" x14ac:dyDescent="0.3"/>
  <cols>
    <col min="1" max="1" width="46.33203125" customWidth="1"/>
    <col min="2" max="6" width="11.109375" customWidth="1"/>
  </cols>
  <sheetData>
    <row r="1" spans="1:6" ht="30" customHeight="1" x14ac:dyDescent="0.3">
      <c r="A1" s="324" t="s">
        <v>776</v>
      </c>
    </row>
    <row r="2" spans="1:6" x14ac:dyDescent="0.3">
      <c r="A2" s="325" t="s">
        <v>585</v>
      </c>
    </row>
    <row r="3" spans="1:6" x14ac:dyDescent="0.3">
      <c r="A3" s="325" t="s">
        <v>586</v>
      </c>
    </row>
    <row r="5" spans="1:6" x14ac:dyDescent="0.3">
      <c r="B5" s="232" t="s">
        <v>383</v>
      </c>
      <c r="C5" s="232" t="s">
        <v>384</v>
      </c>
      <c r="D5" s="232" t="s">
        <v>385</v>
      </c>
      <c r="E5" s="233" t="s">
        <v>587</v>
      </c>
      <c r="F5" s="233" t="s">
        <v>175</v>
      </c>
    </row>
    <row r="6" spans="1:6" x14ac:dyDescent="0.3">
      <c r="A6" s="4" t="s">
        <v>588</v>
      </c>
      <c r="B6" s="234"/>
      <c r="C6" s="234"/>
      <c r="D6" s="234"/>
      <c r="E6" s="234"/>
      <c r="F6" s="234"/>
    </row>
    <row r="7" spans="1:6" x14ac:dyDescent="0.3">
      <c r="A7" s="1" t="s">
        <v>87</v>
      </c>
      <c r="B7" s="137">
        <v>10387</v>
      </c>
      <c r="C7" s="137">
        <v>14015</v>
      </c>
      <c r="D7" s="137">
        <v>18674</v>
      </c>
      <c r="E7" s="137">
        <v>4067</v>
      </c>
      <c r="F7" s="137">
        <v>4694</v>
      </c>
    </row>
    <row r="8" spans="1:6" x14ac:dyDescent="0.3">
      <c r="A8" t="s">
        <v>589</v>
      </c>
      <c r="B8" s="235">
        <v>-6110</v>
      </c>
      <c r="C8" s="235">
        <v>-7996</v>
      </c>
      <c r="D8" s="235">
        <v>-9451</v>
      </c>
      <c r="E8" s="235">
        <v>-1962</v>
      </c>
      <c r="F8" s="235">
        <v>-2388</v>
      </c>
    </row>
    <row r="9" spans="1:6" x14ac:dyDescent="0.3">
      <c r="A9" s="1" t="s">
        <v>590</v>
      </c>
      <c r="B9" s="236">
        <f>B7+B8</f>
        <v>4277</v>
      </c>
      <c r="C9" s="236">
        <f>C7+C8</f>
        <v>6019</v>
      </c>
      <c r="D9" s="236">
        <f>D7+D8</f>
        <v>9223</v>
      </c>
      <c r="E9" s="236">
        <f>E7+E8</f>
        <v>2105</v>
      </c>
      <c r="F9" s="236">
        <f>F7+F8</f>
        <v>2306</v>
      </c>
    </row>
    <row r="10" spans="1:6" x14ac:dyDescent="0.3">
      <c r="A10" s="2" t="s">
        <v>591</v>
      </c>
      <c r="B10" s="237">
        <f>B9/B7</f>
        <v>0.41176470588235292</v>
      </c>
      <c r="C10" s="237">
        <f>C9/C7</f>
        <v>0.4294684266856939</v>
      </c>
      <c r="D10" s="237">
        <f>D9/D7</f>
        <v>0.49389525543536467</v>
      </c>
      <c r="E10" s="237">
        <f>E9/E7</f>
        <v>0.51758052618637818</v>
      </c>
      <c r="F10" s="237">
        <f>F9/F7</f>
        <v>0.49126544524925436</v>
      </c>
    </row>
    <row r="11" spans="1:6" x14ac:dyDescent="0.3">
      <c r="A11" t="s">
        <v>592</v>
      </c>
      <c r="B11" s="235">
        <v>-2105</v>
      </c>
      <c r="C11" s="235">
        <v>-3464</v>
      </c>
      <c r="D11" s="235">
        <v>-8643</v>
      </c>
      <c r="E11" s="235">
        <v>-1557</v>
      </c>
      <c r="F11" s="235">
        <v>-3514</v>
      </c>
    </row>
    <row r="12" spans="1:6" x14ac:dyDescent="0.3">
      <c r="A12" t="s">
        <v>593</v>
      </c>
      <c r="B12" s="235">
        <v>-1665</v>
      </c>
      <c r="C12" s="235">
        <v>-1813</v>
      </c>
      <c r="D12" s="235">
        <v>-2644</v>
      </c>
      <c r="E12" s="235">
        <v>-493</v>
      </c>
      <c r="F12" s="235">
        <v>-746</v>
      </c>
    </row>
    <row r="13" spans="1:6" x14ac:dyDescent="0.3">
      <c r="A13" t="s">
        <v>594</v>
      </c>
      <c r="B13" s="235">
        <v>-237</v>
      </c>
      <c r="C13" s="235">
        <v>-213</v>
      </c>
      <c r="D13" s="235">
        <v>-487</v>
      </c>
      <c r="E13" s="235">
        <v>-4</v>
      </c>
      <c r="F13" s="235">
        <v>11</v>
      </c>
    </row>
    <row r="14" spans="1:6" x14ac:dyDescent="0.3">
      <c r="A14" t="s">
        <v>595</v>
      </c>
      <c r="B14" s="235">
        <v>-3775</v>
      </c>
      <c r="C14" s="235">
        <v>-63</v>
      </c>
      <c r="D14" s="235">
        <v>-38</v>
      </c>
      <c r="E14" s="235">
        <v>-24</v>
      </c>
      <c r="F14" s="235">
        <v>0</v>
      </c>
    </row>
    <row r="15" spans="1:6" x14ac:dyDescent="0.3">
      <c r="A15" s="1" t="s">
        <v>596</v>
      </c>
      <c r="B15" s="236">
        <f>B8+B11+B12+B13+B14</f>
        <v>-13892</v>
      </c>
      <c r="C15" s="236">
        <f>C8+C11+C12+C13+C14</f>
        <v>-13549</v>
      </c>
      <c r="D15" s="236">
        <f>D8+D11+D12+D13+D14</f>
        <v>-21263</v>
      </c>
      <c r="E15" s="236">
        <f>E8+E11+E12+E13+E14</f>
        <v>-4040</v>
      </c>
      <c r="F15" s="236">
        <f>F8+F11+F12+F13+F14</f>
        <v>-6637</v>
      </c>
    </row>
    <row r="16" spans="1:6" x14ac:dyDescent="0.3">
      <c r="B16" s="54"/>
      <c r="C16" s="54"/>
      <c r="D16" s="54"/>
      <c r="E16" s="54"/>
      <c r="F16" s="54"/>
    </row>
    <row r="17" spans="1:6" x14ac:dyDescent="0.3">
      <c r="A17" s="1" t="s">
        <v>597</v>
      </c>
      <c r="B17" s="236">
        <f>B7+B15</f>
        <v>-3505</v>
      </c>
      <c r="C17" s="236">
        <f>C7+C15</f>
        <v>466</v>
      </c>
      <c r="D17" s="236">
        <f>D7+D15</f>
        <v>-2589</v>
      </c>
      <c r="E17" s="236">
        <f>E7+E15</f>
        <v>27</v>
      </c>
      <c r="F17" s="236">
        <f>F7+F15</f>
        <v>-1943</v>
      </c>
    </row>
    <row r="18" spans="1:6" x14ac:dyDescent="0.3">
      <c r="A18" s="2" t="s">
        <v>598</v>
      </c>
      <c r="B18" s="238">
        <f>B17/B7</f>
        <v>-0.33744103205930492</v>
      </c>
      <c r="C18" s="238">
        <f>C17/C7</f>
        <v>3.325008919015341E-2</v>
      </c>
      <c r="D18" s="238">
        <f>D17/D7</f>
        <v>-0.13864196208632323</v>
      </c>
      <c r="E18" s="238">
        <f>E17/E7</f>
        <v>6.6388000983525937E-3</v>
      </c>
      <c r="F18" s="238">
        <f>F17/F7</f>
        <v>-0.41393268001704303</v>
      </c>
    </row>
    <row r="19" spans="1:6" x14ac:dyDescent="0.3">
      <c r="A19" t="s">
        <v>599</v>
      </c>
      <c r="B19" s="235">
        <v>-1693</v>
      </c>
      <c r="C19" s="235">
        <v>-1580</v>
      </c>
      <c r="D19" s="235">
        <v>-1945</v>
      </c>
      <c r="E19" s="235">
        <v>-447</v>
      </c>
      <c r="F19" s="235">
        <v>-664</v>
      </c>
    </row>
    <row r="20" spans="1:6" x14ac:dyDescent="0.3">
      <c r="A20" t="s">
        <v>600</v>
      </c>
      <c r="B20" s="235">
        <v>249</v>
      </c>
      <c r="C20" s="235">
        <v>371</v>
      </c>
      <c r="D20" s="235">
        <v>492</v>
      </c>
      <c r="E20" s="235">
        <v>117</v>
      </c>
      <c r="F20" s="235">
        <v>213</v>
      </c>
    </row>
    <row r="21" spans="1:6" x14ac:dyDescent="0.3">
      <c r="A21" t="s">
        <v>601</v>
      </c>
      <c r="B21" s="235">
        <v>-42</v>
      </c>
      <c r="C21" s="235">
        <v>985</v>
      </c>
      <c r="D21" s="235">
        <v>-177</v>
      </c>
      <c r="E21" s="235">
        <v>-211</v>
      </c>
      <c r="F21" s="235">
        <v>-1876</v>
      </c>
    </row>
    <row r="22" spans="1:6" x14ac:dyDescent="0.3">
      <c r="A22" s="1" t="s">
        <v>602</v>
      </c>
      <c r="B22" s="239">
        <f>B17+B19+B20+B21</f>
        <v>-4991</v>
      </c>
      <c r="C22" s="239">
        <f>C17+C19+C20+C21</f>
        <v>242</v>
      </c>
      <c r="D22" s="239">
        <f>D17+D19+D20+D21</f>
        <v>-4219</v>
      </c>
      <c r="E22" s="239">
        <f>E17+E19+E20+E21</f>
        <v>-514</v>
      </c>
      <c r="F22" s="239">
        <f>F17+F19+F20+F21</f>
        <v>-4270</v>
      </c>
    </row>
    <row r="23" spans="1:6" x14ac:dyDescent="0.3">
      <c r="A23" t="s">
        <v>603</v>
      </c>
      <c r="B23" s="235">
        <v>363</v>
      </c>
      <c r="C23" s="235">
        <v>549</v>
      </c>
      <c r="D23" s="235">
        <v>-718</v>
      </c>
      <c r="E23" s="235">
        <v>-14</v>
      </c>
      <c r="F23" s="235">
        <v>-6</v>
      </c>
    </row>
    <row r="24" spans="1:6" x14ac:dyDescent="0.3">
      <c r="A24" s="1" t="s">
        <v>604</v>
      </c>
      <c r="B24" s="239">
        <f>B22+B23</f>
        <v>-4628</v>
      </c>
      <c r="C24" s="239">
        <f>C22+C23</f>
        <v>791</v>
      </c>
      <c r="D24" s="239">
        <f>D22+D23</f>
        <v>-4937</v>
      </c>
      <c r="E24" s="239">
        <f>E22+E23</f>
        <v>-528</v>
      </c>
      <c r="F24" s="239">
        <f>F22+F23</f>
        <v>-4276</v>
      </c>
    </row>
    <row r="25" spans="1:6" x14ac:dyDescent="0.3">
      <c r="A25" s="2" t="s">
        <v>605</v>
      </c>
      <c r="B25" s="238">
        <f>B24/B7</f>
        <v>-0.4455569461827284</v>
      </c>
      <c r="C25" s="238">
        <f>C24/C7</f>
        <v>5.6439529075990008E-2</v>
      </c>
      <c r="D25" s="238">
        <f>D24/D7</f>
        <v>-0.2643782799614437</v>
      </c>
      <c r="E25" s="238">
        <f>E24/E7</f>
        <v>-0.12982542414556184</v>
      </c>
      <c r="F25" s="238">
        <f>F24/F7</f>
        <v>-0.91095014912654448</v>
      </c>
    </row>
    <row r="26" spans="1:6" x14ac:dyDescent="0.3">
      <c r="B26" s="54"/>
      <c r="C26" s="54"/>
      <c r="D26" s="54"/>
      <c r="E26" s="54"/>
      <c r="F26" s="54"/>
    </row>
    <row r="27" spans="1:6" x14ac:dyDescent="0.3">
      <c r="A27" s="4" t="s">
        <v>606</v>
      </c>
      <c r="B27" s="234"/>
      <c r="C27" s="234"/>
      <c r="D27" s="234"/>
      <c r="E27" s="234"/>
      <c r="F27" s="234"/>
    </row>
    <row r="28" spans="1:6" x14ac:dyDescent="0.3">
      <c r="A28" s="1" t="s">
        <v>607</v>
      </c>
      <c r="B28" s="137">
        <v>3557</v>
      </c>
      <c r="C28" s="137">
        <v>3796</v>
      </c>
      <c r="D28" s="137">
        <v>4086</v>
      </c>
      <c r="E28" s="137">
        <v>865</v>
      </c>
      <c r="F28" s="137">
        <v>619</v>
      </c>
    </row>
    <row r="29" spans="1:6" x14ac:dyDescent="0.3">
      <c r="A29" t="s">
        <v>608</v>
      </c>
      <c r="B29" s="137">
        <v>1964</v>
      </c>
      <c r="C29" s="137">
        <v>2584</v>
      </c>
      <c r="D29" s="137">
        <v>2576</v>
      </c>
      <c r="E29" s="54"/>
      <c r="F29" s="54"/>
    </row>
    <row r="30" spans="1:6" x14ac:dyDescent="0.3">
      <c r="A30" t="s">
        <v>609</v>
      </c>
      <c r="B30" s="137">
        <v>1593</v>
      </c>
      <c r="C30" s="137">
        <v>1212</v>
      </c>
      <c r="D30" s="137">
        <v>1510</v>
      </c>
      <c r="E30" s="54"/>
      <c r="F30" s="54"/>
    </row>
    <row r="31" spans="1:6" x14ac:dyDescent="0.3">
      <c r="A31" s="1" t="s">
        <v>610</v>
      </c>
      <c r="B31" s="137">
        <v>3869</v>
      </c>
      <c r="C31" s="137">
        <v>7599</v>
      </c>
      <c r="D31" s="137">
        <v>11387</v>
      </c>
      <c r="E31" s="137">
        <v>2475</v>
      </c>
      <c r="F31" s="137">
        <v>3257</v>
      </c>
    </row>
    <row r="32" spans="1:6" x14ac:dyDescent="0.3">
      <c r="A32" t="s">
        <v>611</v>
      </c>
      <c r="B32" s="137">
        <v>2817</v>
      </c>
      <c r="C32" s="137">
        <v>4830</v>
      </c>
      <c r="D32" s="137">
        <v>7208</v>
      </c>
      <c r="E32" s="54"/>
      <c r="F32" s="54"/>
    </row>
    <row r="33" spans="1:6" x14ac:dyDescent="0.3">
      <c r="A33" t="s">
        <v>612</v>
      </c>
      <c r="B33" s="137">
        <v>1052</v>
      </c>
      <c r="C33" s="137">
        <v>2769</v>
      </c>
      <c r="D33" s="137">
        <v>4179</v>
      </c>
      <c r="E33" s="54"/>
      <c r="F33" s="54"/>
    </row>
    <row r="34" spans="1:6" x14ac:dyDescent="0.3">
      <c r="A34" s="1" t="s">
        <v>613</v>
      </c>
      <c r="B34" s="137">
        <v>2961</v>
      </c>
      <c r="C34" s="137">
        <v>2620</v>
      </c>
      <c r="D34" s="137">
        <v>3201</v>
      </c>
      <c r="E34" s="137">
        <v>727</v>
      </c>
      <c r="F34" s="137">
        <v>818</v>
      </c>
    </row>
    <row r="35" spans="1:6" x14ac:dyDescent="0.3">
      <c r="A35" t="s">
        <v>614</v>
      </c>
      <c r="B35" s="137">
        <v>2323</v>
      </c>
      <c r="C35" s="137">
        <v>1728</v>
      </c>
      <c r="D35" s="137">
        <v>1844</v>
      </c>
      <c r="E35" s="54"/>
      <c r="F35" s="54"/>
    </row>
    <row r="36" spans="1:6" x14ac:dyDescent="0.3">
      <c r="A36" t="s">
        <v>615</v>
      </c>
      <c r="B36" s="137">
        <v>638</v>
      </c>
      <c r="C36" s="137">
        <v>892</v>
      </c>
      <c r="D36" s="137">
        <v>1357</v>
      </c>
      <c r="E36" s="54"/>
      <c r="F36" s="54"/>
    </row>
    <row r="37" spans="1:6" x14ac:dyDescent="0.3">
      <c r="A37" s="1" t="s">
        <v>616</v>
      </c>
      <c r="B37" s="240">
        <f>B28+B31+B34</f>
        <v>10387</v>
      </c>
      <c r="C37" s="240">
        <f>C28+C31+C34</f>
        <v>14015</v>
      </c>
      <c r="D37" s="240">
        <f>D28+D31+D34</f>
        <v>18674</v>
      </c>
      <c r="E37" s="240">
        <f>E28+E31+E34</f>
        <v>4067</v>
      </c>
      <c r="F37" s="240">
        <f>F28+F31+F34</f>
        <v>4694</v>
      </c>
    </row>
    <row r="38" spans="1:6" x14ac:dyDescent="0.3">
      <c r="B38" s="54"/>
      <c r="C38" s="54"/>
      <c r="D38" s="54"/>
      <c r="E38" s="54"/>
      <c r="F38" s="54"/>
    </row>
    <row r="39" spans="1:6" x14ac:dyDescent="0.3">
      <c r="A39" s="4" t="s">
        <v>617</v>
      </c>
      <c r="B39" s="234"/>
      <c r="C39" s="234"/>
      <c r="D39" s="234"/>
      <c r="E39" s="234"/>
      <c r="F39" s="234"/>
    </row>
    <row r="40" spans="1:6" x14ac:dyDescent="0.3">
      <c r="A40" s="231" t="s">
        <v>618</v>
      </c>
      <c r="B40" s="54"/>
      <c r="C40" s="54"/>
      <c r="D40" s="54"/>
      <c r="E40" s="54"/>
      <c r="F40" s="54"/>
    </row>
    <row r="41" spans="1:6" x14ac:dyDescent="0.3">
      <c r="A41" t="s">
        <v>619</v>
      </c>
      <c r="B41" s="235">
        <v>-1</v>
      </c>
      <c r="C41" s="235">
        <v>21</v>
      </c>
      <c r="D41" s="235">
        <v>-657</v>
      </c>
      <c r="E41" s="235">
        <v>-70</v>
      </c>
      <c r="F41" s="235">
        <v>-662</v>
      </c>
    </row>
    <row r="42" spans="1:6" x14ac:dyDescent="0.3">
      <c r="A42" t="s">
        <v>620</v>
      </c>
      <c r="B42" s="235">
        <v>469</v>
      </c>
      <c r="C42" s="235">
        <v>2006</v>
      </c>
      <c r="D42" s="235">
        <v>4423</v>
      </c>
      <c r="E42" s="235">
        <v>1033</v>
      </c>
      <c r="F42" s="235">
        <v>1188</v>
      </c>
    </row>
    <row r="43" spans="1:6" x14ac:dyDescent="0.3">
      <c r="A43" t="s">
        <v>621</v>
      </c>
      <c r="B43" s="235">
        <v>-3973</v>
      </c>
      <c r="C43" s="235">
        <v>-1561</v>
      </c>
      <c r="D43" s="235">
        <v>-6355</v>
      </c>
      <c r="E43" s="235">
        <v>-936</v>
      </c>
      <c r="F43" s="235">
        <v>-2469</v>
      </c>
    </row>
    <row r="44" spans="1:6" x14ac:dyDescent="0.3">
      <c r="A44" s="1" t="s">
        <v>622</v>
      </c>
      <c r="B44" s="239">
        <f>B41+B42+B43</f>
        <v>-3505</v>
      </c>
      <c r="C44" s="239">
        <f>C41+C42+C43</f>
        <v>466</v>
      </c>
      <c r="D44" s="239">
        <f>D41+D42+D43</f>
        <v>-2589</v>
      </c>
      <c r="E44" s="239">
        <f>E41+E42+E43</f>
        <v>27</v>
      </c>
      <c r="F44" s="239">
        <f>F41+F42+F43</f>
        <v>-1943</v>
      </c>
    </row>
    <row r="45" spans="1:6" x14ac:dyDescent="0.3">
      <c r="B45" s="54"/>
      <c r="C45" s="54"/>
      <c r="D45" s="54"/>
      <c r="E45" s="54"/>
      <c r="F45" s="54"/>
    </row>
    <row r="46" spans="1:6" x14ac:dyDescent="0.3">
      <c r="A46" s="231" t="s">
        <v>623</v>
      </c>
      <c r="B46" s="54"/>
      <c r="C46" s="54"/>
      <c r="D46" s="54"/>
      <c r="E46" s="54"/>
      <c r="F46" s="54"/>
    </row>
    <row r="47" spans="1:6" x14ac:dyDescent="0.3">
      <c r="A47" t="s">
        <v>619</v>
      </c>
      <c r="B47" s="235">
        <v>997</v>
      </c>
      <c r="C47" s="235">
        <v>1154</v>
      </c>
      <c r="D47" s="235">
        <v>653</v>
      </c>
      <c r="E47" s="235">
        <v>224</v>
      </c>
      <c r="F47" s="235">
        <v>-351</v>
      </c>
    </row>
    <row r="48" spans="1:6" x14ac:dyDescent="0.3">
      <c r="A48" t="s">
        <v>620</v>
      </c>
      <c r="B48" s="235">
        <v>1602</v>
      </c>
      <c r="C48" s="235">
        <v>3849</v>
      </c>
      <c r="D48" s="235">
        <v>7168</v>
      </c>
      <c r="E48" s="235">
        <v>1618</v>
      </c>
      <c r="F48" s="235">
        <v>2087</v>
      </c>
    </row>
    <row r="49" spans="1:6" x14ac:dyDescent="0.3">
      <c r="A49" t="s">
        <v>621</v>
      </c>
      <c r="B49" s="235">
        <v>1222</v>
      </c>
      <c r="C49" s="235">
        <v>347</v>
      </c>
      <c r="D49" s="235">
        <v>-1237</v>
      </c>
      <c r="E49" s="235">
        <v>-112</v>
      </c>
      <c r="F49" s="235">
        <v>-609</v>
      </c>
    </row>
    <row r="50" spans="1:6" x14ac:dyDescent="0.3">
      <c r="A50" s="1" t="s">
        <v>624</v>
      </c>
      <c r="B50" s="239">
        <f>B47+B48+B49</f>
        <v>3821</v>
      </c>
      <c r="C50" s="239">
        <f>C47+C48+C49</f>
        <v>5350</v>
      </c>
      <c r="D50" s="239">
        <f>D47+D48+D49</f>
        <v>6584</v>
      </c>
      <c r="E50" s="239">
        <f>E47+E48+E49</f>
        <v>1730</v>
      </c>
      <c r="F50" s="239">
        <f>F47+F48+F49</f>
        <v>1127</v>
      </c>
    </row>
    <row r="51" spans="1:6" x14ac:dyDescent="0.3">
      <c r="A51" s="2" t="s">
        <v>91</v>
      </c>
      <c r="B51" s="238">
        <f>B50/B7</f>
        <v>0.36786367574853179</v>
      </c>
      <c r="C51" s="238">
        <f>C50/C7</f>
        <v>0.3817338565822333</v>
      </c>
      <c r="D51" s="238">
        <f>D50/D7</f>
        <v>0.35257577380314875</v>
      </c>
      <c r="E51" s="238">
        <f>E50/E7</f>
        <v>0.42537496926481438</v>
      </c>
      <c r="F51" s="238">
        <f>F50/F7</f>
        <v>0.24009373668512995</v>
      </c>
    </row>
    <row r="52" spans="1:6" x14ac:dyDescent="0.3">
      <c r="B52" s="54"/>
      <c r="C52" s="54"/>
      <c r="D52" s="54"/>
      <c r="E52" s="54"/>
      <c r="F52" s="54"/>
    </row>
    <row r="53" spans="1:6" x14ac:dyDescent="0.3">
      <c r="A53" s="231" t="s">
        <v>625</v>
      </c>
      <c r="B53" s="54"/>
      <c r="C53" s="54"/>
      <c r="D53" s="54"/>
      <c r="E53" s="54"/>
      <c r="F53" s="54"/>
    </row>
    <row r="54" spans="1:6" x14ac:dyDescent="0.3">
      <c r="A54" t="s">
        <v>619</v>
      </c>
      <c r="B54" s="54"/>
      <c r="C54" s="137">
        <v>637</v>
      </c>
      <c r="D54" s="137">
        <v>757</v>
      </c>
      <c r="E54" s="54"/>
      <c r="F54" s="137">
        <v>166</v>
      </c>
    </row>
    <row r="55" spans="1:6" x14ac:dyDescent="0.3">
      <c r="A55" t="s">
        <v>620</v>
      </c>
      <c r="B55" s="54"/>
      <c r="C55" s="137">
        <v>1508</v>
      </c>
      <c r="D55" s="137">
        <v>2376</v>
      </c>
      <c r="E55" s="54"/>
      <c r="F55" s="137">
        <v>783</v>
      </c>
    </row>
    <row r="56" spans="1:6" x14ac:dyDescent="0.3">
      <c r="A56" t="s">
        <v>621</v>
      </c>
      <c r="B56" s="54"/>
      <c r="C56" s="137">
        <v>1679</v>
      </c>
      <c r="D56" s="137">
        <v>3568</v>
      </c>
      <c r="E56" s="54"/>
      <c r="F56" s="137">
        <v>1493</v>
      </c>
    </row>
    <row r="57" spans="1:6" x14ac:dyDescent="0.3">
      <c r="A57" s="1" t="s">
        <v>626</v>
      </c>
      <c r="B57" s="137">
        <v>2635</v>
      </c>
      <c r="C57" s="240">
        <f>C54+C55+C56</f>
        <v>3824</v>
      </c>
      <c r="D57" s="240">
        <f>D54+D55+D56</f>
        <v>6701</v>
      </c>
      <c r="E57" s="54"/>
      <c r="F57" s="240">
        <f>F54+F55+F56</f>
        <v>2442</v>
      </c>
    </row>
    <row r="58" spans="1:6" x14ac:dyDescent="0.3">
      <c r="B58" s="54"/>
      <c r="C58" s="54"/>
      <c r="D58" s="54"/>
      <c r="E58" s="54"/>
      <c r="F58" s="54"/>
    </row>
    <row r="59" spans="1:6" x14ac:dyDescent="0.3">
      <c r="A59" s="231" t="s">
        <v>627</v>
      </c>
      <c r="B59" s="54"/>
      <c r="C59" s="54"/>
      <c r="D59" s="54"/>
      <c r="E59" s="54"/>
      <c r="F59" s="54"/>
    </row>
    <row r="60" spans="1:6" x14ac:dyDescent="0.3">
      <c r="A60" t="s">
        <v>619</v>
      </c>
      <c r="B60" s="137">
        <v>1497</v>
      </c>
      <c r="C60" s="137">
        <v>2032</v>
      </c>
      <c r="D60" s="137">
        <v>3832</v>
      </c>
      <c r="E60" s="137">
        <v>759</v>
      </c>
      <c r="F60" s="137">
        <v>1052</v>
      </c>
    </row>
    <row r="61" spans="1:6" x14ac:dyDescent="0.3">
      <c r="A61" t="s">
        <v>620</v>
      </c>
      <c r="B61" s="137">
        <v>2455</v>
      </c>
      <c r="C61" s="137">
        <v>3498</v>
      </c>
      <c r="D61" s="137">
        <v>4178</v>
      </c>
      <c r="E61" s="137">
        <v>814</v>
      </c>
      <c r="F61" s="137">
        <v>1332</v>
      </c>
    </row>
    <row r="62" spans="1:6" x14ac:dyDescent="0.3">
      <c r="A62" t="s">
        <v>621</v>
      </c>
      <c r="B62" s="137">
        <v>463</v>
      </c>
      <c r="C62" s="137">
        <v>5633</v>
      </c>
      <c r="D62" s="137">
        <v>12727</v>
      </c>
      <c r="E62" s="137">
        <v>2567</v>
      </c>
      <c r="F62" s="137">
        <v>7723</v>
      </c>
    </row>
    <row r="63" spans="1:6" x14ac:dyDescent="0.3">
      <c r="A63" s="1" t="s">
        <v>628</v>
      </c>
      <c r="B63" s="240">
        <f>B60+B61+B62</f>
        <v>4415</v>
      </c>
      <c r="C63" s="240">
        <f>C60+C61+C62</f>
        <v>11163</v>
      </c>
      <c r="D63" s="240">
        <f>D60+D61+D62</f>
        <v>20737</v>
      </c>
      <c r="E63" s="240">
        <f>E60+E61+E62</f>
        <v>4140</v>
      </c>
      <c r="F63" s="240">
        <f>F60+F61+F62</f>
        <v>10107</v>
      </c>
    </row>
    <row r="64" spans="1:6" x14ac:dyDescent="0.3">
      <c r="A64" s="2" t="s">
        <v>629</v>
      </c>
      <c r="B64" s="238">
        <f>B63/B7</f>
        <v>0.42505054394916725</v>
      </c>
      <c r="C64" s="238">
        <f>C63/C7</f>
        <v>0.79650374598644313</v>
      </c>
      <c r="D64" s="238">
        <f>D63/D7</f>
        <v>1.1104744564635323</v>
      </c>
      <c r="E64" s="238">
        <f>E63/E7</f>
        <v>1.0179493484140645</v>
      </c>
      <c r="F64" s="238">
        <f>F63/F7</f>
        <v>2.1531742650191732</v>
      </c>
    </row>
    <row r="65" spans="1:6" x14ac:dyDescent="0.3">
      <c r="B65" s="54"/>
      <c r="C65" s="54"/>
      <c r="D65" s="54"/>
      <c r="E65" s="54"/>
      <c r="F65" s="54"/>
    </row>
    <row r="66" spans="1:6" x14ac:dyDescent="0.3">
      <c r="A66" s="4" t="s">
        <v>630</v>
      </c>
      <c r="B66" s="234"/>
      <c r="C66" s="234"/>
      <c r="D66" s="234"/>
      <c r="E66" s="234"/>
      <c r="F66" s="234"/>
    </row>
    <row r="67" spans="1:6" x14ac:dyDescent="0.3">
      <c r="A67" t="s">
        <v>631</v>
      </c>
      <c r="B67" s="54"/>
      <c r="C67" s="137">
        <v>11385</v>
      </c>
      <c r="D67" s="137">
        <v>24747</v>
      </c>
      <c r="E67" s="54"/>
      <c r="F67" s="137">
        <v>15852</v>
      </c>
    </row>
    <row r="68" spans="1:6" x14ac:dyDescent="0.3">
      <c r="A68" t="s">
        <v>632</v>
      </c>
      <c r="B68" s="54"/>
      <c r="C68" s="137">
        <v>16108</v>
      </c>
      <c r="D68" s="137">
        <v>30952</v>
      </c>
      <c r="E68" s="54"/>
      <c r="F68" s="137">
        <v>29732</v>
      </c>
    </row>
    <row r="69" spans="1:6" x14ac:dyDescent="0.3">
      <c r="A69" t="s">
        <v>633</v>
      </c>
      <c r="B69" s="54"/>
      <c r="C69" s="137">
        <v>21147</v>
      </c>
      <c r="D69" s="137">
        <v>42602</v>
      </c>
      <c r="E69" s="54"/>
      <c r="F69" s="137">
        <v>53879</v>
      </c>
    </row>
    <row r="70" spans="1:6" x14ac:dyDescent="0.3">
      <c r="A70" t="s">
        <v>634</v>
      </c>
      <c r="B70" s="54"/>
      <c r="C70" s="137">
        <v>11129</v>
      </c>
      <c r="D70" s="137">
        <v>11809</v>
      </c>
      <c r="E70" s="54"/>
      <c r="F70" s="54"/>
    </row>
    <row r="71" spans="1:6" x14ac:dyDescent="0.3">
      <c r="A71" s="1" t="s">
        <v>635</v>
      </c>
      <c r="B71" s="54"/>
      <c r="C71" s="241">
        <v>57062</v>
      </c>
      <c r="D71" s="241">
        <v>92079</v>
      </c>
      <c r="E71" s="54"/>
      <c r="F71" s="241">
        <v>102094</v>
      </c>
    </row>
    <row r="72" spans="1:6" x14ac:dyDescent="0.3">
      <c r="B72" s="54"/>
      <c r="C72" s="54"/>
      <c r="D72" s="54"/>
      <c r="E72" s="54"/>
      <c r="F72" s="54"/>
    </row>
    <row r="73" spans="1:6" x14ac:dyDescent="0.3">
      <c r="A73" t="s">
        <v>636</v>
      </c>
      <c r="B73" s="54"/>
      <c r="C73" s="137">
        <v>372</v>
      </c>
      <c r="D73" s="137">
        <v>928</v>
      </c>
      <c r="E73" s="54"/>
      <c r="F73" s="137">
        <v>1538</v>
      </c>
    </row>
    <row r="74" spans="1:6" x14ac:dyDescent="0.3">
      <c r="A74" t="s">
        <v>637</v>
      </c>
      <c r="B74" s="54"/>
      <c r="C74" s="137">
        <v>11791</v>
      </c>
      <c r="D74" s="137">
        <v>21400</v>
      </c>
      <c r="E74" s="54"/>
      <c r="F74" s="137">
        <v>24436</v>
      </c>
    </row>
    <row r="75" spans="1:6" x14ac:dyDescent="0.3">
      <c r="A75" t="s">
        <v>638</v>
      </c>
      <c r="B75" s="54"/>
      <c r="C75" s="137">
        <v>13421</v>
      </c>
      <c r="D75" s="137">
        <v>21968</v>
      </c>
      <c r="E75" s="54"/>
      <c r="F75" s="54"/>
    </row>
    <row r="76" spans="1:6" x14ac:dyDescent="0.3">
      <c r="A76" s="1" t="s">
        <v>639</v>
      </c>
      <c r="B76" s="54"/>
      <c r="C76" s="241">
        <v>31258</v>
      </c>
      <c r="D76" s="241">
        <v>50754</v>
      </c>
      <c r="E76" s="54"/>
      <c r="F76" s="241">
        <v>60512</v>
      </c>
    </row>
    <row r="77" spans="1:6" x14ac:dyDescent="0.3">
      <c r="A77" t="s">
        <v>640</v>
      </c>
      <c r="B77" s="54"/>
      <c r="C77" s="137">
        <v>20941</v>
      </c>
      <c r="D77" s="137">
        <v>38752</v>
      </c>
      <c r="E77" s="54"/>
      <c r="F77" s="137">
        <v>7049</v>
      </c>
    </row>
    <row r="78" spans="1:6" x14ac:dyDescent="0.3">
      <c r="A78" s="1" t="s">
        <v>641</v>
      </c>
      <c r="B78" s="54"/>
      <c r="C78" s="241">
        <v>4863</v>
      </c>
      <c r="D78" s="241">
        <v>2573</v>
      </c>
      <c r="E78" s="54"/>
      <c r="F78" s="241">
        <v>34533</v>
      </c>
    </row>
    <row r="79" spans="1:6" x14ac:dyDescent="0.3">
      <c r="A79" s="1" t="s">
        <v>642</v>
      </c>
      <c r="B79" s="54"/>
      <c r="C79" s="240">
        <f>C73+C75</f>
        <v>13793</v>
      </c>
      <c r="D79" s="240">
        <f>D73+D75</f>
        <v>22896</v>
      </c>
      <c r="E79" s="54"/>
      <c r="F79" s="54"/>
    </row>
    <row r="80" spans="1:6" x14ac:dyDescent="0.3">
      <c r="A80" s="1" t="s">
        <v>643</v>
      </c>
      <c r="B80" s="54"/>
      <c r="C80" s="239">
        <f>C79-C67</f>
        <v>2408</v>
      </c>
      <c r="D80" s="239">
        <f>D79-D67</f>
        <v>-1851</v>
      </c>
      <c r="E80" s="54"/>
      <c r="F80" s="54"/>
    </row>
    <row r="81" spans="1:6" x14ac:dyDescent="0.3">
      <c r="B81" s="54"/>
      <c r="C81" s="54"/>
      <c r="D81" s="54"/>
      <c r="E81" s="54"/>
      <c r="F81" s="54"/>
    </row>
    <row r="82" spans="1:6" x14ac:dyDescent="0.3">
      <c r="A82" s="4" t="s">
        <v>644</v>
      </c>
      <c r="B82" s="234"/>
      <c r="C82" s="234"/>
      <c r="D82" s="234"/>
      <c r="E82" s="234"/>
      <c r="F82" s="234"/>
    </row>
    <row r="83" spans="1:6" x14ac:dyDescent="0.3">
      <c r="A83" s="1" t="s">
        <v>645</v>
      </c>
      <c r="B83" s="137">
        <v>4520</v>
      </c>
      <c r="C83" s="137">
        <v>5776</v>
      </c>
      <c r="D83" s="137">
        <v>6785</v>
      </c>
      <c r="E83" s="137">
        <v>727</v>
      </c>
      <c r="F83" s="137">
        <v>1047</v>
      </c>
    </row>
    <row r="84" spans="1:6" x14ac:dyDescent="0.3">
      <c r="A84" s="1" t="s">
        <v>646</v>
      </c>
      <c r="B84" s="235">
        <v>-4415</v>
      </c>
      <c r="C84" s="235">
        <v>-11163</v>
      </c>
      <c r="D84" s="235">
        <v>-20737</v>
      </c>
      <c r="E84" s="235">
        <v>-4140</v>
      </c>
      <c r="F84" s="235">
        <v>-10107</v>
      </c>
    </row>
    <row r="85" spans="1:6" x14ac:dyDescent="0.3">
      <c r="A85" s="1" t="s">
        <v>647</v>
      </c>
      <c r="B85" s="239">
        <f>B83+B84</f>
        <v>105</v>
      </c>
      <c r="C85" s="239">
        <f>C83+C84</f>
        <v>-5387</v>
      </c>
      <c r="D85" s="239">
        <f>D83+D84</f>
        <v>-13952</v>
      </c>
      <c r="E85" s="239">
        <f>E83+E84</f>
        <v>-3413</v>
      </c>
      <c r="F85" s="239">
        <f>F83+F84</f>
        <v>-9060</v>
      </c>
    </row>
    <row r="86" spans="1:6" x14ac:dyDescent="0.3">
      <c r="A86" s="1" t="s">
        <v>648</v>
      </c>
      <c r="B86" s="235">
        <v>-4867</v>
      </c>
      <c r="C86" s="235">
        <v>-10796</v>
      </c>
      <c r="D86" s="235">
        <v>-19575</v>
      </c>
      <c r="E86" s="235">
        <v>-4170</v>
      </c>
      <c r="F86" s="235">
        <v>-16724</v>
      </c>
    </row>
    <row r="87" spans="1:6" x14ac:dyDescent="0.3">
      <c r="A87" s="1" t="s">
        <v>649</v>
      </c>
      <c r="B87" s="235">
        <v>422</v>
      </c>
      <c r="C87" s="235">
        <v>11830</v>
      </c>
      <c r="D87" s="235">
        <v>26350</v>
      </c>
      <c r="E87" s="235">
        <v>354</v>
      </c>
      <c r="F87" s="235">
        <v>7125</v>
      </c>
    </row>
    <row r="88" spans="1:6" x14ac:dyDescent="0.3">
      <c r="B88" s="54"/>
      <c r="C88" s="54"/>
      <c r="D88" s="54"/>
      <c r="E88" s="54"/>
      <c r="F88" s="54"/>
    </row>
    <row r="89" spans="1:6" x14ac:dyDescent="0.3">
      <c r="A89" s="4" t="s">
        <v>650</v>
      </c>
      <c r="B89" s="234"/>
      <c r="C89" s="234"/>
      <c r="D89" s="234"/>
      <c r="E89" s="234"/>
      <c r="F89" s="234"/>
    </row>
    <row r="90" spans="1:6" x14ac:dyDescent="0.3">
      <c r="A90" s="1" t="s">
        <v>651</v>
      </c>
      <c r="B90" s="99">
        <v>2.2999999999999998</v>
      </c>
      <c r="C90" s="99">
        <v>4.4000000000000004</v>
      </c>
      <c r="D90" s="99">
        <v>8.9</v>
      </c>
      <c r="E90" s="99">
        <v>5</v>
      </c>
      <c r="F90" s="99">
        <v>10.3</v>
      </c>
    </row>
    <row r="91" spans="1:6" x14ac:dyDescent="0.3">
      <c r="A91" s="1" t="s">
        <v>652</v>
      </c>
      <c r="B91" s="119">
        <v>99</v>
      </c>
      <c r="C91" s="119">
        <v>91</v>
      </c>
      <c r="D91" s="119">
        <v>81</v>
      </c>
      <c r="E91" s="119">
        <v>86</v>
      </c>
      <c r="F91" s="119">
        <v>66</v>
      </c>
    </row>
    <row r="92" spans="1:6" x14ac:dyDescent="0.3">
      <c r="A92" s="1" t="s">
        <v>653</v>
      </c>
      <c r="B92" s="137">
        <v>98</v>
      </c>
      <c r="C92" s="137">
        <v>138</v>
      </c>
      <c r="D92" s="137">
        <v>170</v>
      </c>
      <c r="E92" s="137">
        <v>38</v>
      </c>
      <c r="F92" s="137">
        <v>40</v>
      </c>
    </row>
    <row r="93" spans="1:6" x14ac:dyDescent="0.3">
      <c r="A93" s="1" t="s">
        <v>654</v>
      </c>
      <c r="B93" s="137">
        <v>1210</v>
      </c>
      <c r="C93" s="137">
        <v>1699</v>
      </c>
      <c r="D93" s="137">
        <v>2213</v>
      </c>
      <c r="E93" s="137">
        <v>450</v>
      </c>
      <c r="F93" s="137">
        <v>556</v>
      </c>
    </row>
    <row r="94" spans="1:6" x14ac:dyDescent="0.3">
      <c r="A94" s="1" t="s">
        <v>655</v>
      </c>
      <c r="B94" s="99">
        <v>0</v>
      </c>
      <c r="C94" s="99">
        <v>0.3</v>
      </c>
      <c r="D94" s="99">
        <v>0.8</v>
      </c>
      <c r="E94" s="99">
        <v>0.3</v>
      </c>
      <c r="F94" s="99">
        <v>1</v>
      </c>
    </row>
    <row r="95" spans="1:6" x14ac:dyDescent="0.3">
      <c r="B95" s="54"/>
      <c r="C95" s="54"/>
      <c r="D95" s="54"/>
      <c r="E95" s="54"/>
      <c r="F95" s="54"/>
    </row>
    <row r="96" spans="1:6" x14ac:dyDescent="0.3">
      <c r="A96" s="4" t="s">
        <v>656</v>
      </c>
      <c r="B96" s="234"/>
      <c r="C96" s="234"/>
      <c r="D96" s="234"/>
      <c r="E96" s="234"/>
      <c r="F96" s="234"/>
    </row>
    <row r="97" spans="1:6" x14ac:dyDescent="0.3">
      <c r="A97" s="1" t="s">
        <v>657</v>
      </c>
      <c r="B97" s="54"/>
      <c r="C97" s="64">
        <f>C7/B7-1</f>
        <v>0.34928275729276992</v>
      </c>
      <c r="D97" s="64">
        <f>D7/C7-1</f>
        <v>0.3324295397788084</v>
      </c>
      <c r="E97" s="54"/>
      <c r="F97" s="64">
        <f>F7/E7-1</f>
        <v>0.15416769117285467</v>
      </c>
    </row>
    <row r="98" spans="1:6" x14ac:dyDescent="0.3">
      <c r="A98" s="1" t="s">
        <v>658</v>
      </c>
      <c r="B98" s="54"/>
      <c r="C98" s="64">
        <f>C28/B28-1</f>
        <v>6.7191453472027041E-2</v>
      </c>
      <c r="D98" s="64">
        <f>D28/C28-1</f>
        <v>7.6396206533192901E-2</v>
      </c>
      <c r="E98" s="54"/>
      <c r="F98" s="64">
        <f>F28/E28-1</f>
        <v>-0.284393063583815</v>
      </c>
    </row>
    <row r="99" spans="1:6" x14ac:dyDescent="0.3">
      <c r="A99" s="1" t="s">
        <v>659</v>
      </c>
      <c r="B99" s="54"/>
      <c r="C99" s="64">
        <f>C31/B31-1</f>
        <v>0.96407340398035668</v>
      </c>
      <c r="D99" s="64">
        <f>D31/C31-1</f>
        <v>0.49848664297933931</v>
      </c>
      <c r="E99" s="54"/>
      <c r="F99" s="64">
        <f>F31/E31-1</f>
        <v>0.315959595959596</v>
      </c>
    </row>
    <row r="100" spans="1:6" x14ac:dyDescent="0.3">
      <c r="A100" s="1" t="s">
        <v>660</v>
      </c>
      <c r="B100" s="54"/>
      <c r="C100" s="64">
        <f>C34/B34-1</f>
        <v>-0.11516379601485982</v>
      </c>
      <c r="D100" s="64">
        <f>D34/C34-1</f>
        <v>0.22175572519083975</v>
      </c>
      <c r="E100" s="54"/>
      <c r="F100" s="64">
        <f>F34/E34-1</f>
        <v>0.12517193947730409</v>
      </c>
    </row>
    <row r="101" spans="1:6" x14ac:dyDescent="0.3">
      <c r="A101" s="1" t="s">
        <v>661</v>
      </c>
      <c r="B101" s="54"/>
      <c r="C101" s="64">
        <f>C90/B90-1</f>
        <v>0.91304347826086985</v>
      </c>
      <c r="D101" s="64">
        <f>D90/C90-1</f>
        <v>1.0227272727272725</v>
      </c>
      <c r="E101" s="54"/>
      <c r="F101" s="64">
        <f>F90/E90-1</f>
        <v>1.06</v>
      </c>
    </row>
    <row r="102" spans="1:6" x14ac:dyDescent="0.3">
      <c r="A102" s="1" t="s">
        <v>662</v>
      </c>
      <c r="B102" s="54"/>
      <c r="C102" s="64">
        <f>C63/B63-1</f>
        <v>1.5284258210645527</v>
      </c>
      <c r="D102" s="64">
        <f>D63/C63-1</f>
        <v>0.8576547523067275</v>
      </c>
      <c r="E102" s="54"/>
      <c r="F102" s="64">
        <f>F63/E63-1</f>
        <v>1.4413043478260867</v>
      </c>
    </row>
    <row r="103" spans="1:6" x14ac:dyDescent="0.3">
      <c r="A103" s="1" t="s">
        <v>663</v>
      </c>
      <c r="B103" s="54"/>
      <c r="C103" s="64">
        <f>C83/B83-1</f>
        <v>0.27787610619469016</v>
      </c>
      <c r="D103" s="64">
        <f>D83/C83-1</f>
        <v>0.17468836565096946</v>
      </c>
      <c r="E103" s="54"/>
      <c r="F103" s="64">
        <f>F83/E83-1</f>
        <v>0.44016506189821181</v>
      </c>
    </row>
    <row r="104" spans="1:6" x14ac:dyDescent="0.3">
      <c r="B104" s="54"/>
      <c r="C104" s="54"/>
      <c r="D104" s="54"/>
      <c r="E104" s="54"/>
      <c r="F104" s="54"/>
    </row>
    <row r="105" spans="1:6" x14ac:dyDescent="0.3">
      <c r="A105" s="1" t="s">
        <v>664</v>
      </c>
      <c r="B105" s="54"/>
      <c r="C105" s="54"/>
      <c r="D105" s="137">
        <v>28377</v>
      </c>
      <c r="E105" s="54"/>
      <c r="F105" s="54"/>
    </row>
    <row r="106" spans="1:6" x14ac:dyDescent="0.3">
      <c r="A106" s="1" t="s">
        <v>665</v>
      </c>
      <c r="B106" s="54"/>
      <c r="C106" s="54"/>
      <c r="D106" s="137">
        <v>12116</v>
      </c>
      <c r="E106" s="54"/>
      <c r="F106" s="54"/>
    </row>
    <row r="107" spans="1:6" x14ac:dyDescent="0.3">
      <c r="A107" s="1" t="s">
        <v>666</v>
      </c>
      <c r="B107" s="137">
        <v>2759</v>
      </c>
      <c r="C107" s="137">
        <v>2848</v>
      </c>
      <c r="D107" s="137">
        <v>2926</v>
      </c>
      <c r="E107" s="54"/>
      <c r="F107" s="54"/>
    </row>
    <row r="108" spans="1:6" x14ac:dyDescent="0.3">
      <c r="B108" s="54"/>
      <c r="C108" s="54"/>
      <c r="D108" s="54"/>
      <c r="E108" s="54"/>
      <c r="F108" s="54"/>
    </row>
    <row r="109" spans="1:6" x14ac:dyDescent="0.3">
      <c r="B109" s="54"/>
      <c r="C109" s="54"/>
      <c r="D109" s="54"/>
      <c r="E109" s="54"/>
      <c r="F109" s="54"/>
    </row>
    <row r="110" spans="1:6" x14ac:dyDescent="0.3">
      <c r="B110" s="54"/>
      <c r="C110" s="54"/>
      <c r="D110" s="54"/>
      <c r="E110" s="54"/>
      <c r="F110" s="54"/>
    </row>
    <row r="111" spans="1:6" x14ac:dyDescent="0.3">
      <c r="B111" s="54"/>
      <c r="C111" s="54"/>
      <c r="D111" s="54"/>
      <c r="E111" s="54"/>
      <c r="F111" s="54"/>
    </row>
    <row r="112" spans="1:6" x14ac:dyDescent="0.3">
      <c r="B112" s="54"/>
      <c r="C112" s="54"/>
      <c r="D112" s="54"/>
      <c r="E112" s="54"/>
      <c r="F112" s="54"/>
    </row>
    <row r="113" spans="2:6" x14ac:dyDescent="0.3">
      <c r="B113" s="54"/>
      <c r="C113" s="54"/>
      <c r="D113" s="54"/>
      <c r="E113" s="54"/>
      <c r="F113" s="54"/>
    </row>
    <row r="114" spans="2:6" x14ac:dyDescent="0.3">
      <c r="B114" s="54"/>
      <c r="C114" s="54"/>
      <c r="D114" s="54"/>
      <c r="E114" s="54"/>
      <c r="F114" s="54"/>
    </row>
    <row r="115" spans="2:6" x14ac:dyDescent="0.3">
      <c r="B115" s="54"/>
      <c r="C115" s="54"/>
      <c r="D115" s="54"/>
      <c r="E115" s="54"/>
      <c r="F115" s="54"/>
    </row>
    <row r="116" spans="2:6" x14ac:dyDescent="0.3">
      <c r="B116" s="54"/>
      <c r="C116" s="54"/>
      <c r="D116" s="54"/>
      <c r="E116" s="54"/>
      <c r="F116" s="54"/>
    </row>
    <row r="117" spans="2:6" x14ac:dyDescent="0.3">
      <c r="B117" s="54"/>
      <c r="C117" s="54"/>
      <c r="D117" s="54"/>
      <c r="E117" s="54"/>
      <c r="F117" s="54"/>
    </row>
    <row r="118" spans="2:6" x14ac:dyDescent="0.3">
      <c r="B118" s="54"/>
      <c r="C118" s="54"/>
      <c r="D118" s="54"/>
      <c r="E118" s="54"/>
      <c r="F118" s="54"/>
    </row>
    <row r="119" spans="2:6" x14ac:dyDescent="0.3">
      <c r="B119" s="54"/>
      <c r="C119" s="54"/>
      <c r="D119" s="54"/>
      <c r="E119" s="54"/>
      <c r="F119" s="54"/>
    </row>
    <row r="120" spans="2:6" x14ac:dyDescent="0.3">
      <c r="B120" s="54"/>
      <c r="C120" s="54"/>
      <c r="D120" s="54"/>
      <c r="E120" s="54"/>
      <c r="F120" s="54"/>
    </row>
    <row r="121" spans="2:6" x14ac:dyDescent="0.3">
      <c r="B121" s="54"/>
      <c r="C121" s="54"/>
      <c r="D121" s="54"/>
      <c r="E121" s="54"/>
      <c r="F121" s="54"/>
    </row>
    <row r="122" spans="2:6" x14ac:dyDescent="0.3">
      <c r="B122" s="54"/>
      <c r="C122" s="54"/>
      <c r="D122" s="54"/>
      <c r="E122" s="54"/>
      <c r="F122" s="54"/>
    </row>
    <row r="123" spans="2:6" x14ac:dyDescent="0.3">
      <c r="B123" s="54"/>
      <c r="C123" s="54"/>
      <c r="D123" s="54"/>
      <c r="E123" s="54"/>
      <c r="F123" s="54"/>
    </row>
    <row r="124" spans="2:6" x14ac:dyDescent="0.3">
      <c r="B124" s="54"/>
      <c r="C124" s="54"/>
      <c r="D124" s="54"/>
      <c r="E124" s="54"/>
      <c r="F124" s="54"/>
    </row>
    <row r="125" spans="2:6" x14ac:dyDescent="0.3">
      <c r="B125" s="54"/>
      <c r="C125" s="54"/>
      <c r="D125" s="54"/>
      <c r="E125" s="54"/>
      <c r="F125" s="54"/>
    </row>
    <row r="126" spans="2:6" x14ac:dyDescent="0.3">
      <c r="B126" s="54"/>
      <c r="C126" s="54"/>
      <c r="D126" s="54"/>
      <c r="E126" s="54"/>
      <c r="F126" s="54"/>
    </row>
    <row r="127" spans="2:6" x14ac:dyDescent="0.3">
      <c r="B127" s="54"/>
      <c r="C127" s="54"/>
      <c r="D127" s="54"/>
      <c r="E127" s="54"/>
      <c r="F127" s="54"/>
    </row>
    <row r="128" spans="2:6" x14ac:dyDescent="0.3">
      <c r="B128" s="54"/>
      <c r="C128" s="54"/>
      <c r="D128" s="54"/>
      <c r="E128" s="54"/>
      <c r="F128" s="54"/>
    </row>
    <row r="129" spans="2:6" x14ac:dyDescent="0.3">
      <c r="B129" s="54"/>
      <c r="C129" s="54"/>
      <c r="D129" s="54"/>
      <c r="E129" s="54"/>
      <c r="F129" s="54"/>
    </row>
    <row r="130" spans="2:6" x14ac:dyDescent="0.3">
      <c r="B130" s="54"/>
      <c r="C130" s="54"/>
      <c r="D130" s="54"/>
      <c r="E130" s="54"/>
      <c r="F130" s="54"/>
    </row>
    <row r="131" spans="2:6" x14ac:dyDescent="0.3">
      <c r="B131" s="54"/>
      <c r="C131" s="54"/>
      <c r="D131" s="54"/>
      <c r="E131" s="54"/>
      <c r="F131" s="54"/>
    </row>
    <row r="132" spans="2:6" x14ac:dyDescent="0.3">
      <c r="B132" s="54"/>
      <c r="C132" s="54"/>
      <c r="D132" s="54"/>
      <c r="E132" s="54"/>
      <c r="F132" s="54"/>
    </row>
    <row r="133" spans="2:6" x14ac:dyDescent="0.3">
      <c r="B133" s="54"/>
      <c r="C133" s="54"/>
      <c r="D133" s="54"/>
      <c r="E133" s="54"/>
      <c r="F133" s="54"/>
    </row>
    <row r="134" spans="2:6" x14ac:dyDescent="0.3">
      <c r="B134" s="54"/>
      <c r="C134" s="54"/>
      <c r="D134" s="54"/>
      <c r="E134" s="54"/>
      <c r="F134" s="54"/>
    </row>
    <row r="135" spans="2:6" x14ac:dyDescent="0.3">
      <c r="B135" s="54"/>
      <c r="C135" s="54"/>
      <c r="D135" s="54"/>
      <c r="E135" s="54"/>
      <c r="F135" s="54"/>
    </row>
    <row r="136" spans="2:6" x14ac:dyDescent="0.3">
      <c r="B136" s="54"/>
      <c r="C136" s="54"/>
      <c r="D136" s="54"/>
      <c r="E136" s="54"/>
      <c r="F136" s="54"/>
    </row>
    <row r="137" spans="2:6" x14ac:dyDescent="0.3">
      <c r="B137" s="54"/>
      <c r="C137" s="54"/>
      <c r="D137" s="54"/>
      <c r="E137" s="54"/>
      <c r="F137" s="54"/>
    </row>
    <row r="138" spans="2:6" x14ac:dyDescent="0.3">
      <c r="B138" s="54"/>
      <c r="C138" s="54"/>
      <c r="D138" s="54"/>
      <c r="E138" s="54"/>
      <c r="F138" s="54"/>
    </row>
    <row r="139" spans="2:6" x14ac:dyDescent="0.3">
      <c r="B139" s="54"/>
      <c r="C139" s="54"/>
      <c r="D139" s="54"/>
      <c r="E139" s="54"/>
      <c r="F139" s="54"/>
    </row>
    <row r="140" spans="2:6" x14ac:dyDescent="0.3">
      <c r="B140" s="54"/>
      <c r="C140" s="54"/>
      <c r="D140" s="54"/>
      <c r="E140" s="54"/>
      <c r="F140" s="54"/>
    </row>
    <row r="141" spans="2:6" x14ac:dyDescent="0.3">
      <c r="B141" s="54"/>
      <c r="C141" s="54"/>
      <c r="D141" s="54"/>
      <c r="E141" s="54"/>
      <c r="F141" s="54"/>
    </row>
    <row r="142" spans="2:6" x14ac:dyDescent="0.3">
      <c r="B142" s="54"/>
      <c r="C142" s="54"/>
      <c r="D142" s="54"/>
      <c r="E142" s="54"/>
      <c r="F142" s="54"/>
    </row>
    <row r="143" spans="2:6" x14ac:dyDescent="0.3">
      <c r="B143" s="54"/>
      <c r="C143" s="54"/>
      <c r="D143" s="54"/>
      <c r="E143" s="54"/>
      <c r="F143" s="54"/>
    </row>
    <row r="144" spans="2:6" x14ac:dyDescent="0.3">
      <c r="B144" s="54"/>
      <c r="C144" s="54"/>
      <c r="D144" s="54"/>
      <c r="E144" s="54"/>
      <c r="F144" s="54"/>
    </row>
    <row r="145" spans="2:6" x14ac:dyDescent="0.3">
      <c r="B145" s="54"/>
      <c r="C145" s="54"/>
      <c r="D145" s="54"/>
      <c r="E145" s="54"/>
      <c r="F145" s="54"/>
    </row>
    <row r="146" spans="2:6" x14ac:dyDescent="0.3">
      <c r="B146" s="54"/>
      <c r="C146" s="54"/>
      <c r="D146" s="54"/>
      <c r="E146" s="54"/>
      <c r="F146" s="54"/>
    </row>
    <row r="147" spans="2:6" x14ac:dyDescent="0.3">
      <c r="B147" s="54"/>
      <c r="C147" s="54"/>
      <c r="D147" s="54"/>
      <c r="E147" s="54"/>
      <c r="F147" s="54"/>
    </row>
    <row r="148" spans="2:6" x14ac:dyDescent="0.3">
      <c r="B148" s="54"/>
      <c r="C148" s="54"/>
      <c r="D148" s="54"/>
      <c r="E148" s="54"/>
      <c r="F148" s="54"/>
    </row>
    <row r="149" spans="2:6" x14ac:dyDescent="0.3">
      <c r="B149" s="54"/>
      <c r="C149" s="54"/>
      <c r="D149" s="54"/>
      <c r="E149" s="54"/>
      <c r="F149" s="54"/>
    </row>
    <row r="150" spans="2:6" x14ac:dyDescent="0.3">
      <c r="B150" s="54"/>
      <c r="C150" s="54"/>
      <c r="D150" s="54"/>
      <c r="E150" s="54"/>
      <c r="F150" s="54"/>
    </row>
    <row r="151" spans="2:6" x14ac:dyDescent="0.3">
      <c r="B151" s="54"/>
      <c r="C151" s="54"/>
      <c r="D151" s="54"/>
      <c r="E151" s="54"/>
      <c r="F151" s="54"/>
    </row>
    <row r="152" spans="2:6" x14ac:dyDescent="0.3">
      <c r="B152" s="54"/>
      <c r="C152" s="54"/>
      <c r="D152" s="54"/>
      <c r="E152" s="54"/>
      <c r="F152" s="54"/>
    </row>
    <row r="153" spans="2:6" x14ac:dyDescent="0.3">
      <c r="B153" s="54"/>
      <c r="C153" s="54"/>
      <c r="D153" s="54"/>
      <c r="E153" s="54"/>
      <c r="F153" s="54"/>
    </row>
    <row r="154" spans="2:6" x14ac:dyDescent="0.3">
      <c r="B154" s="54"/>
      <c r="C154" s="54"/>
      <c r="D154" s="54"/>
      <c r="E154" s="54"/>
      <c r="F154" s="54"/>
    </row>
    <row r="155" spans="2:6" x14ac:dyDescent="0.3">
      <c r="B155" s="54"/>
      <c r="C155" s="54"/>
      <c r="D155" s="54"/>
      <c r="E155" s="54"/>
      <c r="F155" s="54"/>
    </row>
    <row r="156" spans="2:6" x14ac:dyDescent="0.3">
      <c r="B156" s="54"/>
      <c r="C156" s="54"/>
      <c r="D156" s="54"/>
      <c r="E156" s="54"/>
      <c r="F156" s="54"/>
    </row>
    <row r="157" spans="2:6" x14ac:dyDescent="0.3">
      <c r="B157" s="54"/>
      <c r="C157" s="54"/>
      <c r="D157" s="54"/>
      <c r="E157" s="54"/>
      <c r="F157" s="54"/>
    </row>
    <row r="158" spans="2:6" x14ac:dyDescent="0.3">
      <c r="B158" s="54"/>
      <c r="C158" s="54"/>
      <c r="D158" s="54"/>
      <c r="E158" s="54"/>
      <c r="F158" s="54"/>
    </row>
    <row r="159" spans="2:6" x14ac:dyDescent="0.3">
      <c r="B159" s="54"/>
      <c r="C159" s="54"/>
      <c r="D159" s="54"/>
      <c r="E159" s="54"/>
      <c r="F159" s="54"/>
    </row>
    <row r="160" spans="2:6" x14ac:dyDescent="0.3">
      <c r="B160" s="54"/>
      <c r="C160" s="54"/>
      <c r="D160" s="54"/>
      <c r="E160" s="54"/>
      <c r="F160" s="54"/>
    </row>
    <row r="161" spans="2:6" x14ac:dyDescent="0.3">
      <c r="B161" s="54"/>
      <c r="C161" s="54"/>
      <c r="D161" s="54"/>
      <c r="E161" s="54"/>
      <c r="F161" s="5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 Summary</vt:lpstr>
      <vt:lpstr>COVER</vt:lpstr>
      <vt:lpstr>SOTP</vt:lpstr>
      <vt:lpstr>Conn DCF</vt:lpstr>
      <vt:lpstr>Space DCF</vt:lpstr>
      <vt:lpstr>AI DCF</vt:lpstr>
      <vt:lpstr>WACC</vt:lpstr>
      <vt:lpstr>Ratios</vt:lpstr>
      <vt:lpstr>Graphs</vt:lpstr>
      <vt:lpstr>Conn Comps</vt:lpstr>
      <vt:lpstr>Space Comps</vt:lpstr>
      <vt:lpstr>AI Comps</vt:lpstr>
      <vt:lpstr>Actuals</vt:lpstr>
      <vt:lpstr>Historicals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SpaceX Valuation Jan 22 2026</dc:title>
  <dc:subject/>
  <dc:creator>Dr. Brian Scott Glassman</dc:creator>
  <cp:keywords/>
  <dc:description/>
  <cp:lastModifiedBy>Rifat Tahmid</cp:lastModifiedBy>
  <cp:revision>0</cp:revision>
  <cp:lastPrinted>2026-01-22T23:23:29Z</cp:lastPrinted>
  <dcterms:created xsi:type="dcterms:W3CDTF">2026-01-20T04:15:13Z</dcterms:created>
  <dcterms:modified xsi:type="dcterms:W3CDTF">2026-06-11T14:33:40Z</dcterms:modified>
  <cp:category/>
  <dc:language>en-US</dc:language>
</cp:coreProperties>
</file>