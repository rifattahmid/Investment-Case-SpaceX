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drawings/drawing3.xml" ContentType="application/vnd.openxmlformats-officedocument.drawing+xml"/>
  <Override PartName="/xl/comments2.xml" ContentType="application/vnd.openxmlformats-officedocument.spreadsheetml.comments+xml"/>
  <Override PartName="/xl/drawings/drawing4.xml" ContentType="application/vnd.openxmlformats-officedocument.drawing+xml"/>
  <Override PartName="/xl/comments3.xml" ContentType="application/vnd.openxmlformats-officedocument.spreadsheetml.comments+xml"/>
  <Override PartName="/xl/drawings/drawing5.xml" ContentType="application/vnd.openxmlformats-officedocument.drawing+xml"/>
  <Override PartName="/xl/comments4.xml" ContentType="application/vnd.openxmlformats-officedocument.spreadsheetml.comments+xml"/>
  <Override PartName="/xl/drawings/drawing6.xml" ContentType="application/vnd.openxmlformats-officedocument.drawing+xml"/>
  <Override PartName="/xl/comments5.xml" ContentType="application/vnd.openxmlformats-officedocument.spreadsheetml.comments+xml"/>
  <Override PartName="/xl/drawings/drawing7.xml" ContentType="application/vnd.openxmlformats-officedocument.drawing+xml"/>
  <Override PartName="/xl/comments6.xml" ContentType="application/vnd.openxmlformats-officedocument.spreadsheetml.comments+xml"/>
  <Override PartName="/xl/drawings/drawing8.xml" ContentType="application/vnd.openxmlformats-officedocument.drawing+xml"/>
  <Override PartName="/xl/comments7.xml" ContentType="application/vnd.openxmlformats-officedocument.spreadsheetml.comments+xml"/>
  <Override PartName="/xl/drawings/drawing9.xml" ContentType="application/vnd.openxmlformats-officedocument.drawing+xml"/>
  <Override PartName="/xl/comments8.xml" ContentType="application/vnd.openxmlformats-officedocument.spreadsheetml.comments+xml"/>
  <Override PartName="/xl/drawings/drawing10.xml" ContentType="application/vnd.openxmlformats-officedocument.drawing+xml"/>
  <Override PartName="/xl/comments9.xml" ContentType="application/vnd.openxmlformats-officedocument.spreadsheetml.comments+xml"/>
  <Override PartName="/xl/drawings/drawing11.xml" ContentType="application/vnd.openxmlformats-officedocument.drawing+xml"/>
  <Override PartName="/xl/comments10.xml" ContentType="application/vnd.openxmlformats-officedocument.spreadsheetml.comments+xml"/>
  <Override PartName="/xl/drawings/drawing1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13.xml" ContentType="application/vnd.openxmlformats-officedocument.drawing+xml"/>
  <Override PartName="/xl/comments11.xml" ContentType="application/vnd.openxmlformats-officedocument.spreadsheetml.comments+xml"/>
  <Override PartName="/xl/drawings/drawing14.xml" ContentType="application/vnd.openxmlformats-officedocument.drawing+xml"/>
  <Override PartName="/xl/comments12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7.xml" ContentType="application/vnd.ms-excel.person+xml"/>
  <Override PartName="/xl/persons/person5.xml" ContentType="application/vnd.ms-excel.person+xml"/>
  <Override PartName="/xl/persons/person0.xml" ContentType="application/vnd.ms-excel.person+xml"/>
  <Override PartName="/xl/persons/person3.xml" ContentType="application/vnd.ms-excel.person+xml"/>
  <Override PartName="/xl/persons/person6.xml" ContentType="application/vnd.ms-excel.person+xml"/>
  <Override PartName="/xl/persons/person1.xml" ContentType="application/vnd.ms-excel.person+xml"/>
  <Override PartName="/xl/persons/person2.xml" ContentType="application/vnd.ms-excel.person+xml"/>
  <Override PartName="/xl/persons/person4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X:\Personal Finances\4-Trades &amp; Investments\Valuation Library\SPCX - Space Exploration Technologies Corp\07_Model\"/>
    </mc:Choice>
  </mc:AlternateContent>
  <xr:revisionPtr revIDLastSave="0" documentId="8_{70A81E4F-AB83-468B-B850-EAAA308DF199}" xr6:coauthVersionLast="47" xr6:coauthVersionMax="47" xr10:uidLastSave="{00000000-0000-0000-0000-000000000000}"/>
  <bookViews>
    <workbookView xWindow="-41388" yWindow="-1188" windowWidth="41496" windowHeight="16776" tabRatio="877" xr2:uid="{80111FE1-D860-9C46-9D05-D269D00C2A2F}"/>
  </bookViews>
  <sheets>
    <sheet name="Exec Summary" sheetId="27" r:id="rId1"/>
    <sheet name="Dashboard" sheetId="16" r:id="rId2"/>
    <sheet name="SOTP" sheetId="11" r:id="rId3"/>
    <sheet name="Conn DCF" sheetId="12" r:id="rId4"/>
    <sheet name="Space DCF" sheetId="13" r:id="rId5"/>
    <sheet name="AI DCF" sheetId="14" r:id="rId6"/>
    <sheet name="WACC" sheetId="15" r:id="rId7"/>
    <sheet name="Conn Comps" sheetId="23" r:id="rId8"/>
    <sheet name="Space Comps" sheetId="24" r:id="rId9"/>
    <sheet name="AI Comps" sheetId="25" r:id="rId10"/>
    <sheet name="Ratios" sheetId="20" r:id="rId11"/>
    <sheet name="Graphs" sheetId="19" r:id="rId12"/>
    <sheet name="Actuals" sheetId="21" r:id="rId13"/>
    <sheet name="Historicals" sheetId="26" r:id="rId14"/>
  </sheets>
  <calcPr calcId="181029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N30" i="19" l="1"/>
  <c r="M30" i="19"/>
  <c r="L30" i="19"/>
  <c r="N29" i="19"/>
  <c r="M29" i="19"/>
  <c r="L29" i="19"/>
  <c r="N28" i="19"/>
  <c r="M28" i="19"/>
  <c r="L28" i="19"/>
  <c r="N27" i="19"/>
  <c r="M27" i="19"/>
  <c r="L27" i="19"/>
  <c r="N26" i="19"/>
  <c r="M26" i="19"/>
  <c r="L26" i="19"/>
  <c r="N11" i="19"/>
  <c r="M11" i="19"/>
  <c r="L11" i="19"/>
  <c r="N10" i="19"/>
  <c r="M10" i="19"/>
  <c r="L10" i="19"/>
  <c r="N9" i="19"/>
  <c r="M9" i="19"/>
  <c r="L9" i="19"/>
  <c r="N8" i="19"/>
  <c r="M8" i="19"/>
  <c r="L8" i="19"/>
  <c r="N7" i="19"/>
  <c r="M7" i="19"/>
  <c r="L7" i="19"/>
  <c r="G33" i="19"/>
  <c r="F33" i="19"/>
  <c r="E33" i="19"/>
  <c r="D33" i="19"/>
  <c r="C33" i="19"/>
  <c r="F32" i="19"/>
  <c r="E32" i="19"/>
  <c r="D32" i="19"/>
  <c r="C32" i="19"/>
  <c r="G31" i="19"/>
  <c r="F31" i="19"/>
  <c r="E31" i="19"/>
  <c r="D31" i="19"/>
  <c r="C31" i="19"/>
  <c r="G30" i="19"/>
  <c r="F30" i="19"/>
  <c r="E30" i="19"/>
  <c r="D30" i="19"/>
  <c r="C30" i="19"/>
  <c r="F29" i="19"/>
  <c r="E29" i="19"/>
  <c r="D29" i="19"/>
  <c r="C29" i="19"/>
  <c r="E57" i="11"/>
  <c r="E56" i="11"/>
  <c r="E55" i="11"/>
  <c r="E54" i="11"/>
  <c r="E53" i="11"/>
  <c r="E52" i="11"/>
  <c r="E51" i="11"/>
  <c r="E50" i="11"/>
  <c r="D57" i="11"/>
  <c r="C57" i="11"/>
  <c r="B57" i="11"/>
  <c r="B21" i="11"/>
  <c r="B20" i="11"/>
  <c r="B19" i="11"/>
  <c r="B18" i="11"/>
  <c r="D56" i="11"/>
  <c r="C56" i="11"/>
  <c r="B56" i="11"/>
  <c r="D55" i="11"/>
  <c r="C55" i="11"/>
  <c r="B55" i="11"/>
  <c r="D54" i="11"/>
  <c r="C54" i="11"/>
  <c r="B54" i="11"/>
  <c r="D53" i="11"/>
  <c r="C53" i="11"/>
  <c r="B53" i="11"/>
  <c r="D52" i="11"/>
  <c r="C52" i="11"/>
  <c r="B52" i="11"/>
  <c r="D51" i="11"/>
  <c r="C51" i="11"/>
  <c r="B51" i="11"/>
  <c r="D50" i="11"/>
  <c r="C50" i="11"/>
  <c r="B50" i="11"/>
  <c r="W18" i="25"/>
  <c r="U18" i="25"/>
  <c r="S18" i="25"/>
  <c r="Q18" i="25"/>
  <c r="P18" i="25"/>
  <c r="M18" i="25"/>
  <c r="I18" i="25"/>
  <c r="H18" i="25"/>
  <c r="G18" i="25"/>
  <c r="F18" i="25"/>
  <c r="E18" i="25"/>
  <c r="D18" i="25"/>
  <c r="C18" i="25"/>
  <c r="W17" i="25"/>
  <c r="U17" i="25"/>
  <c r="S17" i="25"/>
  <c r="Q17" i="25"/>
  <c r="P17" i="25"/>
  <c r="M17" i="25"/>
  <c r="I17" i="25"/>
  <c r="H17" i="25"/>
  <c r="G17" i="25"/>
  <c r="F17" i="25"/>
  <c r="E17" i="25"/>
  <c r="D17" i="25"/>
  <c r="C17" i="25"/>
  <c r="W16" i="25"/>
  <c r="U16" i="25"/>
  <c r="S16" i="25"/>
  <c r="Q16" i="25"/>
  <c r="P16" i="25"/>
  <c r="M16" i="25"/>
  <c r="I16" i="25"/>
  <c r="H16" i="25"/>
  <c r="G16" i="25"/>
  <c r="F16" i="25"/>
  <c r="E16" i="25"/>
  <c r="D16" i="25"/>
  <c r="C16" i="25"/>
  <c r="W15" i="25"/>
  <c r="U15" i="25"/>
  <c r="S15" i="25"/>
  <c r="Q15" i="25"/>
  <c r="P15" i="25"/>
  <c r="M15" i="25"/>
  <c r="I15" i="25"/>
  <c r="H15" i="25"/>
  <c r="G15" i="25"/>
  <c r="F15" i="25"/>
  <c r="E15" i="25"/>
  <c r="D15" i="25"/>
  <c r="C15" i="25"/>
  <c r="W14" i="25"/>
  <c r="U14" i="25"/>
  <c r="S14" i="25"/>
  <c r="Q14" i="25"/>
  <c r="P14" i="25"/>
  <c r="M14" i="25"/>
  <c r="I14" i="25"/>
  <c r="H14" i="25"/>
  <c r="G14" i="25"/>
  <c r="F14" i="25"/>
  <c r="E14" i="25"/>
  <c r="D14" i="25"/>
  <c r="C14" i="25"/>
  <c r="W13" i="25"/>
  <c r="U13" i="25"/>
  <c r="S13" i="25"/>
  <c r="Q13" i="25"/>
  <c r="P13" i="25"/>
  <c r="M13" i="25"/>
  <c r="I13" i="25"/>
  <c r="H13" i="25"/>
  <c r="G13" i="25"/>
  <c r="F13" i="25"/>
  <c r="E13" i="25"/>
  <c r="D13" i="25"/>
  <c r="C13" i="25"/>
  <c r="X9" i="25"/>
  <c r="V9" i="25"/>
  <c r="T9" i="25"/>
  <c r="R9" i="25"/>
  <c r="K9" i="25"/>
  <c r="J9" i="25"/>
  <c r="D10" i="11"/>
  <c r="D9" i="11"/>
  <c r="E66" i="16" l="1"/>
  <c r="E65" i="16"/>
  <c r="E64" i="16"/>
  <c r="E63" i="16"/>
  <c r="E62" i="16"/>
  <c r="E61" i="16"/>
  <c r="E60" i="16"/>
  <c r="E59" i="16"/>
  <c r="E58" i="16"/>
  <c r="E57" i="16"/>
  <c r="D66" i="16"/>
  <c r="D65" i="16"/>
  <c r="D64" i="16"/>
  <c r="D63" i="16"/>
  <c r="D62" i="16"/>
  <c r="D61" i="16"/>
  <c r="D60" i="16"/>
  <c r="D59" i="16"/>
  <c r="D58" i="16"/>
  <c r="D57" i="16"/>
  <c r="C66" i="16"/>
  <c r="C65" i="16"/>
  <c r="C64" i="16"/>
  <c r="C63" i="16"/>
  <c r="C62" i="16"/>
  <c r="C61" i="16"/>
  <c r="C60" i="16"/>
  <c r="C59" i="16"/>
  <c r="C58" i="16"/>
  <c r="C57" i="16"/>
  <c r="B66" i="16"/>
  <c r="B65" i="16"/>
  <c r="B64" i="16"/>
  <c r="B63" i="16"/>
  <c r="B62" i="16"/>
  <c r="B61" i="16"/>
  <c r="B60" i="16"/>
  <c r="B59" i="16"/>
  <c r="B58" i="16"/>
  <c r="B18" i="20"/>
  <c r="H9" i="11"/>
  <c r="H10" i="11"/>
  <c r="C18" i="11"/>
  <c r="D18" i="11"/>
  <c r="C19" i="11"/>
  <c r="D19" i="11"/>
  <c r="C20" i="11"/>
  <c r="D20" i="11"/>
  <c r="C21" i="11"/>
  <c r="D21" i="11"/>
  <c r="C22" i="11"/>
  <c r="D22" i="11"/>
  <c r="C28" i="11"/>
  <c r="D28" i="11"/>
  <c r="C34" i="11"/>
  <c r="D34" i="11"/>
  <c r="E42" i="11"/>
  <c r="C64" i="11"/>
  <c r="D64" i="11"/>
  <c r="E64" i="11"/>
  <c r="F64" i="11"/>
  <c r="G64" i="11"/>
  <c r="H64" i="11"/>
  <c r="G45" i="16" s="1"/>
  <c r="I64" i="11"/>
  <c r="H45" i="16" s="1"/>
  <c r="B65" i="11"/>
  <c r="B66" i="11"/>
  <c r="B67" i="11"/>
  <c r="B68" i="11"/>
  <c r="B69" i="11"/>
  <c r="B70" i="11"/>
  <c r="B71" i="11"/>
  <c r="C74" i="11"/>
  <c r="D74" i="11"/>
  <c r="E74" i="11"/>
  <c r="F74" i="11"/>
  <c r="G74" i="11"/>
  <c r="H74" i="11"/>
  <c r="I74" i="11"/>
  <c r="B75" i="11"/>
  <c r="B76" i="11"/>
  <c r="B77" i="11"/>
  <c r="B78" i="11"/>
  <c r="B79" i="11"/>
  <c r="B80" i="11"/>
  <c r="B81" i="11"/>
  <c r="B89" i="11"/>
  <c r="B96" i="12"/>
  <c r="B93" i="11"/>
  <c r="B29" i="11" s="1"/>
  <c r="B10" i="20"/>
  <c r="B57" i="16"/>
  <c r="C130" i="12"/>
  <c r="D130" i="12"/>
  <c r="E130" i="12"/>
  <c r="F130" i="12"/>
  <c r="G130" i="12"/>
  <c r="H130" i="12"/>
  <c r="I130" i="12"/>
  <c r="C120" i="12"/>
  <c r="D120" i="12"/>
  <c r="E120" i="12"/>
  <c r="F120" i="12"/>
  <c r="G120" i="12"/>
  <c r="H120" i="12"/>
  <c r="I120" i="12"/>
  <c r="D52" i="21"/>
  <c r="D51" i="21"/>
  <c r="D50" i="21"/>
  <c r="D49" i="21"/>
  <c r="D44" i="21"/>
  <c r="D43" i="21"/>
  <c r="D42" i="21"/>
  <c r="D41" i="21"/>
  <c r="D40" i="21"/>
  <c r="D39" i="21"/>
  <c r="D38" i="21"/>
  <c r="D37" i="21"/>
  <c r="D36" i="21"/>
  <c r="D101" i="13"/>
  <c r="D93" i="12"/>
  <c r="B30" i="21"/>
  <c r="B29" i="21"/>
  <c r="B28" i="21"/>
  <c r="B27" i="21"/>
  <c r="D20" i="21"/>
  <c r="D19" i="21"/>
  <c r="D18" i="21"/>
  <c r="D60" i="12" s="1"/>
  <c r="D16" i="21"/>
  <c r="D50" i="14" s="1"/>
  <c r="D15" i="21"/>
  <c r="D58" i="13" s="1"/>
  <c r="D14" i="21"/>
  <c r="D54" i="12" s="1"/>
  <c r="D13" i="21"/>
  <c r="D12" i="21"/>
  <c r="D11" i="21"/>
  <c r="D10" i="21"/>
  <c r="D9" i="21"/>
  <c r="D8" i="21"/>
  <c r="D7" i="21"/>
  <c r="C20" i="21"/>
  <c r="C19" i="21"/>
  <c r="C18" i="21"/>
  <c r="C60" i="12" s="1"/>
  <c r="C16" i="21"/>
  <c r="C50" i="14" s="1"/>
  <c r="C15" i="21"/>
  <c r="C58" i="13" s="1"/>
  <c r="C14" i="21"/>
  <c r="C17" i="21" s="1"/>
  <c r="C13" i="21"/>
  <c r="C48" i="14" s="1"/>
  <c r="C12" i="21"/>
  <c r="C56" i="13" s="1"/>
  <c r="C11" i="21"/>
  <c r="C52" i="12" s="1"/>
  <c r="C10" i="21"/>
  <c r="C46" i="14" s="1"/>
  <c r="C9" i="21"/>
  <c r="C54" i="13" s="1"/>
  <c r="C8" i="21"/>
  <c r="C50" i="12" s="1"/>
  <c r="C7" i="21"/>
  <c r="B20" i="21"/>
  <c r="B59" i="14" s="1"/>
  <c r="B19" i="21"/>
  <c r="B67" i="13" s="1"/>
  <c r="B18" i="21"/>
  <c r="B16" i="21"/>
  <c r="B50" i="14" s="1"/>
  <c r="B15" i="21"/>
  <c r="B14" i="21"/>
  <c r="B54" i="12" s="1"/>
  <c r="B13" i="21"/>
  <c r="B48" i="14" s="1"/>
  <c r="B12" i="21"/>
  <c r="B56" i="13" s="1"/>
  <c r="B11" i="21"/>
  <c r="B52" i="12" s="1"/>
  <c r="B10" i="21"/>
  <c r="B46" i="14" s="1"/>
  <c r="B9" i="21"/>
  <c r="B54" i="13" s="1"/>
  <c r="B8" i="21"/>
  <c r="B50" i="12" s="1"/>
  <c r="B7" i="21"/>
  <c r="L44" i="12"/>
  <c r="M44" i="12"/>
  <c r="N44" i="12"/>
  <c r="O44" i="12"/>
  <c r="P44" i="12"/>
  <c r="Q44" i="12"/>
  <c r="R44" i="12"/>
  <c r="S44" i="12"/>
  <c r="T44" i="12"/>
  <c r="D59" i="14"/>
  <c r="C59" i="14"/>
  <c r="D67" i="13"/>
  <c r="C67" i="13"/>
  <c r="B58" i="13"/>
  <c r="B60" i="12"/>
  <c r="B5" i="12"/>
  <c r="E44" i="12" s="1"/>
  <c r="E164" i="13"/>
  <c r="F164" i="13" s="1"/>
  <c r="G164" i="13" s="1"/>
  <c r="H164" i="13" s="1"/>
  <c r="I164" i="13" s="1"/>
  <c r="J164" i="13" s="1"/>
  <c r="K164" i="13" s="1"/>
  <c r="L164" i="13" s="1"/>
  <c r="M164" i="13" s="1"/>
  <c r="N164" i="13" s="1"/>
  <c r="O164" i="13" s="1"/>
  <c r="P164" i="13" s="1"/>
  <c r="Q164" i="13" s="1"/>
  <c r="R164" i="13" s="1"/>
  <c r="S164" i="13" s="1"/>
  <c r="T164" i="13" s="1"/>
  <c r="U164" i="13" s="1"/>
  <c r="V164" i="13" s="1"/>
  <c r="W164" i="13" s="1"/>
  <c r="X164" i="13" s="1"/>
  <c r="E163" i="13"/>
  <c r="F163" i="13" s="1"/>
  <c r="G163" i="13" s="1"/>
  <c r="H163" i="13" s="1"/>
  <c r="I163" i="13" s="1"/>
  <c r="J163" i="13" s="1"/>
  <c r="K163" i="13" s="1"/>
  <c r="L163" i="13" s="1"/>
  <c r="M163" i="13" s="1"/>
  <c r="N163" i="13" s="1"/>
  <c r="O163" i="13" s="1"/>
  <c r="P163" i="13" s="1"/>
  <c r="Q163" i="13" s="1"/>
  <c r="R163" i="13" s="1"/>
  <c r="S163" i="13" s="1"/>
  <c r="T163" i="13" s="1"/>
  <c r="U163" i="13" s="1"/>
  <c r="V163" i="13" s="1"/>
  <c r="W163" i="13" s="1"/>
  <c r="X163" i="13" s="1"/>
  <c r="X156" i="13"/>
  <c r="W156" i="13"/>
  <c r="V156" i="13"/>
  <c r="U156" i="13"/>
  <c r="T156" i="13"/>
  <c r="S156" i="13"/>
  <c r="R156" i="13"/>
  <c r="Q156" i="13"/>
  <c r="P156" i="13"/>
  <c r="O156" i="13"/>
  <c r="N156" i="13"/>
  <c r="M156" i="13"/>
  <c r="L156" i="13"/>
  <c r="K156" i="13"/>
  <c r="J156" i="13"/>
  <c r="I156" i="13"/>
  <c r="H156" i="13"/>
  <c r="G156" i="13"/>
  <c r="F156" i="13"/>
  <c r="E156" i="13"/>
  <c r="D156" i="13"/>
  <c r="D158" i="13" s="1"/>
  <c r="D155" i="13"/>
  <c r="D163" i="12"/>
  <c r="E165" i="12" s="1"/>
  <c r="B40" i="27"/>
  <c r="D105" i="11" l="1"/>
  <c r="D104" i="11"/>
  <c r="D101" i="11"/>
  <c r="D29" i="11"/>
  <c r="D109" i="11"/>
  <c r="D103" i="11"/>
  <c r="D100" i="11"/>
  <c r="B36" i="11"/>
  <c r="D102" i="11"/>
  <c r="D108" i="11"/>
  <c r="C29" i="11"/>
  <c r="D106" i="11"/>
  <c r="D107" i="11"/>
  <c r="K44" i="12"/>
  <c r="C21" i="21"/>
  <c r="D17" i="21"/>
  <c r="D21" i="21"/>
  <c r="B17" i="21"/>
  <c r="B21" i="21"/>
  <c r="C54" i="12"/>
  <c r="J44" i="12"/>
  <c r="H44" i="12"/>
  <c r="I44" i="12"/>
  <c r="W44" i="12"/>
  <c r="G44" i="12"/>
  <c r="X44" i="12"/>
  <c r="V44" i="12"/>
  <c r="F44" i="12"/>
  <c r="U44" i="12"/>
  <c r="D165" i="12"/>
  <c r="D166" i="12" s="1"/>
  <c r="D167" i="12" s="1"/>
  <c r="D168" i="12" s="1"/>
  <c r="D169" i="12"/>
  <c r="B78" i="13"/>
  <c r="O78" i="13" s="1"/>
  <c r="X38" i="25"/>
  <c r="V38" i="25"/>
  <c r="T38" i="25"/>
  <c r="R38" i="25"/>
  <c r="K38" i="25"/>
  <c r="J38" i="25"/>
  <c r="C77" i="16"/>
  <c r="B77" i="16"/>
  <c r="B52" i="27"/>
  <c r="B51" i="27"/>
  <c r="B50" i="27"/>
  <c r="B49" i="27"/>
  <c r="C48" i="27"/>
  <c r="B48" i="27"/>
  <c r="C47" i="27"/>
  <c r="B47" i="27"/>
  <c r="C46" i="27"/>
  <c r="B46" i="27"/>
  <c r="C45" i="27"/>
  <c r="B45" i="27"/>
  <c r="B39" i="27"/>
  <c r="B38" i="27"/>
  <c r="D37" i="27"/>
  <c r="C37" i="27"/>
  <c r="B37" i="27"/>
  <c r="E29" i="27"/>
  <c r="E28" i="27"/>
  <c r="E27" i="27"/>
  <c r="A2" i="27"/>
  <c r="B22" i="27"/>
  <c r="B20" i="27"/>
  <c r="C20" i="27" s="1"/>
  <c r="J105" i="26"/>
  <c r="D105" i="26"/>
  <c r="C105" i="26"/>
  <c r="J103" i="26"/>
  <c r="D103" i="26"/>
  <c r="C103" i="26"/>
  <c r="J102" i="26"/>
  <c r="D102" i="26"/>
  <c r="C102" i="26"/>
  <c r="J101" i="26"/>
  <c r="D101" i="26"/>
  <c r="C101" i="26"/>
  <c r="J100" i="26"/>
  <c r="D100" i="26"/>
  <c r="C100" i="26"/>
  <c r="J99" i="26"/>
  <c r="D99" i="26"/>
  <c r="C99" i="26"/>
  <c r="J87" i="26"/>
  <c r="F87" i="26"/>
  <c r="D87" i="26"/>
  <c r="C87" i="26"/>
  <c r="B87" i="26"/>
  <c r="D81" i="26"/>
  <c r="D82" i="26" s="1"/>
  <c r="C81" i="26"/>
  <c r="C82" i="26" s="1"/>
  <c r="J64" i="26"/>
  <c r="F64" i="26"/>
  <c r="F65" i="26" s="1"/>
  <c r="D64" i="26"/>
  <c r="D65" i="26" s="1"/>
  <c r="C64" i="26"/>
  <c r="C65" i="26" s="1"/>
  <c r="B64" i="26"/>
  <c r="B65" i="26" s="1"/>
  <c r="J58" i="26"/>
  <c r="D58" i="26"/>
  <c r="C58" i="26"/>
  <c r="J51" i="26"/>
  <c r="J52" i="26" s="1"/>
  <c r="F51" i="26"/>
  <c r="F52" i="26" s="1"/>
  <c r="D51" i="26"/>
  <c r="D52" i="26" s="1"/>
  <c r="C51" i="26"/>
  <c r="C52" i="26" s="1"/>
  <c r="B51" i="26"/>
  <c r="B52" i="26" s="1"/>
  <c r="J45" i="26"/>
  <c r="F45" i="26"/>
  <c r="D45" i="26"/>
  <c r="C45" i="26"/>
  <c r="B45" i="26"/>
  <c r="J38" i="26"/>
  <c r="F38" i="26"/>
  <c r="D38" i="26"/>
  <c r="C38" i="26"/>
  <c r="B38" i="26"/>
  <c r="J16" i="26"/>
  <c r="J18" i="26" s="1"/>
  <c r="F16" i="26"/>
  <c r="F18" i="26" s="1"/>
  <c r="D16" i="26"/>
  <c r="D18" i="26" s="1"/>
  <c r="C16" i="26"/>
  <c r="C18" i="26" s="1"/>
  <c r="B16" i="26"/>
  <c r="B18" i="26" s="1"/>
  <c r="J10" i="26"/>
  <c r="J11" i="26" s="1"/>
  <c r="F10" i="26"/>
  <c r="F11" i="26" s="1"/>
  <c r="D10" i="26"/>
  <c r="D11" i="26" s="1"/>
  <c r="C10" i="26"/>
  <c r="C11" i="26" s="1"/>
  <c r="B10" i="26"/>
  <c r="B11" i="26" s="1"/>
  <c r="K17" i="24"/>
  <c r="K16" i="24"/>
  <c r="K15" i="24"/>
  <c r="K14" i="24"/>
  <c r="K13" i="24"/>
  <c r="K12" i="24"/>
  <c r="K11" i="24"/>
  <c r="K10" i="24"/>
  <c r="K9" i="24"/>
  <c r="N37" i="24"/>
  <c r="M38" i="24"/>
  <c r="M37" i="24"/>
  <c r="M36" i="24"/>
  <c r="M35" i="24"/>
  <c r="M34" i="24"/>
  <c r="M33" i="24"/>
  <c r="N31" i="24"/>
  <c r="N30" i="24"/>
  <c r="N29" i="24"/>
  <c r="N28" i="24"/>
  <c r="N27" i="24"/>
  <c r="J37" i="24"/>
  <c r="F38" i="24"/>
  <c r="F37" i="24"/>
  <c r="F36" i="24"/>
  <c r="F35" i="24"/>
  <c r="F34" i="24"/>
  <c r="F33" i="24"/>
  <c r="J31" i="24"/>
  <c r="J30" i="24"/>
  <c r="J29" i="24"/>
  <c r="J28" i="24"/>
  <c r="J27" i="24"/>
  <c r="J38" i="24" s="1"/>
  <c r="M24" i="24"/>
  <c r="M23" i="24"/>
  <c r="M22" i="24"/>
  <c r="M21" i="24"/>
  <c r="M20" i="24"/>
  <c r="M19" i="24"/>
  <c r="N17" i="24"/>
  <c r="N16" i="24"/>
  <c r="N15" i="24"/>
  <c r="N19" i="24" s="1"/>
  <c r="N14" i="24"/>
  <c r="N13" i="24"/>
  <c r="N12" i="24"/>
  <c r="N11" i="24"/>
  <c r="N10" i="24"/>
  <c r="N9" i="24"/>
  <c r="F24" i="24"/>
  <c r="F23" i="24"/>
  <c r="F22" i="24"/>
  <c r="F21" i="24"/>
  <c r="F20" i="24"/>
  <c r="F19" i="24"/>
  <c r="J17" i="24"/>
  <c r="J16" i="24"/>
  <c r="J15" i="24"/>
  <c r="J14" i="24"/>
  <c r="J13" i="24"/>
  <c r="J12" i="24"/>
  <c r="J11" i="24"/>
  <c r="J10" i="24"/>
  <c r="J9" i="24"/>
  <c r="F46" i="25"/>
  <c r="F45" i="25"/>
  <c r="F44" i="25"/>
  <c r="F43" i="25"/>
  <c r="F42" i="25"/>
  <c r="F41" i="25"/>
  <c r="J39" i="25"/>
  <c r="J37" i="25"/>
  <c r="J36" i="25"/>
  <c r="J35" i="25"/>
  <c r="N11" i="25"/>
  <c r="N10" i="25"/>
  <c r="F32" i="25"/>
  <c r="F31" i="25"/>
  <c r="F30" i="25"/>
  <c r="F29" i="25"/>
  <c r="F28" i="25"/>
  <c r="F27" i="25"/>
  <c r="J25" i="25"/>
  <c r="J24" i="25"/>
  <c r="J23" i="25"/>
  <c r="J22" i="25"/>
  <c r="J21" i="25"/>
  <c r="U38" i="24"/>
  <c r="U37" i="24"/>
  <c r="U36" i="24"/>
  <c r="U35" i="24"/>
  <c r="U34" i="24"/>
  <c r="U33" i="24"/>
  <c r="S38" i="24"/>
  <c r="S37" i="24"/>
  <c r="S36" i="24"/>
  <c r="S35" i="24"/>
  <c r="S34" i="24"/>
  <c r="S33" i="24"/>
  <c r="Q38" i="24"/>
  <c r="Q37" i="24"/>
  <c r="Q36" i="24"/>
  <c r="Q35" i="24"/>
  <c r="Q34" i="24"/>
  <c r="Q33" i="24"/>
  <c r="U24" i="24"/>
  <c r="U23" i="24"/>
  <c r="U22" i="24"/>
  <c r="U21" i="24"/>
  <c r="U20" i="24"/>
  <c r="U19" i="24"/>
  <c r="S24" i="24"/>
  <c r="S23" i="24"/>
  <c r="S22" i="24"/>
  <c r="S21" i="24"/>
  <c r="S20" i="24"/>
  <c r="S19" i="24"/>
  <c r="Q24" i="24"/>
  <c r="Q23" i="24"/>
  <c r="Q22" i="24"/>
  <c r="Q21" i="24"/>
  <c r="Q20" i="24"/>
  <c r="Q19" i="24"/>
  <c r="U46" i="25"/>
  <c r="U45" i="25"/>
  <c r="U44" i="25"/>
  <c r="U43" i="25"/>
  <c r="U42" i="25"/>
  <c r="U41" i="25"/>
  <c r="S46" i="25"/>
  <c r="S45" i="25"/>
  <c r="S44" i="25"/>
  <c r="S43" i="25"/>
  <c r="S42" i="25"/>
  <c r="S41" i="25"/>
  <c r="Q46" i="25"/>
  <c r="Q45" i="25"/>
  <c r="Q44" i="25"/>
  <c r="Q43" i="25"/>
  <c r="Q42" i="25"/>
  <c r="Q41" i="25"/>
  <c r="U32" i="25"/>
  <c r="U31" i="25"/>
  <c r="U30" i="25"/>
  <c r="U29" i="25"/>
  <c r="U28" i="25"/>
  <c r="U27" i="25"/>
  <c r="S32" i="25"/>
  <c r="S31" i="25"/>
  <c r="S30" i="25"/>
  <c r="S29" i="25"/>
  <c r="S28" i="25"/>
  <c r="S27" i="25"/>
  <c r="Q32" i="25"/>
  <c r="Q31" i="25"/>
  <c r="Q30" i="25"/>
  <c r="Q29" i="25"/>
  <c r="Q28" i="25"/>
  <c r="Q27" i="25"/>
  <c r="J11" i="25"/>
  <c r="J10" i="25"/>
  <c r="N39" i="23"/>
  <c r="M39" i="23"/>
  <c r="M38" i="23"/>
  <c r="N37" i="23"/>
  <c r="M37" i="23"/>
  <c r="N36" i="23"/>
  <c r="M36" i="23"/>
  <c r="R47" i="23"/>
  <c r="I40" i="23"/>
  <c r="I39" i="23"/>
  <c r="I38" i="23"/>
  <c r="I37" i="23"/>
  <c r="I36" i="23"/>
  <c r="I35" i="23"/>
  <c r="P40" i="23"/>
  <c r="P39" i="23"/>
  <c r="P38" i="23"/>
  <c r="P37" i="23"/>
  <c r="P36" i="23"/>
  <c r="P35" i="23"/>
  <c r="G40" i="23"/>
  <c r="G39" i="23"/>
  <c r="G38" i="23"/>
  <c r="G37" i="23"/>
  <c r="G36" i="23"/>
  <c r="G35" i="23"/>
  <c r="V50" i="23"/>
  <c r="V49" i="23"/>
  <c r="V48" i="23"/>
  <c r="V47" i="23"/>
  <c r="V46" i="23"/>
  <c r="V45" i="23"/>
  <c r="V44" i="23"/>
  <c r="V43" i="23"/>
  <c r="R50" i="23"/>
  <c r="R49" i="23"/>
  <c r="R48" i="23"/>
  <c r="R46" i="23"/>
  <c r="R45" i="23"/>
  <c r="R44" i="23"/>
  <c r="R43" i="23"/>
  <c r="V33" i="23"/>
  <c r="V32" i="23"/>
  <c r="V31" i="23"/>
  <c r="V30" i="23"/>
  <c r="V29" i="23"/>
  <c r="V28" i="23"/>
  <c r="V27" i="23"/>
  <c r="V26" i="23"/>
  <c r="R33" i="23"/>
  <c r="R32" i="23"/>
  <c r="R31" i="23"/>
  <c r="R30" i="23"/>
  <c r="R29" i="23"/>
  <c r="R28" i="23"/>
  <c r="R27" i="23"/>
  <c r="R26" i="23"/>
  <c r="V16" i="23"/>
  <c r="V15" i="23"/>
  <c r="V14" i="23"/>
  <c r="V13" i="23"/>
  <c r="V12" i="23"/>
  <c r="V11" i="23"/>
  <c r="V10" i="23"/>
  <c r="V9" i="23"/>
  <c r="R16" i="23"/>
  <c r="R15" i="23"/>
  <c r="R14" i="23"/>
  <c r="R13" i="23"/>
  <c r="R12" i="23"/>
  <c r="R11" i="23"/>
  <c r="R10" i="23"/>
  <c r="R9" i="23"/>
  <c r="N57" i="23"/>
  <c r="N52" i="23"/>
  <c r="M57" i="23"/>
  <c r="M52" i="23"/>
  <c r="N23" i="23"/>
  <c r="N18" i="23"/>
  <c r="M23" i="23"/>
  <c r="M18" i="23"/>
  <c r="N40" i="23"/>
  <c r="N35" i="23"/>
  <c r="M40" i="23"/>
  <c r="M35" i="23"/>
  <c r="D40" i="23"/>
  <c r="D39" i="23"/>
  <c r="D38" i="23"/>
  <c r="D37" i="23"/>
  <c r="D36" i="23"/>
  <c r="D35" i="23"/>
  <c r="C40" i="23"/>
  <c r="C39" i="23"/>
  <c r="C38" i="23"/>
  <c r="C37" i="23"/>
  <c r="C36" i="23"/>
  <c r="C35" i="23"/>
  <c r="U57" i="23"/>
  <c r="U56" i="23"/>
  <c r="U55" i="23"/>
  <c r="U54" i="23"/>
  <c r="U53" i="23"/>
  <c r="U52" i="23"/>
  <c r="S57" i="23"/>
  <c r="S56" i="23"/>
  <c r="S55" i="23"/>
  <c r="S54" i="23"/>
  <c r="S53" i="23"/>
  <c r="S52" i="23"/>
  <c r="Q57" i="23"/>
  <c r="Q56" i="23"/>
  <c r="Q55" i="23"/>
  <c r="Q54" i="23"/>
  <c r="Q53" i="23"/>
  <c r="Q52" i="23"/>
  <c r="J50" i="23"/>
  <c r="J49" i="23"/>
  <c r="J48" i="23"/>
  <c r="J47" i="23"/>
  <c r="J46" i="23"/>
  <c r="J45" i="23"/>
  <c r="J44" i="23"/>
  <c r="J43" i="23"/>
  <c r="F57" i="23"/>
  <c r="F56" i="23"/>
  <c r="F55" i="23"/>
  <c r="F54" i="23"/>
  <c r="F53" i="23"/>
  <c r="F52" i="23"/>
  <c r="U40" i="23"/>
  <c r="U39" i="23"/>
  <c r="U38" i="23"/>
  <c r="U37" i="23"/>
  <c r="U36" i="23"/>
  <c r="U35" i="23"/>
  <c r="S40" i="23"/>
  <c r="S39" i="23"/>
  <c r="S38" i="23"/>
  <c r="S37" i="23"/>
  <c r="S36" i="23"/>
  <c r="S35" i="23"/>
  <c r="Q40" i="23"/>
  <c r="Q39" i="23"/>
  <c r="Q38" i="23"/>
  <c r="Q37" i="23"/>
  <c r="Q36" i="23"/>
  <c r="Q35" i="23"/>
  <c r="J33" i="23"/>
  <c r="J32" i="23"/>
  <c r="J31" i="23"/>
  <c r="J30" i="23"/>
  <c r="J29" i="23"/>
  <c r="J28" i="23"/>
  <c r="J27" i="23"/>
  <c r="J26" i="23"/>
  <c r="F40" i="23"/>
  <c r="F39" i="23"/>
  <c r="F38" i="23"/>
  <c r="F37" i="23"/>
  <c r="F36" i="23"/>
  <c r="F35" i="23"/>
  <c r="U23" i="23"/>
  <c r="U22" i="23"/>
  <c r="U21" i="23"/>
  <c r="U20" i="23"/>
  <c r="U19" i="23"/>
  <c r="U18" i="23"/>
  <c r="S23" i="23"/>
  <c r="S22" i="23"/>
  <c r="S21" i="23"/>
  <c r="S20" i="23"/>
  <c r="S19" i="23"/>
  <c r="S18" i="23"/>
  <c r="Q23" i="23"/>
  <c r="Q22" i="23"/>
  <c r="Q21" i="23"/>
  <c r="Q20" i="23"/>
  <c r="Q19" i="23"/>
  <c r="Q18" i="23"/>
  <c r="J16" i="23"/>
  <c r="J15" i="23"/>
  <c r="J14" i="23"/>
  <c r="J13" i="23"/>
  <c r="J12" i="23"/>
  <c r="J11" i="23"/>
  <c r="J10" i="23"/>
  <c r="J9" i="23"/>
  <c r="F23" i="23"/>
  <c r="F22" i="23"/>
  <c r="F21" i="23"/>
  <c r="F20" i="23"/>
  <c r="F19" i="23"/>
  <c r="F18" i="23"/>
  <c r="R9" i="24"/>
  <c r="T9" i="24"/>
  <c r="V9" i="24"/>
  <c r="X9" i="24"/>
  <c r="R10" i="24"/>
  <c r="T10" i="24"/>
  <c r="V10" i="24"/>
  <c r="X10" i="24"/>
  <c r="R11" i="24"/>
  <c r="T11" i="24"/>
  <c r="V11" i="24"/>
  <c r="X11" i="24"/>
  <c r="R12" i="24"/>
  <c r="T12" i="24"/>
  <c r="V12" i="24"/>
  <c r="X12" i="24"/>
  <c r="R13" i="24"/>
  <c r="T13" i="24"/>
  <c r="V13" i="24"/>
  <c r="X13" i="24"/>
  <c r="R14" i="24"/>
  <c r="T14" i="24"/>
  <c r="V14" i="24"/>
  <c r="X14" i="24"/>
  <c r="R15" i="24"/>
  <c r="T15" i="24"/>
  <c r="V15" i="24"/>
  <c r="X15" i="24"/>
  <c r="R16" i="24"/>
  <c r="T16" i="24"/>
  <c r="V16" i="24"/>
  <c r="X16" i="24"/>
  <c r="R17" i="24"/>
  <c r="T17" i="24"/>
  <c r="V17" i="24"/>
  <c r="X17" i="24"/>
  <c r="C19" i="24"/>
  <c r="D19" i="24"/>
  <c r="E19" i="24"/>
  <c r="G19" i="24"/>
  <c r="H19" i="24"/>
  <c r="I19" i="24"/>
  <c r="P19" i="24"/>
  <c r="W19" i="24"/>
  <c r="C20" i="24"/>
  <c r="D20" i="24"/>
  <c r="E20" i="24"/>
  <c r="G20" i="24"/>
  <c r="H20" i="24"/>
  <c r="I20" i="24"/>
  <c r="P20" i="24"/>
  <c r="W20" i="24"/>
  <c r="C21" i="24"/>
  <c r="D21" i="24"/>
  <c r="E21" i="24"/>
  <c r="G21" i="24"/>
  <c r="H21" i="24"/>
  <c r="I21" i="24"/>
  <c r="P21" i="24"/>
  <c r="W21" i="24"/>
  <c r="C22" i="24"/>
  <c r="D22" i="24"/>
  <c r="E22" i="24"/>
  <c r="G22" i="24"/>
  <c r="H22" i="24"/>
  <c r="I22" i="24"/>
  <c r="P22" i="24"/>
  <c r="W22" i="24"/>
  <c r="C23" i="24"/>
  <c r="D23" i="24"/>
  <c r="E23" i="24"/>
  <c r="G23" i="24"/>
  <c r="H23" i="24"/>
  <c r="I23" i="24"/>
  <c r="P23" i="24"/>
  <c r="W23" i="24"/>
  <c r="C24" i="24"/>
  <c r="D24" i="24"/>
  <c r="E24" i="24"/>
  <c r="G24" i="24"/>
  <c r="H24" i="24"/>
  <c r="I24" i="24"/>
  <c r="P24" i="24"/>
  <c r="W24" i="24"/>
  <c r="K27" i="24"/>
  <c r="R27" i="24"/>
  <c r="T27" i="24"/>
  <c r="V27" i="24"/>
  <c r="X27" i="24"/>
  <c r="K28" i="24"/>
  <c r="R28" i="24"/>
  <c r="T28" i="24"/>
  <c r="V28" i="24"/>
  <c r="X28" i="24"/>
  <c r="K29" i="24"/>
  <c r="R29" i="24"/>
  <c r="T29" i="24"/>
  <c r="V29" i="24"/>
  <c r="X29" i="24"/>
  <c r="K30" i="24"/>
  <c r="R30" i="24"/>
  <c r="T30" i="24"/>
  <c r="V30" i="24"/>
  <c r="X30" i="24"/>
  <c r="K31" i="24"/>
  <c r="R31" i="24"/>
  <c r="T31" i="24"/>
  <c r="V31" i="24"/>
  <c r="X31" i="24"/>
  <c r="C33" i="24"/>
  <c r="D33" i="24"/>
  <c r="E33" i="24"/>
  <c r="G33" i="24"/>
  <c r="H33" i="24"/>
  <c r="I33" i="24"/>
  <c r="P33" i="24"/>
  <c r="W33" i="24"/>
  <c r="C34" i="24"/>
  <c r="D34" i="24"/>
  <c r="E34" i="24"/>
  <c r="G34" i="24"/>
  <c r="H34" i="24"/>
  <c r="I34" i="24"/>
  <c r="P34" i="24"/>
  <c r="W34" i="24"/>
  <c r="C35" i="24"/>
  <c r="D35" i="24"/>
  <c r="E35" i="24"/>
  <c r="G35" i="24"/>
  <c r="H35" i="24"/>
  <c r="I35" i="24"/>
  <c r="P35" i="24"/>
  <c r="W35" i="24"/>
  <c r="C36" i="24"/>
  <c r="D36" i="24"/>
  <c r="E36" i="24"/>
  <c r="G36" i="24"/>
  <c r="H36" i="24"/>
  <c r="I36" i="24"/>
  <c r="P36" i="24"/>
  <c r="W36" i="24"/>
  <c r="C37" i="24"/>
  <c r="D37" i="24"/>
  <c r="E37" i="24"/>
  <c r="G37" i="24"/>
  <c r="H37" i="24"/>
  <c r="I37" i="24"/>
  <c r="P37" i="24"/>
  <c r="W37" i="24"/>
  <c r="C38" i="24"/>
  <c r="D38" i="24"/>
  <c r="E38" i="24"/>
  <c r="G38" i="24"/>
  <c r="H38" i="24"/>
  <c r="I38" i="24"/>
  <c r="P38" i="24"/>
  <c r="W38" i="24"/>
  <c r="K9" i="23"/>
  <c r="T9" i="23"/>
  <c r="X9" i="23"/>
  <c r="K10" i="23"/>
  <c r="T10" i="23"/>
  <c r="X10" i="23"/>
  <c r="K11" i="23"/>
  <c r="T11" i="23"/>
  <c r="X11" i="23"/>
  <c r="K12" i="23"/>
  <c r="T12" i="23"/>
  <c r="X12" i="23"/>
  <c r="K13" i="23"/>
  <c r="T13" i="23"/>
  <c r="X13" i="23"/>
  <c r="K14" i="23"/>
  <c r="T14" i="23"/>
  <c r="X14" i="23"/>
  <c r="K15" i="23"/>
  <c r="T15" i="23"/>
  <c r="X15" i="23"/>
  <c r="K16" i="23"/>
  <c r="T16" i="23"/>
  <c r="X16" i="23"/>
  <c r="C18" i="23"/>
  <c r="D18" i="23"/>
  <c r="E18" i="23"/>
  <c r="G18" i="23"/>
  <c r="H18" i="23"/>
  <c r="I18" i="23"/>
  <c r="P18" i="23"/>
  <c r="W18" i="23"/>
  <c r="C19" i="23"/>
  <c r="D19" i="23"/>
  <c r="E19" i="23"/>
  <c r="G19" i="23"/>
  <c r="H19" i="23"/>
  <c r="I19" i="23"/>
  <c r="M19" i="23"/>
  <c r="N19" i="23"/>
  <c r="P19" i="23"/>
  <c r="W19" i="23"/>
  <c r="C20" i="23"/>
  <c r="D20" i="23"/>
  <c r="E20" i="23"/>
  <c r="G20" i="23"/>
  <c r="H20" i="23"/>
  <c r="I20" i="23"/>
  <c r="M20" i="23"/>
  <c r="N20" i="23"/>
  <c r="P20" i="23"/>
  <c r="W20" i="23"/>
  <c r="C21" i="23"/>
  <c r="D21" i="23"/>
  <c r="E21" i="23"/>
  <c r="G21" i="23"/>
  <c r="H21" i="23"/>
  <c r="I21" i="23"/>
  <c r="M21" i="23"/>
  <c r="N21" i="23"/>
  <c r="P21" i="23"/>
  <c r="W21" i="23"/>
  <c r="C22" i="23"/>
  <c r="D22" i="23"/>
  <c r="E22" i="23"/>
  <c r="G22" i="23"/>
  <c r="H22" i="23"/>
  <c r="I22" i="23"/>
  <c r="M22" i="23"/>
  <c r="N22" i="23"/>
  <c r="P22" i="23"/>
  <c r="W22" i="23"/>
  <c r="C23" i="23"/>
  <c r="D23" i="23"/>
  <c r="E23" i="23"/>
  <c r="G23" i="23"/>
  <c r="H23" i="23"/>
  <c r="I23" i="23"/>
  <c r="P23" i="23"/>
  <c r="W23" i="23"/>
  <c r="K26" i="23"/>
  <c r="T26" i="23"/>
  <c r="X26" i="23"/>
  <c r="K27" i="23"/>
  <c r="T27" i="23"/>
  <c r="X27" i="23"/>
  <c r="K28" i="23"/>
  <c r="T28" i="23"/>
  <c r="X28" i="23"/>
  <c r="K29" i="23"/>
  <c r="T29" i="23"/>
  <c r="X29" i="23"/>
  <c r="K30" i="23"/>
  <c r="T30" i="23"/>
  <c r="X30" i="23"/>
  <c r="K31" i="23"/>
  <c r="T31" i="23"/>
  <c r="X31" i="23"/>
  <c r="K32" i="23"/>
  <c r="T32" i="23"/>
  <c r="X32" i="23"/>
  <c r="K33" i="23"/>
  <c r="T33" i="23"/>
  <c r="X33" i="23"/>
  <c r="E35" i="23"/>
  <c r="H35" i="23"/>
  <c r="W35" i="23"/>
  <c r="E36" i="23"/>
  <c r="H36" i="23"/>
  <c r="W36" i="23"/>
  <c r="E37" i="23"/>
  <c r="H37" i="23"/>
  <c r="W37" i="23"/>
  <c r="E38" i="23"/>
  <c r="H38" i="23"/>
  <c r="W38" i="23"/>
  <c r="E39" i="23"/>
  <c r="H39" i="23"/>
  <c r="W39" i="23"/>
  <c r="E40" i="23"/>
  <c r="H40" i="23"/>
  <c r="W40" i="23"/>
  <c r="K43" i="23"/>
  <c r="T43" i="23"/>
  <c r="X43" i="23"/>
  <c r="K44" i="23"/>
  <c r="T44" i="23"/>
  <c r="X44" i="23"/>
  <c r="K45" i="23"/>
  <c r="T45" i="23"/>
  <c r="X45" i="23"/>
  <c r="K46" i="23"/>
  <c r="T46" i="23"/>
  <c r="X46" i="23"/>
  <c r="K47" i="23"/>
  <c r="T47" i="23"/>
  <c r="X47" i="23"/>
  <c r="K48" i="23"/>
  <c r="T48" i="23"/>
  <c r="X48" i="23"/>
  <c r="K49" i="23"/>
  <c r="T49" i="23"/>
  <c r="X49" i="23"/>
  <c r="K50" i="23"/>
  <c r="T50" i="23"/>
  <c r="X50" i="23"/>
  <c r="C52" i="23"/>
  <c r="D52" i="23"/>
  <c r="E52" i="23"/>
  <c r="G52" i="23"/>
  <c r="H52" i="23"/>
  <c r="I52" i="23"/>
  <c r="P52" i="23"/>
  <c r="W52" i="23"/>
  <c r="C53" i="23"/>
  <c r="D53" i="23"/>
  <c r="E53" i="23"/>
  <c r="G53" i="23"/>
  <c r="H53" i="23"/>
  <c r="I53" i="23"/>
  <c r="M53" i="23"/>
  <c r="N53" i="23"/>
  <c r="P53" i="23"/>
  <c r="W53" i="23"/>
  <c r="C54" i="23"/>
  <c r="D54" i="23"/>
  <c r="E54" i="23"/>
  <c r="G54" i="23"/>
  <c r="H54" i="23"/>
  <c r="I54" i="23"/>
  <c r="M54" i="23"/>
  <c r="N54" i="23"/>
  <c r="P54" i="23"/>
  <c r="W54" i="23"/>
  <c r="C55" i="23"/>
  <c r="D55" i="23"/>
  <c r="E55" i="23"/>
  <c r="G55" i="23"/>
  <c r="H55" i="23"/>
  <c r="I55" i="23"/>
  <c r="M55" i="23"/>
  <c r="N55" i="23"/>
  <c r="P55" i="23"/>
  <c r="W55" i="23"/>
  <c r="C56" i="23"/>
  <c r="D56" i="23"/>
  <c r="E56" i="23"/>
  <c r="G56" i="23"/>
  <c r="H56" i="23"/>
  <c r="I56" i="23"/>
  <c r="M56" i="23"/>
  <c r="N56" i="23"/>
  <c r="P56" i="23"/>
  <c r="W56" i="23"/>
  <c r="C57" i="23"/>
  <c r="D57" i="23"/>
  <c r="E57" i="23"/>
  <c r="G57" i="23"/>
  <c r="H57" i="23"/>
  <c r="I57" i="23"/>
  <c r="P57" i="23"/>
  <c r="W57" i="23"/>
  <c r="K10" i="25"/>
  <c r="R10" i="25"/>
  <c r="T10" i="25"/>
  <c r="V10" i="25"/>
  <c r="X10" i="25"/>
  <c r="K11" i="25"/>
  <c r="R11" i="25"/>
  <c r="T11" i="25"/>
  <c r="V11" i="25"/>
  <c r="X11" i="25"/>
  <c r="K21" i="25"/>
  <c r="R21" i="25"/>
  <c r="T21" i="25"/>
  <c r="V21" i="25"/>
  <c r="X21" i="25"/>
  <c r="K22" i="25"/>
  <c r="R22" i="25"/>
  <c r="T22" i="25"/>
  <c r="V22" i="25"/>
  <c r="X22" i="25"/>
  <c r="K23" i="25"/>
  <c r="R23" i="25"/>
  <c r="T23" i="25"/>
  <c r="V23" i="25"/>
  <c r="X23" i="25"/>
  <c r="K24" i="25"/>
  <c r="R24" i="25"/>
  <c r="T24" i="25"/>
  <c r="V24" i="25"/>
  <c r="X24" i="25"/>
  <c r="K25" i="25"/>
  <c r="R25" i="25"/>
  <c r="T25" i="25"/>
  <c r="V25" i="25"/>
  <c r="X25" i="25"/>
  <c r="C27" i="25"/>
  <c r="D27" i="25"/>
  <c r="E27" i="25"/>
  <c r="G27" i="25"/>
  <c r="H27" i="25"/>
  <c r="I27" i="25"/>
  <c r="M27" i="25"/>
  <c r="N27" i="25"/>
  <c r="P27" i="25"/>
  <c r="W27" i="25"/>
  <c r="C28" i="25"/>
  <c r="D28" i="25"/>
  <c r="E28" i="25"/>
  <c r="G28" i="25"/>
  <c r="H28" i="25"/>
  <c r="I28" i="25"/>
  <c r="M28" i="25"/>
  <c r="N28" i="25"/>
  <c r="P28" i="25"/>
  <c r="W28" i="25"/>
  <c r="C29" i="25"/>
  <c r="D29" i="25"/>
  <c r="E29" i="25"/>
  <c r="G29" i="25"/>
  <c r="H29" i="25"/>
  <c r="I29" i="25"/>
  <c r="M29" i="25"/>
  <c r="N29" i="25"/>
  <c r="P29" i="25"/>
  <c r="W29" i="25"/>
  <c r="C30" i="25"/>
  <c r="D30" i="25"/>
  <c r="E30" i="25"/>
  <c r="G30" i="25"/>
  <c r="H30" i="25"/>
  <c r="I30" i="25"/>
  <c r="M30" i="25"/>
  <c r="N30" i="25"/>
  <c r="P30" i="25"/>
  <c r="W30" i="25"/>
  <c r="C31" i="25"/>
  <c r="D31" i="25"/>
  <c r="E31" i="25"/>
  <c r="G31" i="25"/>
  <c r="H31" i="25"/>
  <c r="I31" i="25"/>
  <c r="M31" i="25"/>
  <c r="N31" i="25"/>
  <c r="P31" i="25"/>
  <c r="W31" i="25"/>
  <c r="C32" i="25"/>
  <c r="D32" i="25"/>
  <c r="E32" i="25"/>
  <c r="G32" i="25"/>
  <c r="H32" i="25"/>
  <c r="I32" i="25"/>
  <c r="M32" i="25"/>
  <c r="N32" i="25"/>
  <c r="P32" i="25"/>
  <c r="W32" i="25"/>
  <c r="K35" i="25"/>
  <c r="R35" i="25"/>
  <c r="T35" i="25"/>
  <c r="V35" i="25"/>
  <c r="X35" i="25"/>
  <c r="K36" i="25"/>
  <c r="R36" i="25"/>
  <c r="T36" i="25"/>
  <c r="V36" i="25"/>
  <c r="X36" i="25"/>
  <c r="K37" i="25"/>
  <c r="R37" i="25"/>
  <c r="T37" i="25"/>
  <c r="V37" i="25"/>
  <c r="X37" i="25"/>
  <c r="K39" i="25"/>
  <c r="R39" i="25"/>
  <c r="T39" i="25"/>
  <c r="V39" i="25"/>
  <c r="X39" i="25"/>
  <c r="C41" i="25"/>
  <c r="D41" i="25"/>
  <c r="E41" i="25"/>
  <c r="G41" i="25"/>
  <c r="H41" i="25"/>
  <c r="I41" i="25"/>
  <c r="M41" i="25"/>
  <c r="N41" i="25"/>
  <c r="P41" i="25"/>
  <c r="W41" i="25"/>
  <c r="C42" i="25"/>
  <c r="D42" i="25"/>
  <c r="E42" i="25"/>
  <c r="G42" i="25"/>
  <c r="H42" i="25"/>
  <c r="I42" i="25"/>
  <c r="M42" i="25"/>
  <c r="N42" i="25"/>
  <c r="P42" i="25"/>
  <c r="W42" i="25"/>
  <c r="C43" i="25"/>
  <c r="D43" i="25"/>
  <c r="E43" i="25"/>
  <c r="G43" i="25"/>
  <c r="H43" i="25"/>
  <c r="I43" i="25"/>
  <c r="M43" i="25"/>
  <c r="N43" i="25"/>
  <c r="P43" i="25"/>
  <c r="W43" i="25"/>
  <c r="C44" i="25"/>
  <c r="D44" i="25"/>
  <c r="E44" i="25"/>
  <c r="G44" i="25"/>
  <c r="H44" i="25"/>
  <c r="I44" i="25"/>
  <c r="M44" i="25"/>
  <c r="N44" i="25"/>
  <c r="P44" i="25"/>
  <c r="W44" i="25"/>
  <c r="C45" i="25"/>
  <c r="D45" i="25"/>
  <c r="E45" i="25"/>
  <c r="G45" i="25"/>
  <c r="H45" i="25"/>
  <c r="I45" i="25"/>
  <c r="M45" i="25"/>
  <c r="N45" i="25"/>
  <c r="P45" i="25"/>
  <c r="W45" i="25"/>
  <c r="C46" i="25"/>
  <c r="D46" i="25"/>
  <c r="E46" i="25"/>
  <c r="G46" i="25"/>
  <c r="H46" i="25"/>
  <c r="I46" i="25"/>
  <c r="M46" i="25"/>
  <c r="N46" i="25"/>
  <c r="P46" i="25"/>
  <c r="W46" i="25"/>
  <c r="X14" i="25" l="1"/>
  <c r="X18" i="25"/>
  <c r="X15" i="25"/>
  <c r="X17" i="25"/>
  <c r="X13" i="25"/>
  <c r="X16" i="25"/>
  <c r="V16" i="25"/>
  <c r="V13" i="25"/>
  <c r="V18" i="25"/>
  <c r="V17" i="25"/>
  <c r="V15" i="25"/>
  <c r="V14" i="25"/>
  <c r="T17" i="25"/>
  <c r="T16" i="25"/>
  <c r="T18" i="25"/>
  <c r="T13" i="25"/>
  <c r="T15" i="25"/>
  <c r="T14" i="25"/>
  <c r="N16" i="25"/>
  <c r="N13" i="25"/>
  <c r="N15" i="25"/>
  <c r="N18" i="25"/>
  <c r="N14" i="25"/>
  <c r="N17" i="25"/>
  <c r="R16" i="25"/>
  <c r="R18" i="25"/>
  <c r="R15" i="25"/>
  <c r="R13" i="25"/>
  <c r="R17" i="25"/>
  <c r="R14" i="25"/>
  <c r="K14" i="25"/>
  <c r="K13" i="25"/>
  <c r="K15" i="25"/>
  <c r="K17" i="25"/>
  <c r="K16" i="25"/>
  <c r="K18" i="25"/>
  <c r="J16" i="25"/>
  <c r="J15" i="25"/>
  <c r="J17" i="25"/>
  <c r="J18" i="25"/>
  <c r="J13" i="25"/>
  <c r="J14" i="25"/>
  <c r="C36" i="11"/>
  <c r="D36" i="11"/>
  <c r="J104" i="26"/>
  <c r="J65" i="26"/>
  <c r="R29" i="25"/>
  <c r="K28" i="25"/>
  <c r="J44" i="25"/>
  <c r="J46" i="25"/>
  <c r="J28" i="25"/>
  <c r="R46" i="25"/>
  <c r="J41" i="25"/>
  <c r="J43" i="25"/>
  <c r="J27" i="25"/>
  <c r="R30" i="25"/>
  <c r="J42" i="25"/>
  <c r="J30" i="25"/>
  <c r="J31" i="25"/>
  <c r="J29" i="25"/>
  <c r="X27" i="25"/>
  <c r="J32" i="25"/>
  <c r="V42" i="25"/>
  <c r="V28" i="25"/>
  <c r="J45" i="25"/>
  <c r="T27" i="25"/>
  <c r="R31" i="25"/>
  <c r="T29" i="25"/>
  <c r="J22" i="24"/>
  <c r="N38" i="24"/>
  <c r="J21" i="24"/>
  <c r="X20" i="24"/>
  <c r="T22" i="24"/>
  <c r="N22" i="24"/>
  <c r="V23" i="24"/>
  <c r="T23" i="24"/>
  <c r="K24" i="24"/>
  <c r="V21" i="24"/>
  <c r="T24" i="24"/>
  <c r="J33" i="24"/>
  <c r="N33" i="24"/>
  <c r="J34" i="24"/>
  <c r="N34" i="24"/>
  <c r="J24" i="24"/>
  <c r="J35" i="24"/>
  <c r="N35" i="24"/>
  <c r="R35" i="24"/>
  <c r="J36" i="24"/>
  <c r="N36" i="24"/>
  <c r="J23" i="24"/>
  <c r="X22" i="24"/>
  <c r="N20" i="24"/>
  <c r="N23" i="24"/>
  <c r="T35" i="24"/>
  <c r="X21" i="24"/>
  <c r="B76" i="13" s="1"/>
  <c r="H76" i="13" s="1"/>
  <c r="N24" i="24"/>
  <c r="R36" i="24"/>
  <c r="T21" i="24"/>
  <c r="V19" i="24"/>
  <c r="J19" i="24"/>
  <c r="V24" i="24"/>
  <c r="N21" i="24"/>
  <c r="X33" i="24"/>
  <c r="V34" i="24"/>
  <c r="V33" i="24"/>
  <c r="R33" i="24"/>
  <c r="T34" i="24"/>
  <c r="T19" i="24"/>
  <c r="J20" i="24"/>
  <c r="T33" i="24"/>
  <c r="K23" i="24"/>
  <c r="X19" i="24"/>
  <c r="R34" i="24"/>
  <c r="V22" i="24"/>
  <c r="R21" i="24"/>
  <c r="R19" i="24"/>
  <c r="V57" i="23"/>
  <c r="V19" i="23"/>
  <c r="V40" i="23"/>
  <c r="R35" i="23"/>
  <c r="R52" i="23"/>
  <c r="R23" i="23"/>
  <c r="V22" i="23"/>
  <c r="V20" i="23"/>
  <c r="V38" i="23"/>
  <c r="K39" i="23"/>
  <c r="K22" i="23"/>
  <c r="N38" i="23"/>
  <c r="J56" i="23"/>
  <c r="R19" i="23"/>
  <c r="R40" i="23"/>
  <c r="R57" i="23"/>
  <c r="R55" i="23"/>
  <c r="J18" i="23"/>
  <c r="R20" i="23"/>
  <c r="R39" i="23"/>
  <c r="R56" i="23"/>
  <c r="J20" i="23"/>
  <c r="K35" i="23"/>
  <c r="R21" i="23"/>
  <c r="R37" i="23"/>
  <c r="R54" i="23"/>
  <c r="V21" i="23"/>
  <c r="R53" i="23"/>
  <c r="J22" i="23"/>
  <c r="K19" i="23"/>
  <c r="V23" i="23"/>
  <c r="K20" i="23"/>
  <c r="R36" i="23"/>
  <c r="J36" i="23"/>
  <c r="V52" i="23"/>
  <c r="J37" i="23"/>
  <c r="J57" i="23"/>
  <c r="R38" i="23"/>
  <c r="V53" i="23"/>
  <c r="J39" i="23"/>
  <c r="R18" i="23"/>
  <c r="V54" i="23"/>
  <c r="K36" i="23"/>
  <c r="V55" i="23"/>
  <c r="K37" i="23"/>
  <c r="V35" i="23"/>
  <c r="V56" i="23"/>
  <c r="X18" i="23"/>
  <c r="J55" i="23"/>
  <c r="V36" i="23"/>
  <c r="T21" i="23"/>
  <c r="J21" i="23"/>
  <c r="T20" i="23"/>
  <c r="J23" i="23"/>
  <c r="T38" i="23"/>
  <c r="R22" i="23"/>
  <c r="V37" i="23"/>
  <c r="T19" i="23"/>
  <c r="J38" i="23"/>
  <c r="X21" i="23"/>
  <c r="J53" i="23"/>
  <c r="V18" i="23"/>
  <c r="V39" i="23"/>
  <c r="J54" i="23"/>
  <c r="J19" i="23"/>
  <c r="N78" i="13"/>
  <c r="M78" i="13"/>
  <c r="L78" i="13"/>
  <c r="K78" i="13"/>
  <c r="J78" i="13"/>
  <c r="I78" i="13"/>
  <c r="H78" i="13"/>
  <c r="O69" i="12"/>
  <c r="N69" i="12"/>
  <c r="D170" i="12"/>
  <c r="D171" i="12" s="1"/>
  <c r="W78" i="13"/>
  <c r="F78" i="13"/>
  <c r="U78" i="13"/>
  <c r="X78" i="13"/>
  <c r="G78" i="13"/>
  <c r="S78" i="13"/>
  <c r="E78" i="13"/>
  <c r="V78" i="13"/>
  <c r="T78" i="13"/>
  <c r="R78" i="13"/>
  <c r="Q78" i="13"/>
  <c r="P78" i="13"/>
  <c r="U69" i="12"/>
  <c r="T69" i="12"/>
  <c r="V43" i="25"/>
  <c r="T41" i="25"/>
  <c r="R43" i="25"/>
  <c r="R45" i="25"/>
  <c r="R27" i="25"/>
  <c r="X43" i="25"/>
  <c r="V45" i="25"/>
  <c r="K27" i="25"/>
  <c r="T46" i="25"/>
  <c r="R28" i="25"/>
  <c r="V44" i="25"/>
  <c r="K41" i="25"/>
  <c r="B68" i="14"/>
  <c r="X68" i="14" s="1"/>
  <c r="K30" i="25"/>
  <c r="X41" i="25"/>
  <c r="K31" i="25"/>
  <c r="K32" i="25"/>
  <c r="T30" i="25"/>
  <c r="T28" i="25"/>
  <c r="K29" i="25"/>
  <c r="V41" i="25"/>
  <c r="V29" i="25"/>
  <c r="K46" i="25"/>
  <c r="T45" i="25"/>
  <c r="X42" i="25"/>
  <c r="V27" i="25"/>
  <c r="D20" i="27"/>
  <c r="D19" i="26"/>
  <c r="D23" i="26"/>
  <c r="D25" i="26" s="1"/>
  <c r="J19" i="26"/>
  <c r="J23" i="26"/>
  <c r="J25" i="26" s="1"/>
  <c r="J26" i="26" s="1"/>
  <c r="B19" i="26"/>
  <c r="B23" i="26"/>
  <c r="B25" i="26" s="1"/>
  <c r="C19" i="26"/>
  <c r="C23" i="26"/>
  <c r="C25" i="26" s="1"/>
  <c r="F23" i="26"/>
  <c r="F25" i="26" s="1"/>
  <c r="F26" i="26" s="1"/>
  <c r="F19" i="26"/>
  <c r="C104" i="26"/>
  <c r="D104" i="26"/>
  <c r="K33" i="24"/>
  <c r="K19" i="24"/>
  <c r="K20" i="24"/>
  <c r="K21" i="24"/>
  <c r="K22" i="24"/>
  <c r="J52" i="23"/>
  <c r="X55" i="23"/>
  <c r="K38" i="23"/>
  <c r="K40" i="23"/>
  <c r="J40" i="23"/>
  <c r="J35" i="23"/>
  <c r="X39" i="23"/>
  <c r="X40" i="23"/>
  <c r="K55" i="23"/>
  <c r="T52" i="23"/>
  <c r="X53" i="23"/>
  <c r="X56" i="23"/>
  <c r="X52" i="23"/>
  <c r="K23" i="23"/>
  <c r="K18" i="23"/>
  <c r="K21" i="23"/>
  <c r="K38" i="24"/>
  <c r="R24" i="24"/>
  <c r="K37" i="24"/>
  <c r="R23" i="24"/>
  <c r="K36" i="24"/>
  <c r="R22" i="24"/>
  <c r="V20" i="24"/>
  <c r="K35" i="24"/>
  <c r="T20" i="24"/>
  <c r="K34" i="24"/>
  <c r="R20" i="24"/>
  <c r="X38" i="24"/>
  <c r="X37" i="24"/>
  <c r="V38" i="24"/>
  <c r="X36" i="24"/>
  <c r="T38" i="24"/>
  <c r="V37" i="24"/>
  <c r="X35" i="24"/>
  <c r="R38" i="24"/>
  <c r="T37" i="24"/>
  <c r="V36" i="24"/>
  <c r="X34" i="24"/>
  <c r="X24" i="24"/>
  <c r="R37" i="24"/>
  <c r="T36" i="24"/>
  <c r="V35" i="24"/>
  <c r="X23" i="24"/>
  <c r="K57" i="23"/>
  <c r="X38" i="23"/>
  <c r="X35" i="23"/>
  <c r="T57" i="23"/>
  <c r="T18" i="23"/>
  <c r="K54" i="23"/>
  <c r="K53" i="23"/>
  <c r="T37" i="23"/>
  <c r="X23" i="23"/>
  <c r="T56" i="23"/>
  <c r="X37" i="23"/>
  <c r="B69" i="12" s="1"/>
  <c r="J69" i="12" s="1"/>
  <c r="K52" i="23"/>
  <c r="T36" i="23"/>
  <c r="X22" i="23"/>
  <c r="T55" i="23"/>
  <c r="T40" i="23"/>
  <c r="X36" i="23"/>
  <c r="T35" i="23"/>
  <c r="T54" i="23"/>
  <c r="T39" i="23"/>
  <c r="T23" i="23"/>
  <c r="X20" i="23"/>
  <c r="B68" i="12" s="1"/>
  <c r="L68" i="12" s="1"/>
  <c r="K56" i="23"/>
  <c r="X57" i="23"/>
  <c r="T22" i="23"/>
  <c r="X19" i="23"/>
  <c r="X54" i="23"/>
  <c r="T53" i="23"/>
  <c r="R42" i="25"/>
  <c r="T43" i="25"/>
  <c r="K45" i="25"/>
  <c r="K44" i="25"/>
  <c r="T44" i="25"/>
  <c r="K42" i="25"/>
  <c r="X31" i="25"/>
  <c r="K43" i="25"/>
  <c r="V32" i="25"/>
  <c r="X30" i="25"/>
  <c r="T42" i="25"/>
  <c r="X46" i="25"/>
  <c r="X45" i="25"/>
  <c r="T32" i="25"/>
  <c r="V31" i="25"/>
  <c r="X29" i="25"/>
  <c r="B69" i="14" s="1"/>
  <c r="E69" i="14" s="1"/>
  <c r="R44" i="25"/>
  <c r="R41" i="25"/>
  <c r="X32" i="25"/>
  <c r="V46" i="25"/>
  <c r="X44" i="25"/>
  <c r="R32" i="25"/>
  <c r="T31" i="25"/>
  <c r="V30" i="25"/>
  <c r="X28" i="25"/>
  <c r="B19" i="20"/>
  <c r="B17" i="20"/>
  <c r="B16" i="20"/>
  <c r="B15" i="20"/>
  <c r="B14" i="20"/>
  <c r="B53" i="20" s="1"/>
  <c r="E44" i="21"/>
  <c r="E43" i="21"/>
  <c r="E42" i="21"/>
  <c r="E41" i="21"/>
  <c r="E40" i="21"/>
  <c r="B5" i="14"/>
  <c r="B5" i="13"/>
  <c r="E52" i="21"/>
  <c r="E51" i="21"/>
  <c r="E50" i="21"/>
  <c r="E49" i="21"/>
  <c r="E39" i="21"/>
  <c r="E38" i="21"/>
  <c r="E37" i="21"/>
  <c r="D48" i="14"/>
  <c r="D46" i="14"/>
  <c r="D56" i="13"/>
  <c r="D54" i="13"/>
  <c r="D52" i="12"/>
  <c r="D50" i="12"/>
  <c r="C157" i="12" s="1"/>
  <c r="D66" i="13"/>
  <c r="D59" i="12"/>
  <c r="B49" i="20"/>
  <c r="B47" i="20"/>
  <c r="B46" i="20"/>
  <c r="B45" i="20"/>
  <c r="B44" i="20"/>
  <c r="B48" i="20"/>
  <c r="B8" i="20"/>
  <c r="B7" i="20"/>
  <c r="E144" i="13"/>
  <c r="F144" i="13" s="1"/>
  <c r="G144" i="13" s="1"/>
  <c r="H144" i="13" s="1"/>
  <c r="I144" i="13" s="1"/>
  <c r="J144" i="13" s="1"/>
  <c r="K144" i="13" s="1"/>
  <c r="L144" i="13" s="1"/>
  <c r="M144" i="13" s="1"/>
  <c r="N144" i="13" s="1"/>
  <c r="O144" i="13" s="1"/>
  <c r="P144" i="13" s="1"/>
  <c r="X141" i="13"/>
  <c r="W141" i="13"/>
  <c r="V141" i="13"/>
  <c r="U141" i="13"/>
  <c r="T141" i="13"/>
  <c r="S141" i="13"/>
  <c r="R141" i="13"/>
  <c r="Q141" i="13"/>
  <c r="P141" i="13"/>
  <c r="O141" i="13"/>
  <c r="N141" i="13"/>
  <c r="M141" i="13"/>
  <c r="L141" i="13"/>
  <c r="K141" i="13"/>
  <c r="J141" i="13"/>
  <c r="I141" i="13"/>
  <c r="H141" i="13"/>
  <c r="G141" i="13"/>
  <c r="F141" i="13"/>
  <c r="E141" i="13"/>
  <c r="D141" i="13"/>
  <c r="E137" i="14"/>
  <c r="F137" i="14" s="1"/>
  <c r="G137" i="14" s="1"/>
  <c r="H137" i="14" s="1"/>
  <c r="I137" i="14" s="1"/>
  <c r="J137" i="14" s="1"/>
  <c r="K137" i="14" s="1"/>
  <c r="L137" i="14" s="1"/>
  <c r="M137" i="14" s="1"/>
  <c r="N137" i="14" s="1"/>
  <c r="O137" i="14" s="1"/>
  <c r="P137" i="14" s="1"/>
  <c r="X134" i="14"/>
  <c r="X136" i="14" s="1"/>
  <c r="W134" i="14"/>
  <c r="W136" i="14" s="1"/>
  <c r="V134" i="14"/>
  <c r="V136" i="14" s="1"/>
  <c r="U134" i="14"/>
  <c r="U136" i="14" s="1"/>
  <c r="T134" i="14"/>
  <c r="T136" i="14" s="1"/>
  <c r="S134" i="14"/>
  <c r="S136" i="14" s="1"/>
  <c r="R134" i="14"/>
  <c r="R136" i="14" s="1"/>
  <c r="Q134" i="14"/>
  <c r="Q136" i="14" s="1"/>
  <c r="P134" i="14"/>
  <c r="P136" i="14" s="1"/>
  <c r="O134" i="14"/>
  <c r="O136" i="14" s="1"/>
  <c r="N134" i="14"/>
  <c r="N136" i="14" s="1"/>
  <c r="M134" i="14"/>
  <c r="M136" i="14" s="1"/>
  <c r="L134" i="14"/>
  <c r="L136" i="14" s="1"/>
  <c r="K134" i="14"/>
  <c r="K136" i="14" s="1"/>
  <c r="J134" i="14"/>
  <c r="J136" i="14" s="1"/>
  <c r="I134" i="14"/>
  <c r="I136" i="14" s="1"/>
  <c r="H134" i="14"/>
  <c r="H136" i="14" s="1"/>
  <c r="G134" i="14"/>
  <c r="G136" i="14" s="1"/>
  <c r="F134" i="14"/>
  <c r="F136" i="14" s="1"/>
  <c r="E134" i="14"/>
  <c r="E136" i="14" s="1"/>
  <c r="D134" i="14"/>
  <c r="D136" i="14" s="1"/>
  <c r="D139" i="14" s="1"/>
  <c r="E146" i="12"/>
  <c r="F146" i="12" s="1"/>
  <c r="G146" i="12" s="1"/>
  <c r="H146" i="12" s="1"/>
  <c r="I146" i="12" s="1"/>
  <c r="J146" i="12" s="1"/>
  <c r="X143" i="12"/>
  <c r="X145" i="12" s="1"/>
  <c r="W143" i="12"/>
  <c r="W145" i="12" s="1"/>
  <c r="V143" i="12"/>
  <c r="V145" i="12" s="1"/>
  <c r="U143" i="12"/>
  <c r="U145" i="12" s="1"/>
  <c r="T143" i="12"/>
  <c r="T145" i="12" s="1"/>
  <c r="S143" i="12"/>
  <c r="S145" i="12" s="1"/>
  <c r="R143" i="12"/>
  <c r="R145" i="12" s="1"/>
  <c r="Q143" i="12"/>
  <c r="Q145" i="12" s="1"/>
  <c r="P143" i="12"/>
  <c r="P145" i="12" s="1"/>
  <c r="O143" i="12"/>
  <c r="O145" i="12" s="1"/>
  <c r="N143" i="12"/>
  <c r="N145" i="12" s="1"/>
  <c r="M143" i="12"/>
  <c r="M145" i="12" s="1"/>
  <c r="L143" i="12"/>
  <c r="L145" i="12" s="1"/>
  <c r="K143" i="12"/>
  <c r="K145" i="12" s="1"/>
  <c r="J143" i="12"/>
  <c r="J145" i="12" s="1"/>
  <c r="I143" i="12"/>
  <c r="I145" i="12" s="1"/>
  <c r="H143" i="12"/>
  <c r="H145" i="12" s="1"/>
  <c r="G143" i="12"/>
  <c r="G145" i="12" s="1"/>
  <c r="F143" i="12"/>
  <c r="F145" i="12" s="1"/>
  <c r="E143" i="12"/>
  <c r="E145" i="12" s="1"/>
  <c r="D143" i="12"/>
  <c r="D145" i="12" s="1"/>
  <c r="D148" i="12" s="1"/>
  <c r="H11" i="11" l="1"/>
  <c r="D93" i="14"/>
  <c r="D26" i="26"/>
  <c r="D22" i="21"/>
  <c r="B20" i="20" s="1"/>
  <c r="B50" i="20" s="1"/>
  <c r="C26" i="26"/>
  <c r="C22" i="21"/>
  <c r="B26" i="26"/>
  <c r="B22" i="21"/>
  <c r="F68" i="12"/>
  <c r="G68" i="12"/>
  <c r="I48" i="13"/>
  <c r="I157" i="13" s="1"/>
  <c r="E47" i="13"/>
  <c r="E154" i="13" s="1"/>
  <c r="U47" i="13"/>
  <c r="U154" i="13" s="1"/>
  <c r="Q46" i="13"/>
  <c r="Q153" i="13" s="1"/>
  <c r="K48" i="13"/>
  <c r="K157" i="13" s="1"/>
  <c r="S46" i="13"/>
  <c r="S153" i="13" s="1"/>
  <c r="E46" i="13"/>
  <c r="E153" i="13" s="1"/>
  <c r="N48" i="13"/>
  <c r="N157" i="13" s="1"/>
  <c r="J47" i="13"/>
  <c r="J154" i="13" s="1"/>
  <c r="V46" i="13"/>
  <c r="V153" i="13" s="1"/>
  <c r="O48" i="13"/>
  <c r="O157" i="13" s="1"/>
  <c r="K47" i="13"/>
  <c r="K154" i="13" s="1"/>
  <c r="W46" i="13"/>
  <c r="W153" i="13" s="1"/>
  <c r="L47" i="13"/>
  <c r="L154" i="13" s="1"/>
  <c r="I46" i="13"/>
  <c r="I153" i="13" s="1"/>
  <c r="R48" i="13"/>
  <c r="R157" i="13" s="1"/>
  <c r="L46" i="13"/>
  <c r="L153" i="13" s="1"/>
  <c r="E48" i="13"/>
  <c r="E157" i="13" s="1"/>
  <c r="M46" i="13"/>
  <c r="M153" i="13" s="1"/>
  <c r="R47" i="13"/>
  <c r="R154" i="13" s="1"/>
  <c r="S47" i="13"/>
  <c r="S154" i="13" s="1"/>
  <c r="T47" i="13"/>
  <c r="T154" i="13" s="1"/>
  <c r="J48" i="13"/>
  <c r="J157" i="13" s="1"/>
  <c r="F47" i="13"/>
  <c r="F154" i="13" s="1"/>
  <c r="V47" i="13"/>
  <c r="V154" i="13" s="1"/>
  <c r="R46" i="13"/>
  <c r="R153" i="13" s="1"/>
  <c r="G47" i="13"/>
  <c r="G154" i="13" s="1"/>
  <c r="W47" i="13"/>
  <c r="W154" i="13" s="1"/>
  <c r="L48" i="13"/>
  <c r="L157" i="13" s="1"/>
  <c r="H47" i="13"/>
  <c r="H154" i="13" s="1"/>
  <c r="X47" i="13"/>
  <c r="X154" i="13" s="1"/>
  <c r="T46" i="13"/>
  <c r="T153" i="13" s="1"/>
  <c r="M48" i="13"/>
  <c r="M157" i="13" s="1"/>
  <c r="I47" i="13"/>
  <c r="I154" i="13" s="1"/>
  <c r="U46" i="13"/>
  <c r="U153" i="13" s="1"/>
  <c r="F46" i="13"/>
  <c r="F153" i="13" s="1"/>
  <c r="G46" i="13"/>
  <c r="G153" i="13" s="1"/>
  <c r="P48" i="13"/>
  <c r="P157" i="13" s="1"/>
  <c r="H46" i="13"/>
  <c r="H153" i="13" s="1"/>
  <c r="M47" i="13"/>
  <c r="M154" i="13" s="1"/>
  <c r="N47" i="13"/>
  <c r="N154" i="13" s="1"/>
  <c r="J46" i="13"/>
  <c r="J153" i="13" s="1"/>
  <c r="S48" i="13"/>
  <c r="S157" i="13" s="1"/>
  <c r="O47" i="13"/>
  <c r="O154" i="13" s="1"/>
  <c r="K46" i="13"/>
  <c r="K153" i="13" s="1"/>
  <c r="T48" i="13"/>
  <c r="T157" i="13" s="1"/>
  <c r="U48" i="13"/>
  <c r="U157" i="13" s="1"/>
  <c r="V48" i="13"/>
  <c r="V157" i="13" s="1"/>
  <c r="G48" i="13"/>
  <c r="G157" i="13" s="1"/>
  <c r="O46" i="13"/>
  <c r="O153" i="13" s="1"/>
  <c r="X48" i="13"/>
  <c r="X157" i="13" s="1"/>
  <c r="P46" i="13"/>
  <c r="P153" i="13" s="1"/>
  <c r="X46" i="13"/>
  <c r="X153" i="13" s="1"/>
  <c r="Q48" i="13"/>
  <c r="Q157" i="13" s="1"/>
  <c r="P47" i="13"/>
  <c r="P154" i="13" s="1"/>
  <c r="Q47" i="13"/>
  <c r="Q154" i="13" s="1"/>
  <c r="F48" i="13"/>
  <c r="F157" i="13" s="1"/>
  <c r="N46" i="13"/>
  <c r="N153" i="13" s="1"/>
  <c r="W48" i="13"/>
  <c r="W157" i="13" s="1"/>
  <c r="H48" i="13"/>
  <c r="H157" i="13" s="1"/>
  <c r="K68" i="12"/>
  <c r="H69" i="12"/>
  <c r="R43" i="12"/>
  <c r="R163" i="12" s="1"/>
  <c r="S43" i="12"/>
  <c r="S163" i="12" s="1"/>
  <c r="U43" i="12"/>
  <c r="U163" i="12" s="1"/>
  <c r="V43" i="12"/>
  <c r="V163" i="12" s="1"/>
  <c r="W43" i="12"/>
  <c r="W163" i="12" s="1"/>
  <c r="H43" i="12"/>
  <c r="H163" i="12" s="1"/>
  <c r="X43" i="12"/>
  <c r="X163" i="12" s="1"/>
  <c r="N43" i="12"/>
  <c r="N163" i="12" s="1"/>
  <c r="O43" i="12"/>
  <c r="O163" i="12" s="1"/>
  <c r="P43" i="12"/>
  <c r="P163" i="12" s="1"/>
  <c r="Q43" i="12"/>
  <c r="Q163" i="12" s="1"/>
  <c r="T43" i="12"/>
  <c r="T163" i="12" s="1"/>
  <c r="E43" i="12"/>
  <c r="E163" i="12" s="1"/>
  <c r="F43" i="12"/>
  <c r="F163" i="12" s="1"/>
  <c r="G43" i="12"/>
  <c r="G163" i="12" s="1"/>
  <c r="I43" i="12"/>
  <c r="I163" i="12" s="1"/>
  <c r="J43" i="12"/>
  <c r="J163" i="12" s="1"/>
  <c r="K43" i="12"/>
  <c r="K163" i="12" s="1"/>
  <c r="L43" i="12"/>
  <c r="L163" i="12" s="1"/>
  <c r="M43" i="12"/>
  <c r="M163" i="12" s="1"/>
  <c r="T68" i="12"/>
  <c r="Q68" i="12"/>
  <c r="P68" i="12"/>
  <c r="M68" i="12"/>
  <c r="L69" i="12"/>
  <c r="W69" i="12"/>
  <c r="G76" i="13"/>
  <c r="L76" i="13"/>
  <c r="M76" i="13"/>
  <c r="D143" i="13"/>
  <c r="D146" i="13" s="1"/>
  <c r="D161" i="13"/>
  <c r="D162" i="13" s="1"/>
  <c r="D165" i="13" s="1"/>
  <c r="E143" i="13"/>
  <c r="E146" i="13" s="1"/>
  <c r="H143" i="13"/>
  <c r="H146" i="13" s="1"/>
  <c r="X143" i="13"/>
  <c r="R143" i="13"/>
  <c r="T143" i="13"/>
  <c r="V143" i="13"/>
  <c r="I143" i="13"/>
  <c r="I146" i="13" s="1"/>
  <c r="Q143" i="13"/>
  <c r="G143" i="13"/>
  <c r="G146" i="13" s="1"/>
  <c r="M143" i="13"/>
  <c r="M146" i="13" s="1"/>
  <c r="P143" i="13"/>
  <c r="P146" i="13" s="1"/>
  <c r="U143" i="13"/>
  <c r="W143" i="13"/>
  <c r="J143" i="13"/>
  <c r="J146" i="13" s="1"/>
  <c r="K143" i="13"/>
  <c r="K146" i="13" s="1"/>
  <c r="N143" i="13"/>
  <c r="N146" i="13" s="1"/>
  <c r="O143" i="13"/>
  <c r="O146" i="13" s="1"/>
  <c r="S143" i="13"/>
  <c r="F143" i="13"/>
  <c r="F146" i="13" s="1"/>
  <c r="L143" i="13"/>
  <c r="L146" i="13" s="1"/>
  <c r="S69" i="14"/>
  <c r="T69" i="14"/>
  <c r="P68" i="14"/>
  <c r="Q68" i="14"/>
  <c r="L68" i="14"/>
  <c r="N69" i="14"/>
  <c r="F69" i="14"/>
  <c r="J69" i="14"/>
  <c r="U69" i="14"/>
  <c r="M69" i="14"/>
  <c r="V69" i="14"/>
  <c r="N68" i="14"/>
  <c r="M68" i="14"/>
  <c r="U68" i="14"/>
  <c r="I68" i="14"/>
  <c r="V68" i="14"/>
  <c r="H68" i="14"/>
  <c r="T68" i="14"/>
  <c r="O69" i="14"/>
  <c r="K69" i="14"/>
  <c r="G68" i="14"/>
  <c r="F68" i="14"/>
  <c r="S68" i="14"/>
  <c r="Q69" i="14"/>
  <c r="K68" i="14"/>
  <c r="E68" i="14"/>
  <c r="O68" i="14"/>
  <c r="B17" i="15"/>
  <c r="B70" i="14"/>
  <c r="L69" i="14"/>
  <c r="R69" i="14"/>
  <c r="H69" i="14"/>
  <c r="W68" i="14"/>
  <c r="X69" i="14"/>
  <c r="I69" i="14"/>
  <c r="R68" i="14"/>
  <c r="P69" i="14"/>
  <c r="J68" i="14"/>
  <c r="W69" i="14"/>
  <c r="B93" i="14"/>
  <c r="G69" i="14"/>
  <c r="T76" i="13"/>
  <c r="Q76" i="13"/>
  <c r="R76" i="13"/>
  <c r="J76" i="13"/>
  <c r="W76" i="13"/>
  <c r="K76" i="13"/>
  <c r="X76" i="13"/>
  <c r="S76" i="13"/>
  <c r="I76" i="13"/>
  <c r="E76" i="13"/>
  <c r="B77" i="13"/>
  <c r="B16" i="15"/>
  <c r="F76" i="13"/>
  <c r="N76" i="13"/>
  <c r="B101" i="13"/>
  <c r="U76" i="13"/>
  <c r="O76" i="13"/>
  <c r="V76" i="13"/>
  <c r="P76" i="13"/>
  <c r="E68" i="12"/>
  <c r="I68" i="12"/>
  <c r="I69" i="12"/>
  <c r="M69" i="12"/>
  <c r="P69" i="12"/>
  <c r="S69" i="12"/>
  <c r="E69" i="12"/>
  <c r="Q69" i="12"/>
  <c r="R68" i="12"/>
  <c r="O68" i="12"/>
  <c r="N68" i="12"/>
  <c r="R69" i="12"/>
  <c r="K69" i="12"/>
  <c r="X69" i="12"/>
  <c r="S68" i="12"/>
  <c r="W68" i="12"/>
  <c r="B15" i="15"/>
  <c r="B70" i="12"/>
  <c r="F69" i="12"/>
  <c r="V69" i="12"/>
  <c r="V68" i="12"/>
  <c r="B93" i="12"/>
  <c r="H68" i="12"/>
  <c r="G69" i="12"/>
  <c r="U68" i="12"/>
  <c r="X68" i="12"/>
  <c r="J68" i="12"/>
  <c r="D149" i="12"/>
  <c r="D150" i="12" s="1"/>
  <c r="D162" i="12"/>
  <c r="U40" i="14"/>
  <c r="B72" i="14"/>
  <c r="C71" i="14"/>
  <c r="C72" i="14"/>
  <c r="B71" i="14"/>
  <c r="S41" i="12"/>
  <c r="C71" i="12"/>
  <c r="B71" i="12"/>
  <c r="C72" i="12"/>
  <c r="B72" i="12"/>
  <c r="X45" i="13"/>
  <c r="B79" i="13"/>
  <c r="B80" i="13"/>
  <c r="C79" i="13"/>
  <c r="C80" i="13"/>
  <c r="P40" i="12"/>
  <c r="Q40" i="12"/>
  <c r="W42" i="12"/>
  <c r="S44" i="13"/>
  <c r="X39" i="12"/>
  <c r="O40" i="12"/>
  <c r="O41" i="12"/>
  <c r="T42" i="12"/>
  <c r="U42" i="12"/>
  <c r="V42" i="12"/>
  <c r="U44" i="13"/>
  <c r="T44" i="13"/>
  <c r="R42" i="13"/>
  <c r="V44" i="13"/>
  <c r="W44" i="13"/>
  <c r="Q42" i="13"/>
  <c r="S42" i="13"/>
  <c r="U42" i="13"/>
  <c r="W43" i="13"/>
  <c r="B51" i="20"/>
  <c r="X43" i="13"/>
  <c r="B52" i="20"/>
  <c r="T42" i="13"/>
  <c r="T37" i="14"/>
  <c r="Q45" i="13"/>
  <c r="R40" i="12"/>
  <c r="S40" i="12"/>
  <c r="T40" i="12"/>
  <c r="V41" i="12"/>
  <c r="R39" i="12"/>
  <c r="X41" i="12"/>
  <c r="Q43" i="13"/>
  <c r="S45" i="13"/>
  <c r="T41" i="12"/>
  <c r="W42" i="13"/>
  <c r="O45" i="13"/>
  <c r="U40" i="12"/>
  <c r="V40" i="14"/>
  <c r="X40" i="12"/>
  <c r="W41" i="12"/>
  <c r="R45" i="13"/>
  <c r="S39" i="12"/>
  <c r="O42" i="12"/>
  <c r="R43" i="13"/>
  <c r="T45" i="13"/>
  <c r="T39" i="12"/>
  <c r="U45" i="13"/>
  <c r="U39" i="12"/>
  <c r="Q42" i="12"/>
  <c r="T43" i="13"/>
  <c r="P44" i="13"/>
  <c r="V45" i="13"/>
  <c r="V39" i="12"/>
  <c r="R42" i="12"/>
  <c r="O42" i="13"/>
  <c r="U43" i="13"/>
  <c r="Q44" i="13"/>
  <c r="W45" i="13"/>
  <c r="P41" i="12"/>
  <c r="Q41" i="12"/>
  <c r="V42" i="13"/>
  <c r="X44" i="13"/>
  <c r="P39" i="14"/>
  <c r="U41" i="12"/>
  <c r="X42" i="13"/>
  <c r="P45" i="13"/>
  <c r="O43" i="13"/>
  <c r="O39" i="12"/>
  <c r="P43" i="13"/>
  <c r="P42" i="12"/>
  <c r="S43" i="13"/>
  <c r="O44" i="13"/>
  <c r="W39" i="12"/>
  <c r="S42" i="12"/>
  <c r="P42" i="13"/>
  <c r="V43" i="13"/>
  <c r="R44" i="13"/>
  <c r="Q39" i="14"/>
  <c r="X37" i="14"/>
  <c r="U36" i="14"/>
  <c r="V36" i="14"/>
  <c r="X39" i="14"/>
  <c r="P40" i="14"/>
  <c r="Q36" i="14"/>
  <c r="U39" i="14"/>
  <c r="V39" i="14"/>
  <c r="O40" i="14"/>
  <c r="U37" i="14"/>
  <c r="R39" i="14"/>
  <c r="P37" i="14"/>
  <c r="V38" i="14"/>
  <c r="R40" i="14"/>
  <c r="P36" i="14"/>
  <c r="V37" i="14"/>
  <c r="R36" i="14"/>
  <c r="T39" i="14"/>
  <c r="P38" i="14"/>
  <c r="W39" i="14"/>
  <c r="W36" i="14"/>
  <c r="X36" i="14"/>
  <c r="Q37" i="14"/>
  <c r="W38" i="14"/>
  <c r="S40" i="14"/>
  <c r="W40" i="14"/>
  <c r="W37" i="14"/>
  <c r="O38" i="14"/>
  <c r="T38" i="14"/>
  <c r="O37" i="14"/>
  <c r="R37" i="14"/>
  <c r="X38" i="14"/>
  <c r="T40" i="14"/>
  <c r="O36" i="14"/>
  <c r="X40" i="14"/>
  <c r="S39" i="14"/>
  <c r="S36" i="14"/>
  <c r="T36" i="14"/>
  <c r="Q38" i="14"/>
  <c r="R38" i="14"/>
  <c r="S38" i="14"/>
  <c r="U38" i="14"/>
  <c r="Q40" i="14"/>
  <c r="S37" i="14"/>
  <c r="O39" i="14"/>
  <c r="P39" i="12"/>
  <c r="V40" i="12"/>
  <c r="R41" i="12"/>
  <c r="X42" i="12"/>
  <c r="Q39" i="12"/>
  <c r="W40" i="12"/>
  <c r="D51" i="12"/>
  <c r="B9" i="20"/>
  <c r="B11" i="20" s="1"/>
  <c r="F148" i="12"/>
  <c r="K139" i="14"/>
  <c r="J139" i="14"/>
  <c r="Q144" i="13"/>
  <c r="R144" i="13" s="1"/>
  <c r="S144" i="13" s="1"/>
  <c r="T144" i="13" s="1"/>
  <c r="U144" i="13" s="1"/>
  <c r="V144" i="13" s="1"/>
  <c r="W144" i="13" s="1"/>
  <c r="X144" i="13" s="1"/>
  <c r="E139" i="14"/>
  <c r="N139" i="14"/>
  <c r="F139" i="14"/>
  <c r="G139" i="14"/>
  <c r="H139" i="14"/>
  <c r="I139" i="14"/>
  <c r="O139" i="14"/>
  <c r="E148" i="12"/>
  <c r="P139" i="14"/>
  <c r="Q137" i="14"/>
  <c r="R137" i="14" s="1"/>
  <c r="S137" i="14" s="1"/>
  <c r="T137" i="14" s="1"/>
  <c r="U137" i="14" s="1"/>
  <c r="V137" i="14" s="1"/>
  <c r="W137" i="14" s="1"/>
  <c r="X137" i="14" s="1"/>
  <c r="X139" i="14" s="1"/>
  <c r="L139" i="14"/>
  <c r="M139" i="14"/>
  <c r="G148" i="12"/>
  <c r="H148" i="12"/>
  <c r="I148" i="12"/>
  <c r="J148" i="12"/>
  <c r="K146" i="12"/>
  <c r="D120" i="14" l="1"/>
  <c r="C120" i="14"/>
  <c r="F120" i="14"/>
  <c r="G120" i="14"/>
  <c r="E120" i="14"/>
  <c r="H120" i="14"/>
  <c r="I120" i="14"/>
  <c r="C128" i="13"/>
  <c r="D128" i="13"/>
  <c r="E128" i="13"/>
  <c r="F128" i="13"/>
  <c r="G128" i="13"/>
  <c r="H128" i="13"/>
  <c r="I128" i="13"/>
  <c r="B125" i="12"/>
  <c r="B121" i="12"/>
  <c r="B124" i="12"/>
  <c r="B122" i="12"/>
  <c r="B123" i="12"/>
  <c r="B126" i="12"/>
  <c r="B127" i="12"/>
  <c r="N155" i="13"/>
  <c r="N161" i="13" s="1"/>
  <c r="N158" i="13"/>
  <c r="J155" i="13"/>
  <c r="J161" i="13" s="1"/>
  <c r="J158" i="13"/>
  <c r="R155" i="13"/>
  <c r="R161" i="13" s="1"/>
  <c r="R158" i="13"/>
  <c r="V155" i="13"/>
  <c r="V161" i="13" s="1"/>
  <c r="V158" i="13"/>
  <c r="X155" i="13"/>
  <c r="X161" i="13" s="1"/>
  <c r="X158" i="13"/>
  <c r="G155" i="13"/>
  <c r="G161" i="13" s="1"/>
  <c r="G158" i="13"/>
  <c r="P155" i="13"/>
  <c r="P161" i="13" s="1"/>
  <c r="P158" i="13"/>
  <c r="F155" i="13"/>
  <c r="F161" i="13" s="1"/>
  <c r="F158" i="13"/>
  <c r="Q155" i="13"/>
  <c r="Q161" i="13" s="1"/>
  <c r="Q158" i="13"/>
  <c r="U155" i="13"/>
  <c r="U161" i="13" s="1"/>
  <c r="U158" i="13"/>
  <c r="M155" i="13"/>
  <c r="M161" i="13" s="1"/>
  <c r="M158" i="13"/>
  <c r="O155" i="13"/>
  <c r="O161" i="13" s="1"/>
  <c r="O158" i="13"/>
  <c r="T155" i="13"/>
  <c r="T161" i="13" s="1"/>
  <c r="T158" i="13"/>
  <c r="I155" i="13"/>
  <c r="I161" i="13" s="1"/>
  <c r="I158" i="13"/>
  <c r="K155" i="13"/>
  <c r="K161" i="13" s="1"/>
  <c r="K158" i="13"/>
  <c r="W155" i="13"/>
  <c r="W161" i="13" s="1"/>
  <c r="W158" i="13"/>
  <c r="H155" i="13"/>
  <c r="H161" i="13" s="1"/>
  <c r="H158" i="13"/>
  <c r="E155" i="13"/>
  <c r="E161" i="13" s="1"/>
  <c r="E158" i="13"/>
  <c r="S155" i="13"/>
  <c r="S161" i="13" s="1"/>
  <c r="S158" i="13"/>
  <c r="L155" i="13"/>
  <c r="L161" i="13" s="1"/>
  <c r="L158" i="13"/>
  <c r="X146" i="13"/>
  <c r="U70" i="14"/>
  <c r="W70" i="14"/>
  <c r="T70" i="14"/>
  <c r="Q70" i="14"/>
  <c r="F70" i="14"/>
  <c r="M70" i="14"/>
  <c r="P70" i="14"/>
  <c r="K70" i="14"/>
  <c r="S70" i="14"/>
  <c r="R70" i="14"/>
  <c r="L70" i="14"/>
  <c r="I70" i="14"/>
  <c r="N70" i="14"/>
  <c r="V70" i="14"/>
  <c r="G70" i="14"/>
  <c r="J70" i="14"/>
  <c r="H70" i="14"/>
  <c r="E70" i="14"/>
  <c r="X70" i="14"/>
  <c r="O70" i="14"/>
  <c r="L77" i="13"/>
  <c r="U77" i="13"/>
  <c r="X77" i="13"/>
  <c r="K77" i="13"/>
  <c r="O77" i="13"/>
  <c r="W77" i="13"/>
  <c r="G77" i="13"/>
  <c r="F77" i="13"/>
  <c r="Q77" i="13"/>
  <c r="E77" i="13"/>
  <c r="M77" i="13"/>
  <c r="I77" i="13"/>
  <c r="P77" i="13"/>
  <c r="S77" i="13"/>
  <c r="T77" i="13"/>
  <c r="N77" i="13"/>
  <c r="J77" i="13"/>
  <c r="H77" i="13"/>
  <c r="R77" i="13"/>
  <c r="V77" i="13"/>
  <c r="T70" i="12"/>
  <c r="E70" i="12"/>
  <c r="I70" i="12"/>
  <c r="L70" i="12"/>
  <c r="X70" i="12"/>
  <c r="S70" i="12"/>
  <c r="N70" i="12"/>
  <c r="O70" i="12"/>
  <c r="K70" i="12"/>
  <c r="W70" i="12"/>
  <c r="Q70" i="12"/>
  <c r="R70" i="12"/>
  <c r="G70" i="12"/>
  <c r="V70" i="12"/>
  <c r="F70" i="12"/>
  <c r="J70" i="12"/>
  <c r="P70" i="12"/>
  <c r="M70" i="12"/>
  <c r="H70" i="12"/>
  <c r="U70" i="12"/>
  <c r="E79" i="13"/>
  <c r="N72" i="14"/>
  <c r="S72" i="14"/>
  <c r="O72" i="14"/>
  <c r="P72" i="14"/>
  <c r="R72" i="14"/>
  <c r="Q72" i="14"/>
  <c r="I72" i="14"/>
  <c r="E72" i="14"/>
  <c r="U72" i="14"/>
  <c r="L72" i="14"/>
  <c r="V72" i="14"/>
  <c r="J72" i="14"/>
  <c r="T72" i="14"/>
  <c r="W72" i="14"/>
  <c r="X72" i="14"/>
  <c r="H72" i="14"/>
  <c r="K72" i="14"/>
  <c r="F72" i="14"/>
  <c r="G72" i="14"/>
  <c r="M72" i="14"/>
  <c r="J72" i="12"/>
  <c r="N72" i="12"/>
  <c r="O72" i="12"/>
  <c r="K72" i="12"/>
  <c r="L72" i="12"/>
  <c r="M72" i="12"/>
  <c r="U72" i="12"/>
  <c r="G72" i="12"/>
  <c r="R72" i="12"/>
  <c r="V72" i="12"/>
  <c r="W72" i="12"/>
  <c r="F72" i="12"/>
  <c r="T72" i="12"/>
  <c r="X72" i="12"/>
  <c r="H72" i="12"/>
  <c r="I72" i="12"/>
  <c r="P72" i="12"/>
  <c r="Q72" i="12"/>
  <c r="S72" i="12"/>
  <c r="E72" i="12"/>
  <c r="C81" i="13"/>
  <c r="Q79" i="13"/>
  <c r="V79" i="13"/>
  <c r="R79" i="13"/>
  <c r="U79" i="13"/>
  <c r="F79" i="13"/>
  <c r="S79" i="13"/>
  <c r="T79" i="13"/>
  <c r="L79" i="13"/>
  <c r="X79" i="13"/>
  <c r="K79" i="13"/>
  <c r="N79" i="13"/>
  <c r="O79" i="13"/>
  <c r="P79" i="13"/>
  <c r="M79" i="13"/>
  <c r="W79" i="13"/>
  <c r="G79" i="13"/>
  <c r="H79" i="13"/>
  <c r="I79" i="13"/>
  <c r="B81" i="13"/>
  <c r="J79" i="13"/>
  <c r="G71" i="12"/>
  <c r="W71" i="12"/>
  <c r="H71" i="12"/>
  <c r="X71" i="12"/>
  <c r="L71" i="12"/>
  <c r="I71" i="12"/>
  <c r="K71" i="12"/>
  <c r="J71" i="12"/>
  <c r="R71" i="12"/>
  <c r="M71" i="12"/>
  <c r="Q71" i="12"/>
  <c r="E71" i="12"/>
  <c r="F71" i="12"/>
  <c r="N71" i="12"/>
  <c r="O71" i="12"/>
  <c r="P71" i="12"/>
  <c r="S71" i="12"/>
  <c r="T71" i="12"/>
  <c r="U71" i="12"/>
  <c r="V71" i="12"/>
  <c r="B73" i="12"/>
  <c r="C73" i="12"/>
  <c r="T80" i="13"/>
  <c r="H80" i="13"/>
  <c r="I80" i="13"/>
  <c r="E80" i="13"/>
  <c r="U80" i="13"/>
  <c r="X80" i="13"/>
  <c r="F80" i="13"/>
  <c r="V80" i="13"/>
  <c r="G80" i="13"/>
  <c r="W80" i="13"/>
  <c r="O80" i="13"/>
  <c r="M80" i="13"/>
  <c r="R80" i="13"/>
  <c r="N80" i="13"/>
  <c r="P80" i="13"/>
  <c r="Q80" i="13"/>
  <c r="J80" i="13"/>
  <c r="K80" i="13"/>
  <c r="S80" i="13"/>
  <c r="L80" i="13"/>
  <c r="K71" i="14"/>
  <c r="L71" i="14"/>
  <c r="O71" i="14"/>
  <c r="P71" i="14"/>
  <c r="M71" i="14"/>
  <c r="B73" i="14"/>
  <c r="N71" i="14"/>
  <c r="F71" i="14"/>
  <c r="V71" i="14"/>
  <c r="E71" i="14"/>
  <c r="G71" i="14"/>
  <c r="U71" i="14"/>
  <c r="X71" i="14"/>
  <c r="S71" i="14"/>
  <c r="T71" i="14"/>
  <c r="H71" i="14"/>
  <c r="I71" i="14"/>
  <c r="J71" i="14"/>
  <c r="Q71" i="14"/>
  <c r="R71" i="14"/>
  <c r="W71" i="14"/>
  <c r="C73" i="14"/>
  <c r="C28" i="20"/>
  <c r="C26" i="20"/>
  <c r="C27" i="20"/>
  <c r="C25" i="20"/>
  <c r="C30" i="20"/>
  <c r="V139" i="14"/>
  <c r="Q139" i="14"/>
  <c r="W146" i="13"/>
  <c r="S146" i="13"/>
  <c r="V146" i="13"/>
  <c r="U146" i="13"/>
  <c r="R146" i="13"/>
  <c r="T146" i="13"/>
  <c r="Q146" i="13"/>
  <c r="R139" i="14"/>
  <c r="S139" i="14"/>
  <c r="T139" i="14"/>
  <c r="W139" i="14"/>
  <c r="U139" i="14"/>
  <c r="K148" i="12"/>
  <c r="L146" i="12"/>
  <c r="F162" i="13" l="1"/>
  <c r="F165" i="13" s="1"/>
  <c r="F58" i="13" s="1"/>
  <c r="F15" i="21" s="1"/>
  <c r="K162" i="13"/>
  <c r="K165" i="13" s="1"/>
  <c r="K58" i="13" s="1"/>
  <c r="G162" i="13"/>
  <c r="G165" i="13" s="1"/>
  <c r="G58" i="13" s="1"/>
  <c r="G15" i="21" s="1"/>
  <c r="X162" i="13"/>
  <c r="X165" i="13" s="1"/>
  <c r="X58" i="13" s="1"/>
  <c r="L162" i="13"/>
  <c r="L165" i="13" s="1"/>
  <c r="L58" i="13" s="1"/>
  <c r="M162" i="13"/>
  <c r="M165" i="13" s="1"/>
  <c r="M58" i="13" s="1"/>
  <c r="W162" i="13"/>
  <c r="W165" i="13" s="1"/>
  <c r="W58" i="13" s="1"/>
  <c r="P162" i="13"/>
  <c r="P165" i="13" s="1"/>
  <c r="P58" i="13" s="1"/>
  <c r="I162" i="13"/>
  <c r="I165" i="13" s="1"/>
  <c r="I58" i="13" s="1"/>
  <c r="T162" i="13"/>
  <c r="T165" i="13" s="1"/>
  <c r="T58" i="13" s="1"/>
  <c r="O162" i="13"/>
  <c r="O165" i="13" s="1"/>
  <c r="O58" i="13" s="1"/>
  <c r="V162" i="13"/>
  <c r="V165" i="13" s="1"/>
  <c r="V58" i="13" s="1"/>
  <c r="S162" i="13"/>
  <c r="S165" i="13" s="1"/>
  <c r="S58" i="13" s="1"/>
  <c r="R162" i="13"/>
  <c r="R165" i="13" s="1"/>
  <c r="R58" i="13" s="1"/>
  <c r="E162" i="13"/>
  <c r="E165" i="13" s="1"/>
  <c r="E58" i="13" s="1"/>
  <c r="E15" i="21" s="1"/>
  <c r="U162" i="13"/>
  <c r="U165" i="13" s="1"/>
  <c r="U58" i="13" s="1"/>
  <c r="J162" i="13"/>
  <c r="J165" i="13" s="1"/>
  <c r="J58" i="13" s="1"/>
  <c r="H162" i="13"/>
  <c r="H165" i="13" s="1"/>
  <c r="H58" i="13" s="1"/>
  <c r="Q162" i="13"/>
  <c r="Q165" i="13" s="1"/>
  <c r="Q58" i="13" s="1"/>
  <c r="N162" i="13"/>
  <c r="N165" i="13" s="1"/>
  <c r="N58" i="13" s="1"/>
  <c r="F73" i="14"/>
  <c r="F74" i="14" s="1"/>
  <c r="F75" i="14" s="1"/>
  <c r="F76" i="14" s="1"/>
  <c r="W73" i="12"/>
  <c r="W74" i="12" s="1"/>
  <c r="W75" i="12" s="1"/>
  <c r="W76" i="12" s="1"/>
  <c r="G73" i="12"/>
  <c r="G74" i="12" s="1"/>
  <c r="G75" i="12" s="1"/>
  <c r="G76" i="12" s="1"/>
  <c r="J81" i="13"/>
  <c r="J82" i="13" s="1"/>
  <c r="J83" i="13" s="1"/>
  <c r="J84" i="13" s="1"/>
  <c r="O73" i="12"/>
  <c r="O74" i="12" s="1"/>
  <c r="O75" i="12" s="1"/>
  <c r="O76" i="12" s="1"/>
  <c r="R73" i="14"/>
  <c r="R74" i="14" s="1"/>
  <c r="R75" i="14" s="1"/>
  <c r="R76" i="14" s="1"/>
  <c r="V81" i="13"/>
  <c r="V82" i="13" s="1"/>
  <c r="V83" i="13" s="1"/>
  <c r="V84" i="13" s="1"/>
  <c r="E73" i="12"/>
  <c r="E74" i="12" s="1"/>
  <c r="E75" i="12" s="1"/>
  <c r="E76" i="12" s="1"/>
  <c r="F73" i="12"/>
  <c r="F74" i="12" s="1"/>
  <c r="F75" i="12" s="1"/>
  <c r="F76" i="12" s="1"/>
  <c r="Q81" i="13"/>
  <c r="Q82" i="13" s="1"/>
  <c r="Q83" i="13" s="1"/>
  <c r="Q84" i="13" s="1"/>
  <c r="I73" i="14"/>
  <c r="I74" i="14" s="1"/>
  <c r="I75" i="14" s="1"/>
  <c r="I76" i="14" s="1"/>
  <c r="Q73" i="12"/>
  <c r="Q74" i="12" s="1"/>
  <c r="Q75" i="12" s="1"/>
  <c r="Q76" i="12" s="1"/>
  <c r="F81" i="13"/>
  <c r="F82" i="13" s="1"/>
  <c r="F83" i="13" s="1"/>
  <c r="F84" i="13" s="1"/>
  <c r="P73" i="12"/>
  <c r="P74" i="12" s="1"/>
  <c r="P75" i="12" s="1"/>
  <c r="P76" i="12" s="1"/>
  <c r="M73" i="14"/>
  <c r="M74" i="14" s="1"/>
  <c r="M75" i="14" s="1"/>
  <c r="M76" i="14" s="1"/>
  <c r="I81" i="13"/>
  <c r="I82" i="13" s="1"/>
  <c r="I83" i="13" s="1"/>
  <c r="I84" i="13" s="1"/>
  <c r="E81" i="13"/>
  <c r="E82" i="13" s="1"/>
  <c r="E83" i="13" s="1"/>
  <c r="E84" i="13" s="1"/>
  <c r="L73" i="14"/>
  <c r="L74" i="14" s="1"/>
  <c r="L75" i="14" s="1"/>
  <c r="L76" i="14" s="1"/>
  <c r="G81" i="13"/>
  <c r="G82" i="13" s="1"/>
  <c r="G83" i="13" s="1"/>
  <c r="G84" i="13" s="1"/>
  <c r="K73" i="14"/>
  <c r="K74" i="14" s="1"/>
  <c r="K75" i="14" s="1"/>
  <c r="K76" i="14" s="1"/>
  <c r="W81" i="13"/>
  <c r="W82" i="13"/>
  <c r="W83" i="13" s="1"/>
  <c r="W84" i="13" s="1"/>
  <c r="H73" i="14"/>
  <c r="H74" i="14" s="1"/>
  <c r="H75" i="14" s="1"/>
  <c r="H76" i="14" s="1"/>
  <c r="M73" i="12"/>
  <c r="M74" i="12"/>
  <c r="M75" i="12" s="1"/>
  <c r="M76" i="12" s="1"/>
  <c r="M81" i="13"/>
  <c r="M82" i="13" s="1"/>
  <c r="M83" i="13" s="1"/>
  <c r="M84" i="13" s="1"/>
  <c r="R73" i="12"/>
  <c r="R74" i="12" s="1"/>
  <c r="R75" i="12" s="1"/>
  <c r="R76" i="12" s="1"/>
  <c r="T73" i="12"/>
  <c r="T74" i="12" s="1"/>
  <c r="T75" i="12" s="1"/>
  <c r="T76" i="12" s="1"/>
  <c r="U81" i="13"/>
  <c r="U82" i="13" s="1"/>
  <c r="U83" i="13" s="1"/>
  <c r="U84" i="13" s="1"/>
  <c r="P73" i="14"/>
  <c r="P74" i="14" s="1"/>
  <c r="P75" i="14" s="1"/>
  <c r="P76" i="14" s="1"/>
  <c r="H81" i="13"/>
  <c r="H82" i="13" s="1"/>
  <c r="H83" i="13" s="1"/>
  <c r="H84" i="13" s="1"/>
  <c r="J73" i="14"/>
  <c r="J74" i="14" s="1"/>
  <c r="J75" i="14" s="1"/>
  <c r="J76" i="14" s="1"/>
  <c r="T73" i="14"/>
  <c r="T74" i="14" s="1"/>
  <c r="T75" i="14" s="1"/>
  <c r="T76" i="14" s="1"/>
  <c r="P81" i="13"/>
  <c r="P82" i="13" s="1"/>
  <c r="P83" i="13" s="1"/>
  <c r="P84" i="13" s="1"/>
  <c r="S73" i="14"/>
  <c r="S74" i="14" s="1"/>
  <c r="S75" i="14" s="1"/>
  <c r="S76" i="14" s="1"/>
  <c r="J73" i="12"/>
  <c r="J74" i="12" s="1"/>
  <c r="J75" i="12" s="1"/>
  <c r="J76" i="12" s="1"/>
  <c r="O81" i="13"/>
  <c r="O82" i="13" s="1"/>
  <c r="O83" i="13" s="1"/>
  <c r="O84" i="13" s="1"/>
  <c r="K73" i="12"/>
  <c r="K74" i="12" s="1"/>
  <c r="K75" i="12" s="1"/>
  <c r="K76" i="12" s="1"/>
  <c r="N81" i="13"/>
  <c r="N82" i="13" s="1"/>
  <c r="N83" i="13" s="1"/>
  <c r="N84" i="13" s="1"/>
  <c r="N73" i="14"/>
  <c r="N74" i="14" s="1"/>
  <c r="N75" i="14" s="1"/>
  <c r="N76" i="14" s="1"/>
  <c r="W73" i="14"/>
  <c r="W74" i="14" s="1"/>
  <c r="W75" i="14" s="1"/>
  <c r="W76" i="14" s="1"/>
  <c r="R81" i="13"/>
  <c r="R82" i="13" s="1"/>
  <c r="R83" i="13" s="1"/>
  <c r="R84" i="13" s="1"/>
  <c r="N73" i="12"/>
  <c r="N74" i="12" s="1"/>
  <c r="N75" i="12" s="1"/>
  <c r="N76" i="12" s="1"/>
  <c r="Q73" i="14"/>
  <c r="Q74" i="14" s="1"/>
  <c r="Q75" i="14" s="1"/>
  <c r="Q76" i="14" s="1"/>
  <c r="U73" i="14"/>
  <c r="U74" i="14" s="1"/>
  <c r="U75" i="14" s="1"/>
  <c r="U76" i="14" s="1"/>
  <c r="K81" i="13"/>
  <c r="K82" i="13" s="1"/>
  <c r="K83" i="13" s="1"/>
  <c r="K84" i="13" s="1"/>
  <c r="G73" i="14"/>
  <c r="G74" i="14" s="1"/>
  <c r="G75" i="14" s="1"/>
  <c r="G76" i="14" s="1"/>
  <c r="L73" i="12"/>
  <c r="L74" i="12" s="1"/>
  <c r="L75" i="12" s="1"/>
  <c r="L76" i="12" s="1"/>
  <c r="E73" i="14"/>
  <c r="E74" i="14" s="1"/>
  <c r="E75" i="14" s="1"/>
  <c r="E76" i="14" s="1"/>
  <c r="V73" i="12"/>
  <c r="V74" i="12" s="1"/>
  <c r="V75" i="12" s="1"/>
  <c r="V76" i="12" s="1"/>
  <c r="X73" i="12"/>
  <c r="X74" i="12" s="1"/>
  <c r="X75" i="12" s="1"/>
  <c r="X76" i="12" s="1"/>
  <c r="L81" i="13"/>
  <c r="L82" i="13" s="1"/>
  <c r="L83" i="13" s="1"/>
  <c r="L84" i="13" s="1"/>
  <c r="S81" i="13"/>
  <c r="S82" i="13" s="1"/>
  <c r="S83" i="13" s="1"/>
  <c r="S84" i="13" s="1"/>
  <c r="S73" i="12"/>
  <c r="S74" i="12" s="1"/>
  <c r="S75" i="12" s="1"/>
  <c r="S76" i="12" s="1"/>
  <c r="O73" i="14"/>
  <c r="O74" i="14" s="1"/>
  <c r="O75" i="14" s="1"/>
  <c r="O76" i="14" s="1"/>
  <c r="X73" i="14"/>
  <c r="X74" i="14" s="1"/>
  <c r="X75" i="14" s="1"/>
  <c r="X76" i="14" s="1"/>
  <c r="I73" i="12"/>
  <c r="I74" i="12" s="1"/>
  <c r="I75" i="12" s="1"/>
  <c r="I76" i="12" s="1"/>
  <c r="X81" i="13"/>
  <c r="X82" i="13" s="1"/>
  <c r="X83" i="13" s="1"/>
  <c r="X84" i="13" s="1"/>
  <c r="V73" i="14"/>
  <c r="V74" i="14" s="1"/>
  <c r="V75" i="14" s="1"/>
  <c r="V76" i="14" s="1"/>
  <c r="U73" i="12"/>
  <c r="U74" i="12" s="1"/>
  <c r="U75" i="12" s="1"/>
  <c r="U76" i="12" s="1"/>
  <c r="H73" i="12"/>
  <c r="H74" i="12" s="1"/>
  <c r="H75" i="12" s="1"/>
  <c r="H76" i="12" s="1"/>
  <c r="T81" i="13"/>
  <c r="T82" i="13" s="1"/>
  <c r="T83" i="13" s="1"/>
  <c r="T84" i="13" s="1"/>
  <c r="L148" i="12"/>
  <c r="M146" i="12"/>
  <c r="N146" i="12" l="1"/>
  <c r="M148" i="12"/>
  <c r="O146" i="12" l="1"/>
  <c r="N148" i="12"/>
  <c r="P146" i="12" l="1"/>
  <c r="O148" i="12"/>
  <c r="Q146" i="12" l="1"/>
  <c r="P148" i="12"/>
  <c r="R146" i="12" l="1"/>
  <c r="Q148" i="12"/>
  <c r="S146" i="12" l="1"/>
  <c r="R148" i="12"/>
  <c r="T146" i="12" l="1"/>
  <c r="S148" i="12"/>
  <c r="U146" i="12" l="1"/>
  <c r="T148" i="12"/>
  <c r="V146" i="12" l="1"/>
  <c r="U148" i="12"/>
  <c r="W146" i="12" l="1"/>
  <c r="V148" i="12"/>
  <c r="X146" i="12" l="1"/>
  <c r="X148" i="12" s="1"/>
  <c r="W148" i="12"/>
  <c r="D23" i="15" l="1"/>
  <c r="D24" i="15" s="1"/>
  <c r="C23" i="15"/>
  <c r="C24" i="15" s="1"/>
  <c r="B23" i="15"/>
  <c r="B24" i="15" s="1"/>
  <c r="D25" i="16" l="1"/>
  <c r="C25" i="16"/>
  <c r="B25" i="16"/>
  <c r="E33" i="16" l="1"/>
  <c r="C33" i="16"/>
  <c r="E32" i="16"/>
  <c r="C32" i="16"/>
  <c r="E31" i="16"/>
  <c r="C31" i="16"/>
  <c r="D11" i="16"/>
  <c r="C11" i="16"/>
  <c r="B11" i="16"/>
  <c r="B35" i="12"/>
  <c r="B25" i="12"/>
  <c r="B45" i="12" s="1"/>
  <c r="B15" i="12"/>
  <c r="B32" i="14"/>
  <c r="B23" i="14"/>
  <c r="B41" i="14" s="1"/>
  <c r="B14" i="14"/>
  <c r="B38" i="13"/>
  <c r="B27" i="13"/>
  <c r="B49" i="13" s="1"/>
  <c r="B16" i="13"/>
  <c r="D30" i="15"/>
  <c r="C30" i="15"/>
  <c r="B30" i="15"/>
  <c r="B58" i="14"/>
  <c r="C58" i="14"/>
  <c r="D58" i="14"/>
  <c r="B51" i="14"/>
  <c r="B54" i="14" s="1"/>
  <c r="C51" i="14"/>
  <c r="D51" i="14"/>
  <c r="B49" i="14"/>
  <c r="C49" i="14"/>
  <c r="C47" i="14"/>
  <c r="N40" i="14"/>
  <c r="M40" i="14"/>
  <c r="L40" i="14"/>
  <c r="K40" i="14"/>
  <c r="J40" i="14"/>
  <c r="I40" i="14"/>
  <c r="H40" i="14"/>
  <c r="G40" i="14"/>
  <c r="F40" i="14"/>
  <c r="E40" i="14"/>
  <c r="N39" i="14"/>
  <c r="M39" i="14"/>
  <c r="L39" i="14"/>
  <c r="K39" i="14"/>
  <c r="J39" i="14"/>
  <c r="I39" i="14"/>
  <c r="H39" i="14"/>
  <c r="G39" i="14"/>
  <c r="F39" i="14"/>
  <c r="E39" i="14"/>
  <c r="N38" i="14"/>
  <c r="M38" i="14"/>
  <c r="L38" i="14"/>
  <c r="K38" i="14"/>
  <c r="J38" i="14"/>
  <c r="I38" i="14"/>
  <c r="H38" i="14"/>
  <c r="G38" i="14"/>
  <c r="F38" i="14"/>
  <c r="E38" i="14"/>
  <c r="N37" i="14"/>
  <c r="M37" i="14"/>
  <c r="L37" i="14"/>
  <c r="K37" i="14"/>
  <c r="J37" i="14"/>
  <c r="I37" i="14"/>
  <c r="H37" i="14"/>
  <c r="G37" i="14"/>
  <c r="F37" i="14"/>
  <c r="E37" i="14"/>
  <c r="N36" i="14"/>
  <c r="M36" i="14"/>
  <c r="L36" i="14"/>
  <c r="K36" i="14"/>
  <c r="J36" i="14"/>
  <c r="I36" i="14"/>
  <c r="H36" i="14"/>
  <c r="G36" i="14"/>
  <c r="F36" i="14"/>
  <c r="E36" i="14"/>
  <c r="C5" i="14"/>
  <c r="B66" i="13"/>
  <c r="C66" i="13"/>
  <c r="B59" i="13"/>
  <c r="C59" i="13"/>
  <c r="D59" i="13"/>
  <c r="B57" i="13"/>
  <c r="C57" i="13"/>
  <c r="C55" i="13"/>
  <c r="N45" i="13"/>
  <c r="M45" i="13"/>
  <c r="L45" i="13"/>
  <c r="K45" i="13"/>
  <c r="J45" i="13"/>
  <c r="I45" i="13"/>
  <c r="H45" i="13"/>
  <c r="G45" i="13"/>
  <c r="F45" i="13"/>
  <c r="E45" i="13"/>
  <c r="N44" i="13"/>
  <c r="M44" i="13"/>
  <c r="L44" i="13"/>
  <c r="K44" i="13"/>
  <c r="J44" i="13"/>
  <c r="I44" i="13"/>
  <c r="H44" i="13"/>
  <c r="G44" i="13"/>
  <c r="F44" i="13"/>
  <c r="E44" i="13"/>
  <c r="N43" i="13"/>
  <c r="M43" i="13"/>
  <c r="L43" i="13"/>
  <c r="K43" i="13"/>
  <c r="J43" i="13"/>
  <c r="I43" i="13"/>
  <c r="H43" i="13"/>
  <c r="G43" i="13"/>
  <c r="F43" i="13"/>
  <c r="E43" i="13"/>
  <c r="N42" i="13"/>
  <c r="M42" i="13"/>
  <c r="L42" i="13"/>
  <c r="K42" i="13"/>
  <c r="J42" i="13"/>
  <c r="I42" i="13"/>
  <c r="H42" i="13"/>
  <c r="G42" i="13"/>
  <c r="F42" i="13"/>
  <c r="E42" i="13"/>
  <c r="C5" i="13"/>
  <c r="B59" i="12"/>
  <c r="C59" i="12"/>
  <c r="B55" i="12"/>
  <c r="B56" i="12" s="1"/>
  <c r="C55" i="12"/>
  <c r="C57" i="12" s="1"/>
  <c r="B53" i="12"/>
  <c r="C53" i="12"/>
  <c r="C51" i="12"/>
  <c r="N42" i="12"/>
  <c r="M42" i="12"/>
  <c r="L42" i="12"/>
  <c r="K42" i="12"/>
  <c r="J42" i="12"/>
  <c r="I42" i="12"/>
  <c r="H42" i="12"/>
  <c r="G42" i="12"/>
  <c r="F42" i="12"/>
  <c r="E42" i="12"/>
  <c r="N41" i="12"/>
  <c r="M41" i="12"/>
  <c r="L41" i="12"/>
  <c r="K41" i="12"/>
  <c r="J41" i="12"/>
  <c r="I41" i="12"/>
  <c r="H41" i="12"/>
  <c r="G41" i="12"/>
  <c r="F41" i="12"/>
  <c r="E41" i="12"/>
  <c r="N40" i="12"/>
  <c r="M40" i="12"/>
  <c r="L40" i="12"/>
  <c r="K40" i="12"/>
  <c r="J40" i="12"/>
  <c r="I40" i="12"/>
  <c r="H40" i="12"/>
  <c r="G40" i="12"/>
  <c r="F40" i="12"/>
  <c r="E40" i="12"/>
  <c r="N39" i="12"/>
  <c r="M39" i="12"/>
  <c r="L39" i="12"/>
  <c r="K39" i="12"/>
  <c r="J39" i="12"/>
  <c r="I39" i="12"/>
  <c r="H39" i="12"/>
  <c r="G39" i="12"/>
  <c r="F39" i="12"/>
  <c r="E39" i="12"/>
  <c r="C5" i="12"/>
  <c r="B36" i="15"/>
  <c r="C36" i="15"/>
  <c r="D36" i="15"/>
  <c r="B35" i="15"/>
  <c r="C35" i="15"/>
  <c r="D35" i="15"/>
  <c r="F110" i="14" l="1"/>
  <c r="C110" i="14"/>
  <c r="G110" i="14"/>
  <c r="H110" i="14"/>
  <c r="D110" i="14"/>
  <c r="E110" i="14"/>
  <c r="I110" i="14"/>
  <c r="D118" i="13"/>
  <c r="E118" i="13"/>
  <c r="G118" i="13"/>
  <c r="H118" i="13"/>
  <c r="I118" i="13"/>
  <c r="C118" i="13"/>
  <c r="F118" i="13"/>
  <c r="C110" i="12"/>
  <c r="D110" i="12"/>
  <c r="E110" i="12"/>
  <c r="F110" i="12"/>
  <c r="G110" i="12"/>
  <c r="H110" i="12"/>
  <c r="B45" i="16"/>
  <c r="C45" i="16"/>
  <c r="D45" i="16"/>
  <c r="E45" i="16"/>
  <c r="F45" i="16"/>
  <c r="I110" i="12"/>
  <c r="O77" i="12"/>
  <c r="E77" i="12"/>
  <c r="G77" i="12"/>
  <c r="J77" i="12"/>
  <c r="W77" i="12"/>
  <c r="L77" i="12"/>
  <c r="H77" i="12"/>
  <c r="U77" i="12"/>
  <c r="X77" i="12"/>
  <c r="M77" i="12"/>
  <c r="S77" i="12"/>
  <c r="K77" i="12"/>
  <c r="V77" i="12"/>
  <c r="R77" i="12"/>
  <c r="T77" i="12"/>
  <c r="I77" i="12"/>
  <c r="F77" i="12"/>
  <c r="Q77" i="12"/>
  <c r="P77" i="12"/>
  <c r="N77" i="12"/>
  <c r="X85" i="13"/>
  <c r="O85" i="13"/>
  <c r="V85" i="13"/>
  <c r="S85" i="13"/>
  <c r="P85" i="13"/>
  <c r="T85" i="13"/>
  <c r="J85" i="13"/>
  <c r="E85" i="13"/>
  <c r="H85" i="13"/>
  <c r="K85" i="13"/>
  <c r="Q85" i="13"/>
  <c r="G85" i="13"/>
  <c r="N85" i="13"/>
  <c r="L85" i="13"/>
  <c r="M85" i="13"/>
  <c r="I85" i="13"/>
  <c r="W85" i="13"/>
  <c r="U85" i="13"/>
  <c r="F85" i="13"/>
  <c r="R85" i="13"/>
  <c r="G77" i="14"/>
  <c r="U77" i="14"/>
  <c r="N77" i="14"/>
  <c r="V77" i="14"/>
  <c r="I77" i="14"/>
  <c r="X77" i="14"/>
  <c r="T77" i="14"/>
  <c r="R77" i="14"/>
  <c r="H77" i="14"/>
  <c r="S77" i="14"/>
  <c r="Q77" i="14"/>
  <c r="L77" i="14"/>
  <c r="W77" i="14"/>
  <c r="K77" i="14"/>
  <c r="E77" i="14"/>
  <c r="P77" i="14"/>
  <c r="J77" i="14"/>
  <c r="M77" i="14"/>
  <c r="O77" i="14"/>
  <c r="F77" i="14"/>
  <c r="B56" i="14"/>
  <c r="B57" i="14" s="1"/>
  <c r="B61" i="14" s="1"/>
  <c r="B62" i="14" s="1"/>
  <c r="B55" i="14"/>
  <c r="C53" i="14" s="1"/>
  <c r="C54" i="14" s="1"/>
  <c r="C56" i="14" s="1"/>
  <c r="C57" i="14" s="1"/>
  <c r="C61" i="14" s="1"/>
  <c r="C62" i="14" s="1"/>
  <c r="B62" i="13"/>
  <c r="C52" i="14"/>
  <c r="E50" i="12"/>
  <c r="E162" i="12" s="1"/>
  <c r="B37" i="15"/>
  <c r="B42" i="15" s="1"/>
  <c r="D49" i="15" s="1"/>
  <c r="C60" i="13"/>
  <c r="B52" i="14"/>
  <c r="C37" i="15"/>
  <c r="B43" i="15" s="1"/>
  <c r="D50" i="15" s="1"/>
  <c r="B60" i="13"/>
  <c r="B57" i="12"/>
  <c r="B58" i="12" s="1"/>
  <c r="B62" i="12" s="1"/>
  <c r="B63" i="12" s="1"/>
  <c r="C58" i="12"/>
  <c r="C62" i="12" s="1"/>
  <c r="C63" i="12" s="1"/>
  <c r="D37" i="15"/>
  <c r="C56" i="12"/>
  <c r="C49" i="15" l="1"/>
  <c r="D77" i="12"/>
  <c r="G31" i="16"/>
  <c r="D77" i="14"/>
  <c r="G33" i="16"/>
  <c r="C51" i="15"/>
  <c r="B51" i="13"/>
  <c r="B50" i="15"/>
  <c r="E50" i="15" s="1"/>
  <c r="F32" i="16"/>
  <c r="E88" i="13"/>
  <c r="F88" i="13" s="1"/>
  <c r="G88" i="13" s="1"/>
  <c r="H88" i="13" s="1"/>
  <c r="I88" i="13" s="1"/>
  <c r="J88" i="13" s="1"/>
  <c r="K88" i="13" s="1"/>
  <c r="L88" i="13" s="1"/>
  <c r="M88" i="13" s="1"/>
  <c r="N88" i="13" s="1"/>
  <c r="O88" i="13" s="1"/>
  <c r="P88" i="13" s="1"/>
  <c r="Q88" i="13" s="1"/>
  <c r="R88" i="13" s="1"/>
  <c r="S88" i="13" s="1"/>
  <c r="T88" i="13" s="1"/>
  <c r="U88" i="13" s="1"/>
  <c r="V88" i="13" s="1"/>
  <c r="W88" i="13" s="1"/>
  <c r="X88" i="13" s="1"/>
  <c r="B85" i="13"/>
  <c r="F33" i="16"/>
  <c r="E80" i="14"/>
  <c r="F80" i="14" s="1"/>
  <c r="G80" i="14" s="1"/>
  <c r="H80" i="14" s="1"/>
  <c r="I80" i="14" s="1"/>
  <c r="J80" i="14" s="1"/>
  <c r="K80" i="14" s="1"/>
  <c r="L80" i="14" s="1"/>
  <c r="M80" i="14" s="1"/>
  <c r="N80" i="14" s="1"/>
  <c r="O80" i="14" s="1"/>
  <c r="P80" i="14" s="1"/>
  <c r="Q80" i="14" s="1"/>
  <c r="R80" i="14" s="1"/>
  <c r="S80" i="14" s="1"/>
  <c r="T80" i="14" s="1"/>
  <c r="U80" i="14" s="1"/>
  <c r="V80" i="14" s="1"/>
  <c r="W80" i="14" s="1"/>
  <c r="X80" i="14" s="1"/>
  <c r="B77" i="14"/>
  <c r="B51" i="15"/>
  <c r="E51" i="15" s="1"/>
  <c r="B43" i="14"/>
  <c r="D85" i="13"/>
  <c r="C50" i="15"/>
  <c r="G32" i="16"/>
  <c r="B77" i="12"/>
  <c r="E80" i="12"/>
  <c r="F80" i="12" s="1"/>
  <c r="G80" i="12" s="1"/>
  <c r="H80" i="12" s="1"/>
  <c r="I80" i="12" s="1"/>
  <c r="J80" i="12" s="1"/>
  <c r="K80" i="12" s="1"/>
  <c r="L80" i="12" s="1"/>
  <c r="M80" i="12" s="1"/>
  <c r="N80" i="12" s="1"/>
  <c r="O80" i="12" s="1"/>
  <c r="P80" i="12" s="1"/>
  <c r="Q80" i="12" s="1"/>
  <c r="R80" i="12" s="1"/>
  <c r="S80" i="12" s="1"/>
  <c r="T80" i="12" s="1"/>
  <c r="U80" i="12" s="1"/>
  <c r="V80" i="12" s="1"/>
  <c r="W80" i="12" s="1"/>
  <c r="X80" i="12" s="1"/>
  <c r="B49" i="15"/>
  <c r="E49" i="15" s="1"/>
  <c r="F31" i="16"/>
  <c r="B47" i="12"/>
  <c r="E60" i="12"/>
  <c r="E18" i="21" s="1"/>
  <c r="C55" i="14"/>
  <c r="D53" i="14" s="1"/>
  <c r="B64" i="13"/>
  <c r="B65" i="13" s="1"/>
  <c r="B69" i="13" s="1"/>
  <c r="B70" i="13" s="1"/>
  <c r="B63" i="13"/>
  <c r="C61" i="13" s="1"/>
  <c r="D28" i="27"/>
  <c r="C36" i="27"/>
  <c r="B16" i="12"/>
  <c r="B36" i="27"/>
  <c r="D27" i="27"/>
  <c r="E8" i="21"/>
  <c r="E149" i="12"/>
  <c r="E150" i="12" s="1"/>
  <c r="E52" i="12"/>
  <c r="E11" i="21" s="1"/>
  <c r="B40" i="21" s="1"/>
  <c r="E61" i="12"/>
  <c r="E51" i="12"/>
  <c r="F50" i="12"/>
  <c r="D31" i="16"/>
  <c r="B36" i="12"/>
  <c r="B26" i="12"/>
  <c r="B46" i="12" s="1"/>
  <c r="D32" i="16"/>
  <c r="B44" i="15"/>
  <c r="D51" i="15" s="1"/>
  <c r="D33" i="16"/>
  <c r="B28" i="13"/>
  <c r="B50" i="13" s="1"/>
  <c r="E43" i="11" s="1"/>
  <c r="B17" i="13"/>
  <c r="B39" i="13"/>
  <c r="B122" i="14" l="1"/>
  <c r="B125" i="14"/>
  <c r="B126" i="14"/>
  <c r="B121" i="14"/>
  <c r="B123" i="14"/>
  <c r="B124" i="14"/>
  <c r="B127" i="14"/>
  <c r="B130" i="13"/>
  <c r="B134" i="13"/>
  <c r="B131" i="13"/>
  <c r="B135" i="13"/>
  <c r="B129" i="13"/>
  <c r="B132" i="13"/>
  <c r="B133" i="13"/>
  <c r="B133" i="12"/>
  <c r="B137" i="12"/>
  <c r="B134" i="12"/>
  <c r="B131" i="12"/>
  <c r="B132" i="12"/>
  <c r="B135" i="12"/>
  <c r="B136" i="12"/>
  <c r="B112" i="14"/>
  <c r="B117" i="14"/>
  <c r="B111" i="14"/>
  <c r="B113" i="14"/>
  <c r="B114" i="14"/>
  <c r="B116" i="14"/>
  <c r="B115" i="14"/>
  <c r="B121" i="13"/>
  <c r="B125" i="13"/>
  <c r="B122" i="13"/>
  <c r="B123" i="13"/>
  <c r="B120" i="13"/>
  <c r="B124" i="13"/>
  <c r="B119" i="13"/>
  <c r="B116" i="12"/>
  <c r="B117" i="12"/>
  <c r="B111" i="12"/>
  <c r="B112" i="12"/>
  <c r="B113" i="12"/>
  <c r="B114" i="12"/>
  <c r="B115" i="12"/>
  <c r="A46" i="16"/>
  <c r="A47" i="16"/>
  <c r="A48" i="16"/>
  <c r="A49" i="16"/>
  <c r="A50" i="16"/>
  <c r="A51" i="16"/>
  <c r="A52" i="16"/>
  <c r="F162" i="12"/>
  <c r="F60" i="12"/>
  <c r="F18" i="21" s="1"/>
  <c r="F61" i="12"/>
  <c r="E169" i="12"/>
  <c r="E170" i="12" s="1"/>
  <c r="E171" i="12" s="1"/>
  <c r="E54" i="12" s="1"/>
  <c r="E14" i="21" s="1"/>
  <c r="E164" i="12"/>
  <c r="E166" i="12" s="1"/>
  <c r="E167" i="12" s="1"/>
  <c r="E168" i="12" s="1"/>
  <c r="F165" i="12"/>
  <c r="C62" i="13"/>
  <c r="C64" i="13" s="1"/>
  <c r="C65" i="13" s="1"/>
  <c r="C69" i="13" s="1"/>
  <c r="C70" i="13" s="1"/>
  <c r="D54" i="14"/>
  <c r="D56" i="14" s="1"/>
  <c r="D57" i="14" s="1"/>
  <c r="D61" i="14" s="1"/>
  <c r="B37" i="21"/>
  <c r="D28" i="21"/>
  <c r="E28" i="21"/>
  <c r="C28" i="21"/>
  <c r="D36" i="27"/>
  <c r="D29" i="27"/>
  <c r="F8" i="21"/>
  <c r="F149" i="12"/>
  <c r="F150" i="12" s="1"/>
  <c r="E53" i="12"/>
  <c r="F51" i="12"/>
  <c r="F52" i="12"/>
  <c r="F11" i="21" s="1"/>
  <c r="G50" i="12"/>
  <c r="B33" i="14"/>
  <c r="B24" i="14"/>
  <c r="B42" i="14" s="1"/>
  <c r="E44" i="11" s="1"/>
  <c r="B15" i="14"/>
  <c r="G61" i="12" l="1"/>
  <c r="G60" i="12"/>
  <c r="G18" i="21" s="1"/>
  <c r="G162" i="12"/>
  <c r="G165" i="12"/>
  <c r="F164" i="12"/>
  <c r="F166" i="12" s="1"/>
  <c r="F167" i="12" s="1"/>
  <c r="F168" i="12" s="1"/>
  <c r="F169" i="12"/>
  <c r="F170" i="12" s="1"/>
  <c r="F171" i="12" s="1"/>
  <c r="F54" i="12" s="1"/>
  <c r="F14" i="21" s="1"/>
  <c r="D55" i="14"/>
  <c r="E53" i="14" s="1"/>
  <c r="C63" i="13"/>
  <c r="D61" i="13" s="1"/>
  <c r="F28" i="21"/>
  <c r="B50" i="21"/>
  <c r="G8" i="21"/>
  <c r="D147" i="13"/>
  <c r="D148" i="13" s="1"/>
  <c r="D55" i="13"/>
  <c r="D57" i="13"/>
  <c r="D60" i="13"/>
  <c r="E54" i="13"/>
  <c r="D140" i="14"/>
  <c r="D141" i="14" s="1"/>
  <c r="D47" i="14"/>
  <c r="D49" i="14"/>
  <c r="E46" i="14"/>
  <c r="E10" i="21" s="1"/>
  <c r="D52" i="14"/>
  <c r="D62" i="14"/>
  <c r="G149" i="12"/>
  <c r="G150" i="12" s="1"/>
  <c r="F53" i="12"/>
  <c r="G51" i="12"/>
  <c r="H50" i="12"/>
  <c r="G52" i="12"/>
  <c r="G11" i="21" s="1"/>
  <c r="H51" i="12" l="1"/>
  <c r="H60" i="12"/>
  <c r="H162" i="12"/>
  <c r="H61" i="12"/>
  <c r="I50" i="12"/>
  <c r="I51" i="12" s="1"/>
  <c r="E55" i="12"/>
  <c r="E59" i="12"/>
  <c r="H149" i="12"/>
  <c r="H150" i="12" s="1"/>
  <c r="H165" i="12"/>
  <c r="G169" i="12"/>
  <c r="G170" i="12" s="1"/>
  <c r="G171" i="12" s="1"/>
  <c r="G54" i="12" s="1"/>
  <c r="G14" i="21" s="1"/>
  <c r="G164" i="12"/>
  <c r="G166" i="12" s="1"/>
  <c r="G167" i="12" s="1"/>
  <c r="G168" i="12" s="1"/>
  <c r="D62" i="13"/>
  <c r="D64" i="13" s="1"/>
  <c r="D65" i="13" s="1"/>
  <c r="D69" i="13" s="1"/>
  <c r="D70" i="13" s="1"/>
  <c r="B39" i="21"/>
  <c r="D30" i="21"/>
  <c r="C30" i="21"/>
  <c r="E30" i="21"/>
  <c r="E9" i="21"/>
  <c r="E7" i="21"/>
  <c r="H52" i="12"/>
  <c r="H53" i="12" s="1"/>
  <c r="G53" i="12"/>
  <c r="E67" i="13"/>
  <c r="E19" i="21" s="1"/>
  <c r="E68" i="13"/>
  <c r="E55" i="13"/>
  <c r="F54" i="13"/>
  <c r="E56" i="13"/>
  <c r="E12" i="21" s="1"/>
  <c r="B41" i="21" s="1"/>
  <c r="E147" i="13"/>
  <c r="E148" i="13" s="1"/>
  <c r="F46" i="14"/>
  <c r="F10" i="21" s="1"/>
  <c r="E48" i="14"/>
  <c r="E13" i="21" s="1"/>
  <c r="B42" i="21" s="1"/>
  <c r="E140" i="14"/>
  <c r="E141" i="14" s="1"/>
  <c r="E60" i="14"/>
  <c r="E59" i="14"/>
  <c r="E20" i="21" s="1"/>
  <c r="E47" i="14"/>
  <c r="E50" i="14"/>
  <c r="D53" i="12"/>
  <c r="D55" i="12"/>
  <c r="E21" i="21" l="1"/>
  <c r="B43" i="21" s="1"/>
  <c r="E58" i="14"/>
  <c r="E16" i="21"/>
  <c r="E17" i="21" s="1"/>
  <c r="J50" i="12"/>
  <c r="J61" i="12" s="1"/>
  <c r="I52" i="12"/>
  <c r="J60" i="12"/>
  <c r="J162" i="12"/>
  <c r="I61" i="12"/>
  <c r="I60" i="12"/>
  <c r="I162" i="12"/>
  <c r="F55" i="12"/>
  <c r="F59" i="12"/>
  <c r="J149" i="12"/>
  <c r="J150" i="12" s="1"/>
  <c r="H164" i="12"/>
  <c r="H166" i="12" s="1"/>
  <c r="H167" i="12" s="1"/>
  <c r="H168" i="12" s="1"/>
  <c r="H169" i="12"/>
  <c r="H170" i="12" s="1"/>
  <c r="H171" i="12" s="1"/>
  <c r="H54" i="12" s="1"/>
  <c r="I165" i="12"/>
  <c r="E57" i="12"/>
  <c r="E58" i="12" s="1"/>
  <c r="E62" i="12" s="1"/>
  <c r="E56" i="12"/>
  <c r="I149" i="12"/>
  <c r="I150" i="12" s="1"/>
  <c r="D63" i="13"/>
  <c r="E61" i="13" s="1"/>
  <c r="B38" i="21"/>
  <c r="D29" i="21"/>
  <c r="E29" i="21"/>
  <c r="C29" i="21"/>
  <c r="B36" i="21"/>
  <c r="E27" i="21"/>
  <c r="D27" i="21"/>
  <c r="C27" i="21"/>
  <c r="B49" i="21" s="1"/>
  <c r="F30" i="21"/>
  <c r="B52" i="21"/>
  <c r="F9" i="21"/>
  <c r="F7" i="21"/>
  <c r="F47" i="14"/>
  <c r="F59" i="14"/>
  <c r="F20" i="21" s="1"/>
  <c r="F140" i="14"/>
  <c r="F141" i="14" s="1"/>
  <c r="G46" i="14"/>
  <c r="G10" i="21" s="1"/>
  <c r="F50" i="14"/>
  <c r="F48" i="14"/>
  <c r="F13" i="21" s="1"/>
  <c r="F60" i="14"/>
  <c r="F55" i="13"/>
  <c r="F67" i="13"/>
  <c r="F19" i="21" s="1"/>
  <c r="F21" i="21" s="1"/>
  <c r="F56" i="13"/>
  <c r="F12" i="21" s="1"/>
  <c r="G54" i="13"/>
  <c r="F68" i="13"/>
  <c r="F147" i="13"/>
  <c r="F148" i="13" s="1"/>
  <c r="E49" i="14"/>
  <c r="E51" i="14"/>
  <c r="E54" i="14" s="1"/>
  <c r="E57" i="13"/>
  <c r="E59" i="13"/>
  <c r="E66" i="13"/>
  <c r="D57" i="12"/>
  <c r="D58" i="12" s="1"/>
  <c r="D62" i="12" s="1"/>
  <c r="D63" i="12" s="1"/>
  <c r="D56" i="12"/>
  <c r="K50" i="12"/>
  <c r="K162" i="12" s="1"/>
  <c r="J51" i="12"/>
  <c r="J52" i="12"/>
  <c r="I53" i="12"/>
  <c r="F58" i="14" l="1"/>
  <c r="F16" i="21"/>
  <c r="F17" i="21" s="1"/>
  <c r="E62" i="13"/>
  <c r="E64" i="13" s="1"/>
  <c r="E65" i="13" s="1"/>
  <c r="E69" i="13" s="1"/>
  <c r="G59" i="12"/>
  <c r="G55" i="12"/>
  <c r="F56" i="12"/>
  <c r="F57" i="12"/>
  <c r="F58" i="12" s="1"/>
  <c r="F62" i="12" s="1"/>
  <c r="I169" i="12"/>
  <c r="I170" i="12" s="1"/>
  <c r="I171" i="12" s="1"/>
  <c r="I54" i="12" s="1"/>
  <c r="J165" i="12"/>
  <c r="I164" i="12"/>
  <c r="I166" i="12" s="1"/>
  <c r="I167" i="12" s="1"/>
  <c r="I168" i="12" s="1"/>
  <c r="K149" i="12"/>
  <c r="K150" i="12" s="1"/>
  <c r="E63" i="12"/>
  <c r="E81" i="12"/>
  <c r="E82" i="12" s="1"/>
  <c r="J169" i="12"/>
  <c r="K165" i="12"/>
  <c r="J164" i="12"/>
  <c r="E56" i="14"/>
  <c r="E57" i="14" s="1"/>
  <c r="E61" i="14" s="1"/>
  <c r="E55" i="14"/>
  <c r="F53" i="14" s="1"/>
  <c r="F29" i="21"/>
  <c r="B51" i="21"/>
  <c r="F27" i="21"/>
  <c r="G9" i="21"/>
  <c r="G7" i="21"/>
  <c r="G68" i="13"/>
  <c r="G147" i="13"/>
  <c r="G148" i="13" s="1"/>
  <c r="G67" i="13"/>
  <c r="G19" i="21" s="1"/>
  <c r="G21" i="21" s="1"/>
  <c r="H54" i="13"/>
  <c r="G55" i="13"/>
  <c r="G56" i="13"/>
  <c r="G12" i="21" s="1"/>
  <c r="F57" i="13"/>
  <c r="F59" i="13"/>
  <c r="F66" i="13"/>
  <c r="F49" i="14"/>
  <c r="F51" i="14"/>
  <c r="G47" i="14"/>
  <c r="G59" i="14"/>
  <c r="G20" i="21" s="1"/>
  <c r="G140" i="14"/>
  <c r="G141" i="14" s="1"/>
  <c r="H46" i="14"/>
  <c r="G48" i="14"/>
  <c r="G13" i="21" s="1"/>
  <c r="G50" i="14"/>
  <c r="G60" i="14"/>
  <c r="E60" i="13"/>
  <c r="E52" i="14"/>
  <c r="K52" i="12"/>
  <c r="K61" i="12"/>
  <c r="L50" i="12"/>
  <c r="L162" i="12" s="1"/>
  <c r="K60" i="12"/>
  <c r="K51" i="12"/>
  <c r="J53" i="12"/>
  <c r="G58" i="14" l="1"/>
  <c r="G16" i="21"/>
  <c r="G17" i="21" s="1"/>
  <c r="E63" i="13"/>
  <c r="F61" i="13" s="1"/>
  <c r="F62" i="13" s="1"/>
  <c r="F64" i="13" s="1"/>
  <c r="F65" i="13" s="1"/>
  <c r="F69" i="13" s="1"/>
  <c r="F54" i="14"/>
  <c r="F56" i="14" s="1"/>
  <c r="F57" i="14" s="1"/>
  <c r="F61" i="14" s="1"/>
  <c r="F63" i="12"/>
  <c r="F81" i="12"/>
  <c r="F82" i="12" s="1"/>
  <c r="H59" i="12"/>
  <c r="H55" i="12"/>
  <c r="G57" i="12"/>
  <c r="G58" i="12" s="1"/>
  <c r="G62" i="12" s="1"/>
  <c r="G56" i="12"/>
  <c r="J166" i="12"/>
  <c r="J167" i="12" s="1"/>
  <c r="J168" i="12" s="1"/>
  <c r="L149" i="12"/>
  <c r="L150" i="12" s="1"/>
  <c r="J170" i="12"/>
  <c r="J171" i="12" s="1"/>
  <c r="J54" i="12" s="1"/>
  <c r="K169" i="12"/>
  <c r="K164" i="12"/>
  <c r="K166" i="12" s="1"/>
  <c r="K167" i="12" s="1"/>
  <c r="L165" i="12"/>
  <c r="B44" i="21"/>
  <c r="E81" i="14"/>
  <c r="E82" i="14" s="1"/>
  <c r="E62" i="14"/>
  <c r="G49" i="14"/>
  <c r="G51" i="14"/>
  <c r="H66" i="13"/>
  <c r="H68" i="13"/>
  <c r="H56" i="13"/>
  <c r="H55" i="13"/>
  <c r="H67" i="13"/>
  <c r="I54" i="13"/>
  <c r="H147" i="13"/>
  <c r="H148" i="13" s="1"/>
  <c r="F60" i="13"/>
  <c r="E70" i="13"/>
  <c r="E89" i="13"/>
  <c r="E90" i="13" s="1"/>
  <c r="H60" i="14"/>
  <c r="H140" i="14"/>
  <c r="H141" i="14" s="1"/>
  <c r="H59" i="14"/>
  <c r="H47" i="14"/>
  <c r="H48" i="14"/>
  <c r="H50" i="14"/>
  <c r="H58" i="14" s="1"/>
  <c r="I46" i="14"/>
  <c r="G66" i="13"/>
  <c r="G57" i="13"/>
  <c r="G59" i="13"/>
  <c r="F52" i="14"/>
  <c r="L52" i="12"/>
  <c r="M50" i="12"/>
  <c r="M162" i="12" s="1"/>
  <c r="L51" i="12"/>
  <c r="L60" i="12"/>
  <c r="L61" i="12"/>
  <c r="K53" i="12"/>
  <c r="F55" i="14" l="1"/>
  <c r="G53" i="14" s="1"/>
  <c r="G54" i="14" s="1"/>
  <c r="G56" i="14" s="1"/>
  <c r="G57" i="14" s="1"/>
  <c r="G61" i="14" s="1"/>
  <c r="F63" i="13"/>
  <c r="G61" i="13" s="1"/>
  <c r="G62" i="13" s="1"/>
  <c r="G64" i="13" s="1"/>
  <c r="G65" i="13" s="1"/>
  <c r="G69" i="13" s="1"/>
  <c r="G63" i="12"/>
  <c r="G81" i="12"/>
  <c r="G82" i="12" s="1"/>
  <c r="K168" i="12"/>
  <c r="H56" i="12"/>
  <c r="H57" i="12"/>
  <c r="H58" i="12" s="1"/>
  <c r="H62" i="12" s="1"/>
  <c r="I59" i="12"/>
  <c r="I55" i="12"/>
  <c r="K170" i="12"/>
  <c r="K171" i="12" s="1"/>
  <c r="K54" i="12" s="1"/>
  <c r="M149" i="12"/>
  <c r="M150" i="12" s="1"/>
  <c r="L169" i="12"/>
  <c r="L170" i="12" s="1"/>
  <c r="L171" i="12" s="1"/>
  <c r="L54" i="12" s="1"/>
  <c r="L164" i="12"/>
  <c r="L166" i="12" s="1"/>
  <c r="L167" i="12" s="1"/>
  <c r="M165" i="12"/>
  <c r="F81" i="14"/>
  <c r="F82" i="14" s="1"/>
  <c r="F62" i="14"/>
  <c r="G60" i="13"/>
  <c r="I147" i="13"/>
  <c r="I148" i="13" s="1"/>
  <c r="I67" i="13"/>
  <c r="I66" i="13"/>
  <c r="J54" i="13"/>
  <c r="I56" i="13"/>
  <c r="I55" i="13"/>
  <c r="I68" i="13"/>
  <c r="H59" i="13"/>
  <c r="H57" i="13"/>
  <c r="H49" i="14"/>
  <c r="H51" i="14"/>
  <c r="F70" i="13"/>
  <c r="F89" i="13"/>
  <c r="F90" i="13" s="1"/>
  <c r="I140" i="14"/>
  <c r="I141" i="14" s="1"/>
  <c r="I50" i="14"/>
  <c r="I58" i="14" s="1"/>
  <c r="I48" i="14"/>
  <c r="I60" i="14"/>
  <c r="I47" i="14"/>
  <c r="J46" i="14"/>
  <c r="I59" i="14"/>
  <c r="G52" i="14"/>
  <c r="L53" i="12"/>
  <c r="M60" i="12"/>
  <c r="M52" i="12"/>
  <c r="N50" i="12"/>
  <c r="N162" i="12" s="1"/>
  <c r="M61" i="12"/>
  <c r="M51" i="12"/>
  <c r="L168" i="12" l="1"/>
  <c r="G55" i="14"/>
  <c r="H53" i="14" s="1"/>
  <c r="H54" i="14" s="1"/>
  <c r="H56" i="14" s="1"/>
  <c r="H57" i="14" s="1"/>
  <c r="H61" i="14" s="1"/>
  <c r="G63" i="13"/>
  <c r="H61" i="13" s="1"/>
  <c r="H62" i="13" s="1"/>
  <c r="H64" i="13" s="1"/>
  <c r="H65" i="13" s="1"/>
  <c r="H69" i="13" s="1"/>
  <c r="H63" i="12"/>
  <c r="H81" i="12"/>
  <c r="H82" i="12" s="1"/>
  <c r="I56" i="12"/>
  <c r="I57" i="12"/>
  <c r="I58" i="12" s="1"/>
  <c r="I62" i="12" s="1"/>
  <c r="J59" i="12"/>
  <c r="J55" i="12"/>
  <c r="M169" i="12"/>
  <c r="M170" i="12" s="1"/>
  <c r="M171" i="12" s="1"/>
  <c r="M54" i="12" s="1"/>
  <c r="M164" i="12"/>
  <c r="M166" i="12" s="1"/>
  <c r="M167" i="12" s="1"/>
  <c r="N165" i="12"/>
  <c r="H52" i="14"/>
  <c r="H60" i="13"/>
  <c r="G70" i="13"/>
  <c r="G89" i="13"/>
  <c r="G90" i="13" s="1"/>
  <c r="I57" i="13"/>
  <c r="I59" i="13"/>
  <c r="I49" i="14"/>
  <c r="I51" i="14"/>
  <c r="G62" i="14"/>
  <c r="G81" i="14"/>
  <c r="G82" i="14" s="1"/>
  <c r="K54" i="13"/>
  <c r="J56" i="13"/>
  <c r="J66" i="13"/>
  <c r="J67" i="13"/>
  <c r="J68" i="13"/>
  <c r="J147" i="13"/>
  <c r="J148" i="13" s="1"/>
  <c r="J55" i="13"/>
  <c r="J140" i="14"/>
  <c r="J141" i="14" s="1"/>
  <c r="J50" i="14"/>
  <c r="J58" i="14" s="1"/>
  <c r="J48" i="14"/>
  <c r="J60" i="14"/>
  <c r="K46" i="14"/>
  <c r="J59" i="14"/>
  <c r="J47" i="14"/>
  <c r="O50" i="12"/>
  <c r="O162" i="12" s="1"/>
  <c r="N149" i="12"/>
  <c r="N150" i="12" s="1"/>
  <c r="N60" i="12"/>
  <c r="N61" i="12"/>
  <c r="N51" i="12"/>
  <c r="N52" i="12"/>
  <c r="M53" i="12"/>
  <c r="M168" i="12" l="1"/>
  <c r="H63" i="13"/>
  <c r="I61" i="13" s="1"/>
  <c r="I62" i="13" s="1"/>
  <c r="I64" i="13" s="1"/>
  <c r="I65" i="13" s="1"/>
  <c r="I69" i="13" s="1"/>
  <c r="H55" i="14"/>
  <c r="I53" i="14" s="1"/>
  <c r="I54" i="14" s="1"/>
  <c r="I56" i="14" s="1"/>
  <c r="I57" i="14" s="1"/>
  <c r="I61" i="14" s="1"/>
  <c r="I63" i="12"/>
  <c r="I81" i="12"/>
  <c r="I82" i="12" s="1"/>
  <c r="J57" i="12"/>
  <c r="J58" i="12" s="1"/>
  <c r="J62" i="12" s="1"/>
  <c r="J56" i="12"/>
  <c r="O149" i="12"/>
  <c r="O150" i="12" s="1"/>
  <c r="K59" i="12"/>
  <c r="K55" i="12"/>
  <c r="L59" i="12"/>
  <c r="L55" i="12"/>
  <c r="N169" i="12"/>
  <c r="N164" i="12"/>
  <c r="N166" i="12" s="1"/>
  <c r="N167" i="12" s="1"/>
  <c r="N168" i="12" s="1"/>
  <c r="O165" i="12"/>
  <c r="L54" i="13"/>
  <c r="K147" i="13"/>
  <c r="K148" i="13" s="1"/>
  <c r="K66" i="13"/>
  <c r="K55" i="13"/>
  <c r="K56" i="13"/>
  <c r="K67" i="13"/>
  <c r="K68" i="13"/>
  <c r="I52" i="14"/>
  <c r="I60" i="13"/>
  <c r="H81" i="14"/>
  <c r="H82" i="14" s="1"/>
  <c r="H62" i="14"/>
  <c r="J57" i="13"/>
  <c r="J59" i="13"/>
  <c r="K140" i="14"/>
  <c r="K141" i="14" s="1"/>
  <c r="K60" i="14"/>
  <c r="K59" i="14"/>
  <c r="K47" i="14"/>
  <c r="K48" i="14"/>
  <c r="L46" i="14"/>
  <c r="K50" i="14"/>
  <c r="K58" i="14" s="1"/>
  <c r="J49" i="14"/>
  <c r="J51" i="14"/>
  <c r="H89" i="13"/>
  <c r="H90" i="13" s="1"/>
  <c r="H70" i="13"/>
  <c r="P50" i="12"/>
  <c r="P162" i="12" s="1"/>
  <c r="O52" i="12"/>
  <c r="O53" i="12" s="1"/>
  <c r="O60" i="12"/>
  <c r="O61" i="12"/>
  <c r="O51" i="12"/>
  <c r="N53" i="12"/>
  <c r="I63" i="13" l="1"/>
  <c r="J61" i="13" s="1"/>
  <c r="J62" i="13" s="1"/>
  <c r="J64" i="13" s="1"/>
  <c r="J65" i="13" s="1"/>
  <c r="J69" i="13" s="1"/>
  <c r="I55" i="14"/>
  <c r="J53" i="14" s="1"/>
  <c r="J54" i="14" s="1"/>
  <c r="J56" i="14" s="1"/>
  <c r="J57" i="14" s="1"/>
  <c r="J61" i="14" s="1"/>
  <c r="J63" i="12"/>
  <c r="J81" i="12"/>
  <c r="J82" i="12" s="1"/>
  <c r="P149" i="12"/>
  <c r="P150" i="12" s="1"/>
  <c r="L57" i="12"/>
  <c r="L58" i="12" s="1"/>
  <c r="L62" i="12" s="1"/>
  <c r="L56" i="12"/>
  <c r="K57" i="12"/>
  <c r="K58" i="12" s="1"/>
  <c r="K62" i="12" s="1"/>
  <c r="K56" i="12"/>
  <c r="M59" i="12"/>
  <c r="M55" i="12"/>
  <c r="O169" i="12"/>
  <c r="O170" i="12" s="1"/>
  <c r="O171" i="12" s="1"/>
  <c r="O54" i="12" s="1"/>
  <c r="O164" i="12"/>
  <c r="O166" i="12" s="1"/>
  <c r="O167" i="12" s="1"/>
  <c r="O168" i="12" s="1"/>
  <c r="P165" i="12"/>
  <c r="N170" i="12"/>
  <c r="N171" i="12" s="1"/>
  <c r="N54" i="12" s="1"/>
  <c r="P61" i="12"/>
  <c r="P51" i="12"/>
  <c r="J52" i="14"/>
  <c r="K57" i="13"/>
  <c r="K59" i="13"/>
  <c r="I89" i="13"/>
  <c r="I90" i="13" s="1"/>
  <c r="I70" i="13"/>
  <c r="Q50" i="12"/>
  <c r="Q162" i="12" s="1"/>
  <c r="K49" i="14"/>
  <c r="K51" i="14"/>
  <c r="P60" i="12"/>
  <c r="L147" i="13"/>
  <c r="L148" i="13" s="1"/>
  <c r="M54" i="13"/>
  <c r="L68" i="13"/>
  <c r="L55" i="13"/>
  <c r="L66" i="13"/>
  <c r="L56" i="13"/>
  <c r="L67" i="13"/>
  <c r="J60" i="13"/>
  <c r="I62" i="14"/>
  <c r="I81" i="14"/>
  <c r="I82" i="14" s="1"/>
  <c r="L140" i="14"/>
  <c r="L141" i="14" s="1"/>
  <c r="L50" i="14"/>
  <c r="L58" i="14" s="1"/>
  <c r="M46" i="14"/>
  <c r="L60" i="14"/>
  <c r="L59" i="14"/>
  <c r="L48" i="14"/>
  <c r="L47" i="14"/>
  <c r="P52" i="12"/>
  <c r="J55" i="14" l="1"/>
  <c r="K53" i="14" s="1"/>
  <c r="K54" i="14" s="1"/>
  <c r="M57" i="12"/>
  <c r="M58" i="12" s="1"/>
  <c r="M62" i="12" s="1"/>
  <c r="M56" i="12"/>
  <c r="Q149" i="12"/>
  <c r="Q150" i="12" s="1"/>
  <c r="K81" i="12"/>
  <c r="K82" i="12" s="1"/>
  <c r="K63" i="12"/>
  <c r="L63" i="12"/>
  <c r="L81" i="12"/>
  <c r="L82" i="12" s="1"/>
  <c r="P164" i="12"/>
  <c r="P166" i="12" s="1"/>
  <c r="P167" i="12" s="1"/>
  <c r="P168" i="12" s="1"/>
  <c r="Q165" i="12"/>
  <c r="P169" i="12"/>
  <c r="J63" i="13"/>
  <c r="K61" i="13" s="1"/>
  <c r="P53" i="12"/>
  <c r="Q61" i="12"/>
  <c r="R50" i="12"/>
  <c r="R162" i="12" s="1"/>
  <c r="Q52" i="12"/>
  <c r="Q53" i="12" s="1"/>
  <c r="Q51" i="12"/>
  <c r="Q60" i="12"/>
  <c r="M68" i="13"/>
  <c r="M66" i="13"/>
  <c r="N54" i="13"/>
  <c r="M67" i="13"/>
  <c r="M55" i="13"/>
  <c r="M56" i="13"/>
  <c r="M147" i="13"/>
  <c r="M148" i="13" s="1"/>
  <c r="K52" i="14"/>
  <c r="J89" i="13"/>
  <c r="J90" i="13" s="1"/>
  <c r="J70" i="13"/>
  <c r="L59" i="13"/>
  <c r="L57" i="13"/>
  <c r="L49" i="14"/>
  <c r="L51" i="14"/>
  <c r="M140" i="14"/>
  <c r="M141" i="14" s="1"/>
  <c r="M47" i="14"/>
  <c r="M59" i="14"/>
  <c r="M60" i="14"/>
  <c r="N46" i="14"/>
  <c r="M50" i="14"/>
  <c r="M58" i="14" s="1"/>
  <c r="M48" i="14"/>
  <c r="K60" i="13"/>
  <c r="J81" i="14"/>
  <c r="J82" i="14" s="1"/>
  <c r="J62" i="14"/>
  <c r="K56" i="14" l="1"/>
  <c r="K57" i="14" s="1"/>
  <c r="K61" i="14" s="1"/>
  <c r="K55" i="14"/>
  <c r="L53" i="14" s="1"/>
  <c r="L54" i="14" s="1"/>
  <c r="L56" i="14" s="1"/>
  <c r="L57" i="14" s="1"/>
  <c r="L61" i="14" s="1"/>
  <c r="O59" i="12"/>
  <c r="O55" i="12"/>
  <c r="R165" i="12"/>
  <c r="Q164" i="12"/>
  <c r="Q166" i="12" s="1"/>
  <c r="Q167" i="12" s="1"/>
  <c r="Q168" i="12" s="1"/>
  <c r="Q169" i="12"/>
  <c r="Q170" i="12" s="1"/>
  <c r="Q171" i="12" s="1"/>
  <c r="Q54" i="12" s="1"/>
  <c r="N59" i="12"/>
  <c r="N55" i="12"/>
  <c r="R149" i="12"/>
  <c r="R150" i="12" s="1"/>
  <c r="M63" i="12"/>
  <c r="M81" i="12"/>
  <c r="M82" i="12" s="1"/>
  <c r="P170" i="12"/>
  <c r="P171" i="12" s="1"/>
  <c r="P54" i="12" s="1"/>
  <c r="K62" i="13"/>
  <c r="K64" i="13" s="1"/>
  <c r="K65" i="13" s="1"/>
  <c r="K69" i="13" s="1"/>
  <c r="R61" i="12"/>
  <c r="S50" i="12"/>
  <c r="S162" i="12" s="1"/>
  <c r="R52" i="12"/>
  <c r="R53" i="12" s="1"/>
  <c r="R60" i="12"/>
  <c r="R51" i="12"/>
  <c r="L60" i="13"/>
  <c r="L52" i="14"/>
  <c r="M51" i="14"/>
  <c r="M49" i="14"/>
  <c r="M57" i="13"/>
  <c r="M59" i="13"/>
  <c r="N48" i="14"/>
  <c r="N47" i="14"/>
  <c r="N140" i="14"/>
  <c r="N141" i="14" s="1"/>
  <c r="N59" i="14"/>
  <c r="N50" i="14"/>
  <c r="N58" i="14" s="1"/>
  <c r="N60" i="14"/>
  <c r="O46" i="14"/>
  <c r="N147" i="13"/>
  <c r="N148" i="13" s="1"/>
  <c r="N55" i="13"/>
  <c r="N67" i="13"/>
  <c r="O54" i="13"/>
  <c r="N68" i="13"/>
  <c r="N56" i="13"/>
  <c r="N66" i="13"/>
  <c r="K81" i="14" l="1"/>
  <c r="K82" i="14" s="1"/>
  <c r="K62" i="14"/>
  <c r="L55" i="14"/>
  <c r="M53" i="14" s="1"/>
  <c r="M54" i="14" s="1"/>
  <c r="M56" i="14" s="1"/>
  <c r="M57" i="14" s="1"/>
  <c r="M61" i="14" s="1"/>
  <c r="S61" i="12"/>
  <c r="S52" i="12"/>
  <c r="S53" i="12" s="1"/>
  <c r="S60" i="12"/>
  <c r="T50" i="12"/>
  <c r="T162" i="12" s="1"/>
  <c r="K89" i="13"/>
  <c r="K90" i="13" s="1"/>
  <c r="S51" i="12"/>
  <c r="K70" i="13"/>
  <c r="S165" i="12"/>
  <c r="R164" i="12"/>
  <c r="R166" i="12" s="1"/>
  <c r="R167" i="12" s="1"/>
  <c r="R168" i="12" s="1"/>
  <c r="R169" i="12"/>
  <c r="R170" i="12" s="1"/>
  <c r="R171" i="12" s="1"/>
  <c r="R54" i="12" s="1"/>
  <c r="N57" i="12"/>
  <c r="N58" i="12" s="1"/>
  <c r="N62" i="12" s="1"/>
  <c r="N56" i="12"/>
  <c r="O56" i="12"/>
  <c r="O57" i="12"/>
  <c r="O58" i="12" s="1"/>
  <c r="O62" i="12" s="1"/>
  <c r="S149" i="12"/>
  <c r="S150" i="12" s="1"/>
  <c r="K63" i="13"/>
  <c r="L61" i="13" s="1"/>
  <c r="N51" i="14"/>
  <c r="N49" i="14"/>
  <c r="N59" i="13"/>
  <c r="N57" i="13"/>
  <c r="O55" i="13"/>
  <c r="O147" i="13"/>
  <c r="O148" i="13" s="1"/>
  <c r="O67" i="13"/>
  <c r="P54" i="13"/>
  <c r="O68" i="13"/>
  <c r="O66" i="13"/>
  <c r="O56" i="13"/>
  <c r="L81" i="14"/>
  <c r="L82" i="14" s="1"/>
  <c r="L62" i="14"/>
  <c r="M60" i="13"/>
  <c r="M52" i="14"/>
  <c r="O140" i="14"/>
  <c r="O141" i="14" s="1"/>
  <c r="P46" i="14"/>
  <c r="O59" i="14"/>
  <c r="O50" i="14"/>
  <c r="O58" i="14" s="1"/>
  <c r="O47" i="14"/>
  <c r="O60" i="14"/>
  <c r="O48" i="14"/>
  <c r="T61" i="12"/>
  <c r="T51" i="12"/>
  <c r="T60" i="12"/>
  <c r="T52" i="12"/>
  <c r="U50" i="12"/>
  <c r="U162" i="12" s="1"/>
  <c r="T149" i="12" l="1"/>
  <c r="T150" i="12" s="1"/>
  <c r="M55" i="14"/>
  <c r="N53" i="14" s="1"/>
  <c r="N54" i="14" s="1"/>
  <c r="N56" i="14" s="1"/>
  <c r="N57" i="14" s="1"/>
  <c r="N61" i="14" s="1"/>
  <c r="N63" i="12"/>
  <c r="N81" i="12"/>
  <c r="N82" i="12" s="1"/>
  <c r="Q59" i="12"/>
  <c r="Q55" i="12"/>
  <c r="U165" i="12"/>
  <c r="T164" i="12"/>
  <c r="T169" i="12"/>
  <c r="T170" i="12" s="1"/>
  <c r="T171" i="12" s="1"/>
  <c r="T54" i="12" s="1"/>
  <c r="O81" i="12"/>
  <c r="O82" i="12" s="1"/>
  <c r="O63" i="12"/>
  <c r="U149" i="12"/>
  <c r="U150" i="12" s="1"/>
  <c r="T165" i="12"/>
  <c r="S164" i="12"/>
  <c r="S166" i="12" s="1"/>
  <c r="S167" i="12" s="1"/>
  <c r="S168" i="12" s="1"/>
  <c r="S169" i="12"/>
  <c r="S170" i="12" s="1"/>
  <c r="S171" i="12" s="1"/>
  <c r="S54" i="12" s="1"/>
  <c r="P59" i="12"/>
  <c r="P55" i="12"/>
  <c r="L62" i="13"/>
  <c r="L64" i="13" s="1"/>
  <c r="L65" i="13" s="1"/>
  <c r="L69" i="13" s="1"/>
  <c r="P140" i="14"/>
  <c r="P141" i="14" s="1"/>
  <c r="P60" i="14"/>
  <c r="Q46" i="14"/>
  <c r="P47" i="14"/>
  <c r="P48" i="14"/>
  <c r="P50" i="14"/>
  <c r="P58" i="14" s="1"/>
  <c r="P59" i="14"/>
  <c r="M62" i="14"/>
  <c r="M81" i="14"/>
  <c r="M82" i="14" s="1"/>
  <c r="O49" i="14"/>
  <c r="O51" i="14"/>
  <c r="O57" i="13"/>
  <c r="O59" i="13"/>
  <c r="N60" i="13"/>
  <c r="P147" i="13"/>
  <c r="P148" i="13" s="1"/>
  <c r="P67" i="13"/>
  <c r="Q54" i="13"/>
  <c r="P68" i="13"/>
  <c r="P56" i="13"/>
  <c r="P66" i="13"/>
  <c r="P55" i="13"/>
  <c r="N52" i="14"/>
  <c r="V50" i="12"/>
  <c r="V162" i="12" s="1"/>
  <c r="U61" i="12"/>
  <c r="U60" i="12"/>
  <c r="U52" i="12"/>
  <c r="U51" i="12"/>
  <c r="T53" i="12"/>
  <c r="N55" i="14" l="1"/>
  <c r="O53" i="14" s="1"/>
  <c r="O54" i="14" s="1"/>
  <c r="O56" i="14" s="1"/>
  <c r="O57" i="14" s="1"/>
  <c r="O61" i="14" s="1"/>
  <c r="V149" i="12"/>
  <c r="V150" i="12" s="1"/>
  <c r="V165" i="12"/>
  <c r="U164" i="12"/>
  <c r="U166" i="12" s="1"/>
  <c r="U167" i="12" s="1"/>
  <c r="U169" i="12"/>
  <c r="U170" i="12" s="1"/>
  <c r="U171" i="12" s="1"/>
  <c r="U54" i="12" s="1"/>
  <c r="R59" i="12"/>
  <c r="R55" i="12"/>
  <c r="T166" i="12"/>
  <c r="T167" i="12" s="1"/>
  <c r="T168" i="12" s="1"/>
  <c r="P56" i="12"/>
  <c r="P57" i="12"/>
  <c r="P58" i="12" s="1"/>
  <c r="P62" i="12" s="1"/>
  <c r="Q57" i="12"/>
  <c r="Q58" i="12" s="1"/>
  <c r="Q62" i="12" s="1"/>
  <c r="Q56" i="12"/>
  <c r="L70" i="13"/>
  <c r="L89" i="13"/>
  <c r="L90" i="13" s="1"/>
  <c r="L63" i="13"/>
  <c r="M61" i="13" s="1"/>
  <c r="O60" i="13"/>
  <c r="Q140" i="14"/>
  <c r="Q141" i="14" s="1"/>
  <c r="Q47" i="14"/>
  <c r="Q59" i="14"/>
  <c r="Q50" i="14"/>
  <c r="Q58" i="14" s="1"/>
  <c r="R46" i="14"/>
  <c r="Q60" i="14"/>
  <c r="Q48" i="14"/>
  <c r="P57" i="13"/>
  <c r="P59" i="13"/>
  <c r="Q147" i="13"/>
  <c r="Q148" i="13" s="1"/>
  <c r="Q67" i="13"/>
  <c r="Q68" i="13"/>
  <c r="R54" i="13"/>
  <c r="Q66" i="13"/>
  <c r="Q56" i="13"/>
  <c r="Q55" i="13"/>
  <c r="O52" i="14"/>
  <c r="N62" i="14"/>
  <c r="N81" i="14"/>
  <c r="N82" i="14" s="1"/>
  <c r="P51" i="14"/>
  <c r="P49" i="14"/>
  <c r="U53" i="12"/>
  <c r="V60" i="12"/>
  <c r="V52" i="12"/>
  <c r="V61" i="12"/>
  <c r="W50" i="12"/>
  <c r="W162" i="12" s="1"/>
  <c r="V51" i="12"/>
  <c r="S59" i="12" l="1"/>
  <c r="S55" i="12"/>
  <c r="U168" i="12"/>
  <c r="V169" i="12"/>
  <c r="V170" i="12" s="1"/>
  <c r="V171" i="12" s="1"/>
  <c r="V54" i="12" s="1"/>
  <c r="V164" i="12"/>
  <c r="V166" i="12" s="1"/>
  <c r="V167" i="12" s="1"/>
  <c r="W165" i="12"/>
  <c r="P63" i="12"/>
  <c r="P81" i="12"/>
  <c r="P82" i="12" s="1"/>
  <c r="T59" i="12"/>
  <c r="T55" i="12"/>
  <c r="R57" i="12"/>
  <c r="R58" i="12" s="1"/>
  <c r="R62" i="12" s="1"/>
  <c r="R56" i="12"/>
  <c r="W149" i="12"/>
  <c r="W150" i="12" s="1"/>
  <c r="Q81" i="12"/>
  <c r="Q82" i="12" s="1"/>
  <c r="Q63" i="12"/>
  <c r="O55" i="14"/>
  <c r="P53" i="14" s="1"/>
  <c r="M62" i="13"/>
  <c r="M64" i="13" s="1"/>
  <c r="M65" i="13" s="1"/>
  <c r="M69" i="13" s="1"/>
  <c r="P60" i="13"/>
  <c r="R67" i="13"/>
  <c r="R147" i="13"/>
  <c r="R148" i="13" s="1"/>
  <c r="S54" i="13"/>
  <c r="R68" i="13"/>
  <c r="R55" i="13"/>
  <c r="R56" i="13"/>
  <c r="R66" i="13"/>
  <c r="P52" i="14"/>
  <c r="O81" i="14"/>
  <c r="O82" i="14" s="1"/>
  <c r="O62" i="14"/>
  <c r="Q49" i="14"/>
  <c r="Q51" i="14"/>
  <c r="R140" i="14"/>
  <c r="R141" i="14" s="1"/>
  <c r="R59" i="14"/>
  <c r="R50" i="14"/>
  <c r="R58" i="14" s="1"/>
  <c r="R47" i="14"/>
  <c r="R48" i="14"/>
  <c r="R60" i="14"/>
  <c r="S46" i="14"/>
  <c r="Q59" i="13"/>
  <c r="Q57" i="13"/>
  <c r="V53" i="12"/>
  <c r="W60" i="12"/>
  <c r="W52" i="12"/>
  <c r="X50" i="12"/>
  <c r="X162" i="12" s="1"/>
  <c r="W61" i="12"/>
  <c r="W51" i="12"/>
  <c r="V168" i="12" l="1"/>
  <c r="T56" i="12"/>
  <c r="T57" i="12"/>
  <c r="T58" i="12" s="1"/>
  <c r="T62" i="12" s="1"/>
  <c r="U59" i="12"/>
  <c r="U55" i="12"/>
  <c r="S56" i="12"/>
  <c r="S57" i="12"/>
  <c r="S58" i="12" s="1"/>
  <c r="S62" i="12" s="1"/>
  <c r="R63" i="12"/>
  <c r="R81" i="12"/>
  <c r="R82" i="12" s="1"/>
  <c r="X149" i="12"/>
  <c r="X150" i="12" s="1"/>
  <c r="W164" i="12"/>
  <c r="W166" i="12" s="1"/>
  <c r="W167" i="12" s="1"/>
  <c r="X165" i="12"/>
  <c r="W169" i="12"/>
  <c r="W170" i="12" s="1"/>
  <c r="W171" i="12" s="1"/>
  <c r="W54" i="12" s="1"/>
  <c r="M63" i="13"/>
  <c r="N61" i="13" s="1"/>
  <c r="M70" i="13"/>
  <c r="M89" i="13"/>
  <c r="M90" i="13" s="1"/>
  <c r="P54" i="14"/>
  <c r="P56" i="14" s="1"/>
  <c r="P57" i="14" s="1"/>
  <c r="Q52" i="14"/>
  <c r="Q60" i="13"/>
  <c r="S140" i="14"/>
  <c r="S141" i="14" s="1"/>
  <c r="S50" i="14"/>
  <c r="S58" i="14" s="1"/>
  <c r="S59" i="14"/>
  <c r="S47" i="14"/>
  <c r="S60" i="14"/>
  <c r="S48" i="14"/>
  <c r="T46" i="14"/>
  <c r="R59" i="13"/>
  <c r="R57" i="13"/>
  <c r="S68" i="13"/>
  <c r="T54" i="13"/>
  <c r="S55" i="13"/>
  <c r="S147" i="13"/>
  <c r="S148" i="13" s="1"/>
  <c r="S67" i="13"/>
  <c r="S56" i="13"/>
  <c r="S66" i="13"/>
  <c r="R51" i="14"/>
  <c r="R49" i="14"/>
  <c r="X52" i="12"/>
  <c r="X60" i="12"/>
  <c r="X61" i="12"/>
  <c r="X51" i="12"/>
  <c r="W53" i="12"/>
  <c r="P61" i="14" l="1"/>
  <c r="P81" i="14" s="1"/>
  <c r="P82" i="14" s="1"/>
  <c r="W168" i="12"/>
  <c r="V59" i="12"/>
  <c r="V55" i="12"/>
  <c r="T81" i="12"/>
  <c r="T82" i="12" s="1"/>
  <c r="T63" i="12"/>
  <c r="X164" i="12"/>
  <c r="X166" i="12" s="1"/>
  <c r="X167" i="12" s="1"/>
  <c r="X169" i="12"/>
  <c r="X170" i="12" s="1"/>
  <c r="X171" i="12" s="1"/>
  <c r="X54" i="12" s="1"/>
  <c r="S63" i="12"/>
  <c r="S81" i="12"/>
  <c r="S82" i="12" s="1"/>
  <c r="U56" i="12"/>
  <c r="U57" i="12"/>
  <c r="U58" i="12" s="1"/>
  <c r="U62" i="12" s="1"/>
  <c r="P55" i="14"/>
  <c r="Q53" i="14" s="1"/>
  <c r="N62" i="13"/>
  <c r="N64" i="13" s="1"/>
  <c r="N65" i="13" s="1"/>
  <c r="N69" i="13" s="1"/>
  <c r="S51" i="14"/>
  <c r="S49" i="14"/>
  <c r="R52" i="14"/>
  <c r="R60" i="13"/>
  <c r="T140" i="14"/>
  <c r="T141" i="14" s="1"/>
  <c r="T47" i="14"/>
  <c r="T50" i="14"/>
  <c r="T58" i="14" s="1"/>
  <c r="T60" i="14"/>
  <c r="T59" i="14"/>
  <c r="U46" i="14"/>
  <c r="T48" i="14"/>
  <c r="S57" i="13"/>
  <c r="S59" i="13"/>
  <c r="T66" i="13"/>
  <c r="U54" i="13"/>
  <c r="T68" i="13"/>
  <c r="T147" i="13"/>
  <c r="T148" i="13" s="1"/>
  <c r="T67" i="13"/>
  <c r="T56" i="13"/>
  <c r="T55" i="13"/>
  <c r="B94" i="12"/>
  <c r="B95" i="12" s="1"/>
  <c r="X53" i="12"/>
  <c r="P62" i="14" l="1"/>
  <c r="X168" i="12"/>
  <c r="U81" i="12"/>
  <c r="U82" i="12" s="1"/>
  <c r="U63" i="12"/>
  <c r="W59" i="12"/>
  <c r="W55" i="12"/>
  <c r="V57" i="12"/>
  <c r="V58" i="12" s="1"/>
  <c r="V62" i="12" s="1"/>
  <c r="V56" i="12"/>
  <c r="N89" i="13"/>
  <c r="N90" i="13" s="1"/>
  <c r="N70" i="13"/>
  <c r="N63" i="13"/>
  <c r="O61" i="13" s="1"/>
  <c r="Q54" i="14"/>
  <c r="Q56" i="14" s="1"/>
  <c r="Q57" i="14" s="1"/>
  <c r="Q61" i="14" s="1"/>
  <c r="C102" i="12"/>
  <c r="U140" i="14"/>
  <c r="U141" i="14" s="1"/>
  <c r="U47" i="14"/>
  <c r="V46" i="14"/>
  <c r="U60" i="14"/>
  <c r="U50" i="14"/>
  <c r="U58" i="14" s="1"/>
  <c r="U59" i="14"/>
  <c r="U48" i="14"/>
  <c r="T51" i="14"/>
  <c r="T49" i="14"/>
  <c r="T59" i="13"/>
  <c r="T57" i="13"/>
  <c r="U147" i="13"/>
  <c r="U148" i="13" s="1"/>
  <c r="V54" i="13"/>
  <c r="U56" i="13"/>
  <c r="U66" i="13"/>
  <c r="U68" i="13"/>
  <c r="U67" i="13"/>
  <c r="U55" i="13"/>
  <c r="S60" i="13"/>
  <c r="S52" i="14"/>
  <c r="X59" i="12" l="1"/>
  <c r="X55" i="12"/>
  <c r="V63" i="12"/>
  <c r="V81" i="12"/>
  <c r="V82" i="12" s="1"/>
  <c r="W56" i="12"/>
  <c r="W57" i="12"/>
  <c r="W58" i="12" s="1"/>
  <c r="W62" i="12" s="1"/>
  <c r="O62" i="13"/>
  <c r="O64" i="13" s="1"/>
  <c r="O65" i="13" s="1"/>
  <c r="O69" i="13" s="1"/>
  <c r="Q81" i="14"/>
  <c r="Q82" i="14" s="1"/>
  <c r="Q62" i="14"/>
  <c r="Q55" i="14"/>
  <c r="R53" i="14" s="1"/>
  <c r="V68" i="13"/>
  <c r="V56" i="13"/>
  <c r="W54" i="13"/>
  <c r="V55" i="13"/>
  <c r="V66" i="13"/>
  <c r="V147" i="13"/>
  <c r="V148" i="13" s="1"/>
  <c r="V67" i="13"/>
  <c r="T60" i="13"/>
  <c r="U49" i="14"/>
  <c r="U51" i="14"/>
  <c r="U59" i="13"/>
  <c r="U57" i="13"/>
  <c r="V140" i="14"/>
  <c r="V141" i="14" s="1"/>
  <c r="W46" i="14"/>
  <c r="V48" i="14"/>
  <c r="V50" i="14"/>
  <c r="V58" i="14" s="1"/>
  <c r="V60" i="14"/>
  <c r="V59" i="14"/>
  <c r="V47" i="14"/>
  <c r="T52" i="14"/>
  <c r="X56" i="12" l="1"/>
  <c r="X57" i="12"/>
  <c r="X58" i="12" s="1"/>
  <c r="X62" i="12" s="1"/>
  <c r="W63" i="12"/>
  <c r="W81" i="12"/>
  <c r="W82" i="12" s="1"/>
  <c r="O70" i="13"/>
  <c r="O89" i="13"/>
  <c r="O90" i="13" s="1"/>
  <c r="O63" i="13"/>
  <c r="P61" i="13" s="1"/>
  <c r="R54" i="14"/>
  <c r="R56" i="14" s="1"/>
  <c r="R57" i="14" s="1"/>
  <c r="R61" i="14" s="1"/>
  <c r="U60" i="13"/>
  <c r="V49" i="14"/>
  <c r="V51" i="14"/>
  <c r="W140" i="14"/>
  <c r="W141" i="14" s="1"/>
  <c r="W59" i="14"/>
  <c r="W50" i="14"/>
  <c r="W58" i="14" s="1"/>
  <c r="W47" i="14"/>
  <c r="X46" i="14"/>
  <c r="W48" i="14"/>
  <c r="W60" i="14"/>
  <c r="U52" i="14"/>
  <c r="W67" i="13"/>
  <c r="W68" i="13"/>
  <c r="W66" i="13"/>
  <c r="W56" i="13"/>
  <c r="W55" i="13"/>
  <c r="W147" i="13"/>
  <c r="W148" i="13" s="1"/>
  <c r="X54" i="13"/>
  <c r="V59" i="13"/>
  <c r="V57" i="13"/>
  <c r="C112" i="12" l="1"/>
  <c r="F111" i="12"/>
  <c r="E111" i="12"/>
  <c r="E115" i="12"/>
  <c r="D112" i="12"/>
  <c r="I115" i="12"/>
  <c r="I117" i="12"/>
  <c r="I111" i="12"/>
  <c r="D117" i="12"/>
  <c r="E113" i="12"/>
  <c r="E112" i="12"/>
  <c r="F115" i="12"/>
  <c r="H113" i="12"/>
  <c r="G116" i="12"/>
  <c r="F112" i="12"/>
  <c r="G112" i="12"/>
  <c r="E116" i="12"/>
  <c r="I116" i="12"/>
  <c r="G117" i="12"/>
  <c r="C111" i="12"/>
  <c r="E117" i="12"/>
  <c r="F114" i="12"/>
  <c r="I112" i="12"/>
  <c r="E114" i="12"/>
  <c r="H115" i="12"/>
  <c r="I114" i="12"/>
  <c r="G113" i="12"/>
  <c r="C116" i="12"/>
  <c r="G115" i="12"/>
  <c r="F113" i="12"/>
  <c r="H117" i="12"/>
  <c r="D115" i="12"/>
  <c r="D111" i="12"/>
  <c r="C114" i="12"/>
  <c r="H111" i="12"/>
  <c r="C115" i="12"/>
  <c r="H112" i="12"/>
  <c r="G114" i="12"/>
  <c r="D113" i="12"/>
  <c r="F116" i="12"/>
  <c r="D116" i="12"/>
  <c r="G111" i="12"/>
  <c r="H114" i="12"/>
  <c r="F117" i="12"/>
  <c r="C117" i="12"/>
  <c r="H116" i="12"/>
  <c r="C113" i="12"/>
  <c r="I113" i="12"/>
  <c r="D114" i="12"/>
  <c r="F132" i="12"/>
  <c r="E131" i="12"/>
  <c r="D135" i="12"/>
  <c r="D136" i="12"/>
  <c r="F131" i="12"/>
  <c r="D137" i="12"/>
  <c r="H132" i="12"/>
  <c r="F136" i="12"/>
  <c r="C135" i="12"/>
  <c r="G134" i="12"/>
  <c r="E134" i="12"/>
  <c r="E136" i="12"/>
  <c r="I136" i="12"/>
  <c r="H134" i="12"/>
  <c r="E132" i="12"/>
  <c r="G132" i="12"/>
  <c r="C136" i="12"/>
  <c r="C137" i="12"/>
  <c r="F137" i="12"/>
  <c r="I131" i="12"/>
  <c r="C132" i="12"/>
  <c r="I137" i="12"/>
  <c r="D132" i="12"/>
  <c r="G133" i="12"/>
  <c r="H131" i="12"/>
  <c r="H133" i="12"/>
  <c r="H135" i="12"/>
  <c r="F134" i="12"/>
  <c r="C131" i="12"/>
  <c r="I135" i="12"/>
  <c r="G137" i="12"/>
  <c r="G131" i="12"/>
  <c r="F133" i="12"/>
  <c r="D133" i="12"/>
  <c r="H137" i="12"/>
  <c r="D134" i="12"/>
  <c r="G136" i="12"/>
  <c r="H136" i="12"/>
  <c r="I134" i="12"/>
  <c r="D131" i="12"/>
  <c r="C134" i="12"/>
  <c r="E133" i="12"/>
  <c r="E137" i="12"/>
  <c r="C133" i="12"/>
  <c r="G135" i="12"/>
  <c r="E135" i="12"/>
  <c r="I132" i="12"/>
  <c r="I133" i="12"/>
  <c r="F135" i="12"/>
  <c r="X63" i="12"/>
  <c r="X81" i="12"/>
  <c r="X82" i="12" s="1"/>
  <c r="B87" i="12"/>
  <c r="B88" i="12" s="1"/>
  <c r="B89" i="12" s="1"/>
  <c r="B86" i="12"/>
  <c r="R55" i="14"/>
  <c r="S53" i="14" s="1"/>
  <c r="P62" i="13"/>
  <c r="P64" i="13" s="1"/>
  <c r="P65" i="13" s="1"/>
  <c r="P69" i="13" s="1"/>
  <c r="R81" i="14"/>
  <c r="R82" i="14" s="1"/>
  <c r="R62" i="14"/>
  <c r="W51" i="14"/>
  <c r="W49" i="14"/>
  <c r="W57" i="13"/>
  <c r="W59" i="13"/>
  <c r="X140" i="14"/>
  <c r="X141" i="14" s="1"/>
  <c r="X59" i="14"/>
  <c r="X48" i="14"/>
  <c r="B94" i="14"/>
  <c r="B95" i="14" s="1"/>
  <c r="B96" i="14" s="1"/>
  <c r="X60" i="14"/>
  <c r="X50" i="14"/>
  <c r="X58" i="14" s="1"/>
  <c r="X47" i="14"/>
  <c r="V52" i="14"/>
  <c r="V60" i="13"/>
  <c r="X147" i="13"/>
  <c r="X148" i="13" s="1"/>
  <c r="X68" i="13"/>
  <c r="X67" i="13"/>
  <c r="X66" i="13"/>
  <c r="X55" i="13"/>
  <c r="X56" i="13"/>
  <c r="I122" i="12" l="1"/>
  <c r="G123" i="12"/>
  <c r="G124" i="12"/>
  <c r="D126" i="12"/>
  <c r="D123" i="12"/>
  <c r="D125" i="12"/>
  <c r="H126" i="12"/>
  <c r="G122" i="12"/>
  <c r="D121" i="12"/>
  <c r="E125" i="12"/>
  <c r="F121" i="12"/>
  <c r="I124" i="12"/>
  <c r="H125" i="12"/>
  <c r="F125" i="12"/>
  <c r="E126" i="12"/>
  <c r="D122" i="12"/>
  <c r="F126" i="12"/>
  <c r="E123" i="12"/>
  <c r="I127" i="12"/>
  <c r="C122" i="12"/>
  <c r="G121" i="12"/>
  <c r="E127" i="12"/>
  <c r="G127" i="12"/>
  <c r="F127" i="12"/>
  <c r="H124" i="12"/>
  <c r="H123" i="12"/>
  <c r="G126" i="12"/>
  <c r="H121" i="12"/>
  <c r="F124" i="12"/>
  <c r="E122" i="12"/>
  <c r="E121" i="12"/>
  <c r="F122" i="12"/>
  <c r="I121" i="12"/>
  <c r="C127" i="12"/>
  <c r="C124" i="12"/>
  <c r="E124" i="12"/>
  <c r="G125" i="12"/>
  <c r="C125" i="12"/>
  <c r="C123" i="12"/>
  <c r="D127" i="12"/>
  <c r="H122" i="12"/>
  <c r="C126" i="12"/>
  <c r="I126" i="12"/>
  <c r="F123" i="12"/>
  <c r="I125" i="12"/>
  <c r="H127" i="12"/>
  <c r="D124" i="12"/>
  <c r="I123" i="12"/>
  <c r="C121" i="12"/>
  <c r="B102" i="12"/>
  <c r="B90" i="12"/>
  <c r="C101" i="12"/>
  <c r="C103" i="12" s="1"/>
  <c r="C9" i="11" s="1"/>
  <c r="B101" i="12"/>
  <c r="P89" i="13"/>
  <c r="P90" i="13" s="1"/>
  <c r="P70" i="13"/>
  <c r="P63" i="13"/>
  <c r="Q61" i="13" s="1"/>
  <c r="S54" i="14"/>
  <c r="S56" i="14" s="1"/>
  <c r="S57" i="14" s="1"/>
  <c r="S61" i="14" s="1"/>
  <c r="B102" i="14"/>
  <c r="W60" i="13"/>
  <c r="X59" i="13"/>
  <c r="X57" i="13"/>
  <c r="B102" i="13"/>
  <c r="B103" i="13" s="1"/>
  <c r="B104" i="13" s="1"/>
  <c r="X49" i="14"/>
  <c r="X51" i="14"/>
  <c r="W52" i="14"/>
  <c r="B103" i="12" l="1"/>
  <c r="C105" i="12"/>
  <c r="C12" i="16"/>
  <c r="S62" i="14"/>
  <c r="S81" i="14"/>
  <c r="S82" i="14" s="1"/>
  <c r="S55" i="14"/>
  <c r="T53" i="14" s="1"/>
  <c r="Q62" i="13"/>
  <c r="Q64" i="13" s="1"/>
  <c r="Q65" i="13" s="1"/>
  <c r="Q69" i="13" s="1"/>
  <c r="C110" i="13"/>
  <c r="X52" i="14"/>
  <c r="X60" i="13"/>
  <c r="B105" i="12" l="1"/>
  <c r="B9" i="11"/>
  <c r="B42" i="11" s="1"/>
  <c r="C42" i="11" s="1"/>
  <c r="C6" i="19"/>
  <c r="T54" i="14"/>
  <c r="T56" i="14" s="1"/>
  <c r="T57" i="14" s="1"/>
  <c r="T61" i="14" s="1"/>
  <c r="Q89" i="13"/>
  <c r="Q90" i="13" s="1"/>
  <c r="Q70" i="13"/>
  <c r="Q63" i="13"/>
  <c r="R61" i="13" s="1"/>
  <c r="B12" i="16" l="1"/>
  <c r="B27" i="27"/>
  <c r="D12" i="16"/>
  <c r="B26" i="20"/>
  <c r="B27" i="20"/>
  <c r="R62" i="13"/>
  <c r="R64" i="13" s="1"/>
  <c r="R65" i="13" s="1"/>
  <c r="R69" i="13" s="1"/>
  <c r="T81" i="14"/>
  <c r="T82" i="14" s="1"/>
  <c r="T62" i="14"/>
  <c r="T55" i="14"/>
  <c r="U53" i="14" s="1"/>
  <c r="U54" i="14" l="1"/>
  <c r="U56" i="14" s="1"/>
  <c r="U57" i="14" s="1"/>
  <c r="U61" i="14" s="1"/>
  <c r="R89" i="13"/>
  <c r="R90" i="13" s="1"/>
  <c r="R70" i="13"/>
  <c r="R63" i="13"/>
  <c r="S61" i="13" s="1"/>
  <c r="U55" i="14" l="1"/>
  <c r="V53" i="14" s="1"/>
  <c r="V54" i="14" s="1"/>
  <c r="V56" i="14" s="1"/>
  <c r="V57" i="14" s="1"/>
  <c r="V61" i="14" s="1"/>
  <c r="S62" i="13"/>
  <c r="S64" i="13" s="1"/>
  <c r="S65" i="13" s="1"/>
  <c r="S69" i="13" s="1"/>
  <c r="U81" i="14"/>
  <c r="U82" i="14" s="1"/>
  <c r="U62" i="14"/>
  <c r="V55" i="14" l="1"/>
  <c r="W53" i="14" s="1"/>
  <c r="S89" i="13"/>
  <c r="S90" i="13" s="1"/>
  <c r="S70" i="13"/>
  <c r="V81" i="14"/>
  <c r="V82" i="14" s="1"/>
  <c r="V62" i="14"/>
  <c r="S63" i="13"/>
  <c r="T61" i="13" s="1"/>
  <c r="W54" i="14" l="1"/>
  <c r="W56" i="14" s="1"/>
  <c r="W57" i="14" s="1"/>
  <c r="W61" i="14" s="1"/>
  <c r="T62" i="13"/>
  <c r="T64" i="13" s="1"/>
  <c r="T65" i="13" s="1"/>
  <c r="T69" i="13" s="1"/>
  <c r="T89" i="13" l="1"/>
  <c r="T90" i="13" s="1"/>
  <c r="T70" i="13"/>
  <c r="T63" i="13"/>
  <c r="U61" i="13" s="1"/>
  <c r="W62" i="14"/>
  <c r="W81" i="14"/>
  <c r="W82" i="14" s="1"/>
  <c r="W55" i="14"/>
  <c r="X53" i="14" s="1"/>
  <c r="X54" i="14" l="1"/>
  <c r="X56" i="14" s="1"/>
  <c r="X57" i="14" s="1"/>
  <c r="X61" i="14" s="1"/>
  <c r="U62" i="13"/>
  <c r="U64" i="13" s="1"/>
  <c r="U65" i="13" s="1"/>
  <c r="U69" i="13" s="1"/>
  <c r="F127" i="14" l="1"/>
  <c r="G116" i="14"/>
  <c r="C122" i="14"/>
  <c r="C115" i="14"/>
  <c r="D122" i="14"/>
  <c r="G126" i="14"/>
  <c r="D117" i="14"/>
  <c r="F114" i="14"/>
  <c r="C116" i="14"/>
  <c r="C111" i="14"/>
  <c r="G111" i="14"/>
  <c r="F111" i="14"/>
  <c r="H124" i="14"/>
  <c r="C112" i="14"/>
  <c r="I116" i="14"/>
  <c r="E112" i="14"/>
  <c r="G121" i="14"/>
  <c r="G117" i="14"/>
  <c r="C121" i="14"/>
  <c r="E123" i="14"/>
  <c r="H112" i="14"/>
  <c r="H116" i="14"/>
  <c r="I114" i="14"/>
  <c r="H127" i="14"/>
  <c r="E116" i="14"/>
  <c r="D115" i="14"/>
  <c r="D124" i="14"/>
  <c r="H117" i="14"/>
  <c r="D121" i="14"/>
  <c r="C114" i="14"/>
  <c r="D113" i="14"/>
  <c r="G115" i="14"/>
  <c r="H123" i="14"/>
  <c r="E114" i="14"/>
  <c r="G112" i="14"/>
  <c r="C126" i="14"/>
  <c r="F124" i="14"/>
  <c r="C127" i="14"/>
  <c r="D111" i="14"/>
  <c r="I115" i="14"/>
  <c r="E127" i="14"/>
  <c r="H115" i="14"/>
  <c r="H111" i="14"/>
  <c r="I112" i="14"/>
  <c r="C117" i="14"/>
  <c r="I111" i="14"/>
  <c r="I117" i="14"/>
  <c r="G125" i="14"/>
  <c r="G122" i="14"/>
  <c r="C123" i="14"/>
  <c r="E122" i="14"/>
  <c r="I126" i="14"/>
  <c r="F112" i="14"/>
  <c r="E121" i="14"/>
  <c r="E113" i="14"/>
  <c r="F117" i="14"/>
  <c r="E111" i="14"/>
  <c r="I127" i="14"/>
  <c r="I113" i="14"/>
  <c r="D125" i="14"/>
  <c r="H121" i="14"/>
  <c r="E126" i="14"/>
  <c r="E117" i="14"/>
  <c r="I122" i="14"/>
  <c r="H126" i="14"/>
  <c r="F121" i="14"/>
  <c r="D127" i="14"/>
  <c r="G113" i="14"/>
  <c r="E115" i="14"/>
  <c r="G114" i="14"/>
  <c r="F116" i="14"/>
  <c r="D116" i="14"/>
  <c r="H122" i="14"/>
  <c r="G127" i="14"/>
  <c r="H114" i="14"/>
  <c r="C125" i="14"/>
  <c r="H125" i="14"/>
  <c r="F115" i="14"/>
  <c r="I125" i="14"/>
  <c r="F125" i="14"/>
  <c r="F123" i="14"/>
  <c r="G123" i="14"/>
  <c r="G124" i="14"/>
  <c r="D114" i="14"/>
  <c r="E124" i="14"/>
  <c r="D123" i="14"/>
  <c r="C113" i="14"/>
  <c r="D112" i="14"/>
  <c r="I124" i="14"/>
  <c r="F122" i="14"/>
  <c r="F113" i="14"/>
  <c r="D126" i="14"/>
  <c r="H113" i="14"/>
  <c r="C124" i="14"/>
  <c r="F126" i="14"/>
  <c r="E125" i="14"/>
  <c r="I123" i="14"/>
  <c r="I121" i="14"/>
  <c r="U63" i="13"/>
  <c r="V61" i="13" s="1"/>
  <c r="U70" i="13"/>
  <c r="U89" i="13"/>
  <c r="U90" i="13" s="1"/>
  <c r="B87" i="14"/>
  <c r="B88" i="14" s="1"/>
  <c r="B89" i="14" s="1"/>
  <c r="X62" i="14"/>
  <c r="B86" i="14"/>
  <c r="X81" i="14"/>
  <c r="X82" i="14" s="1"/>
  <c r="X55" i="14"/>
  <c r="C102" i="14" l="1"/>
  <c r="B90" i="14"/>
  <c r="C101" i="14"/>
  <c r="B101" i="14"/>
  <c r="B103" i="14" s="1"/>
  <c r="V62" i="13"/>
  <c r="V64" i="13" s="1"/>
  <c r="V65" i="13" s="1"/>
  <c r="V69" i="13" s="1"/>
  <c r="B11" i="11" l="1"/>
  <c r="C103" i="14"/>
  <c r="V89" i="13"/>
  <c r="V90" i="13" s="1"/>
  <c r="V70" i="13"/>
  <c r="V63" i="13"/>
  <c r="W61" i="13" s="1"/>
  <c r="B105" i="14"/>
  <c r="C11" i="11" l="1"/>
  <c r="D11" i="11" s="1"/>
  <c r="C105" i="14"/>
  <c r="B14" i="16"/>
  <c r="W62" i="13"/>
  <c r="W64" i="13" s="1"/>
  <c r="W65" i="13" s="1"/>
  <c r="W69" i="13" s="1"/>
  <c r="C14" i="16" l="1"/>
  <c r="W63" i="13"/>
  <c r="X61" i="13" s="1"/>
  <c r="W70" i="13"/>
  <c r="W89" i="13"/>
  <c r="W90" i="13" s="1"/>
  <c r="B29" i="27"/>
  <c r="C8" i="19"/>
  <c r="D14" i="16"/>
  <c r="B44" i="11" l="1"/>
  <c r="X62" i="13"/>
  <c r="X64" i="13" s="1"/>
  <c r="X65" i="13" s="1"/>
  <c r="X69" i="13" s="1"/>
  <c r="D130" i="13" l="1"/>
  <c r="E129" i="13"/>
  <c r="G131" i="13"/>
  <c r="D134" i="13"/>
  <c r="E132" i="13"/>
  <c r="I124" i="13"/>
  <c r="H120" i="13"/>
  <c r="C129" i="13"/>
  <c r="H121" i="13"/>
  <c r="D132" i="13"/>
  <c r="C135" i="13"/>
  <c r="H134" i="13"/>
  <c r="I123" i="13"/>
  <c r="H133" i="13"/>
  <c r="G134" i="13"/>
  <c r="D129" i="13"/>
  <c r="G125" i="13"/>
  <c r="G135" i="13"/>
  <c r="D120" i="13"/>
  <c r="F135" i="13"/>
  <c r="H132" i="13"/>
  <c r="I119" i="13"/>
  <c r="F125" i="13"/>
  <c r="C123" i="13"/>
  <c r="E121" i="13"/>
  <c r="H130" i="13"/>
  <c r="E124" i="13"/>
  <c r="F130" i="13"/>
  <c r="F131" i="13"/>
  <c r="E122" i="13"/>
  <c r="C125" i="13"/>
  <c r="D123" i="13"/>
  <c r="G129" i="13"/>
  <c r="E134" i="13"/>
  <c r="F120" i="13"/>
  <c r="C122" i="13"/>
  <c r="D125" i="13"/>
  <c r="H125" i="13"/>
  <c r="E133" i="13"/>
  <c r="G123" i="13"/>
  <c r="H124" i="13"/>
  <c r="C131" i="13"/>
  <c r="F133" i="13"/>
  <c r="D121" i="13"/>
  <c r="F123" i="13"/>
  <c r="I132" i="13"/>
  <c r="F122" i="13"/>
  <c r="E120" i="13"/>
  <c r="G132" i="13"/>
  <c r="I129" i="13"/>
  <c r="I133" i="13"/>
  <c r="C133" i="13"/>
  <c r="E123" i="13"/>
  <c r="G121" i="13"/>
  <c r="I131" i="13"/>
  <c r="G133" i="13"/>
  <c r="H122" i="13"/>
  <c r="F134" i="13"/>
  <c r="F129" i="13"/>
  <c r="I135" i="13"/>
  <c r="E125" i="13"/>
  <c r="C124" i="13"/>
  <c r="D135" i="13"/>
  <c r="I125" i="13"/>
  <c r="D122" i="13"/>
  <c r="C121" i="13"/>
  <c r="E130" i="13"/>
  <c r="D124" i="13"/>
  <c r="C132" i="13"/>
  <c r="G122" i="13"/>
  <c r="F119" i="13"/>
  <c r="F132" i="13"/>
  <c r="D133" i="13"/>
  <c r="H129" i="13"/>
  <c r="E131" i="13"/>
  <c r="H123" i="13"/>
  <c r="F121" i="13"/>
  <c r="D119" i="13"/>
  <c r="C120" i="13"/>
  <c r="G119" i="13"/>
  <c r="I130" i="13"/>
  <c r="H119" i="13"/>
  <c r="G124" i="13"/>
  <c r="C130" i="13"/>
  <c r="I121" i="13"/>
  <c r="I120" i="13"/>
  <c r="C119" i="13"/>
  <c r="H135" i="13"/>
  <c r="G130" i="13"/>
  <c r="E135" i="13"/>
  <c r="F124" i="13"/>
  <c r="I122" i="13"/>
  <c r="D131" i="13"/>
  <c r="C134" i="13"/>
  <c r="H131" i="13"/>
  <c r="I134" i="13"/>
  <c r="E119" i="13"/>
  <c r="G120" i="13"/>
  <c r="C44" i="11"/>
  <c r="B94" i="13"/>
  <c r="X70" i="13"/>
  <c r="B95" i="13"/>
  <c r="B96" i="13" s="1"/>
  <c r="B97" i="13" s="1"/>
  <c r="X89" i="13"/>
  <c r="X90" i="13" s="1"/>
  <c r="X63" i="13"/>
  <c r="B110" i="13" l="1"/>
  <c r="B98" i="13"/>
  <c r="C109" i="13"/>
  <c r="C111" i="13" s="1"/>
  <c r="C10" i="11" s="1"/>
  <c r="C12" i="11" s="1"/>
  <c r="C17" i="11" s="1"/>
  <c r="C23" i="11" s="1"/>
  <c r="B109" i="13"/>
  <c r="C35" i="11" l="1"/>
  <c r="C37" i="11" s="1"/>
  <c r="C30" i="11"/>
  <c r="C31" i="11"/>
  <c r="B111" i="13"/>
  <c r="C113" i="13"/>
  <c r="B10" i="11" l="1"/>
  <c r="C77" i="11"/>
  <c r="F76" i="11"/>
  <c r="I69" i="11"/>
  <c r="F79" i="11"/>
  <c r="C67" i="11"/>
  <c r="B48" i="16" s="1"/>
  <c r="I75" i="11"/>
  <c r="E79" i="11"/>
  <c r="G67" i="11"/>
  <c r="F48" i="16" s="1"/>
  <c r="E70" i="11"/>
  <c r="D51" i="16" s="1"/>
  <c r="I70" i="11"/>
  <c r="H51" i="16" s="1"/>
  <c r="G76" i="11"/>
  <c r="E78" i="11"/>
  <c r="C81" i="11"/>
  <c r="F78" i="11"/>
  <c r="C71" i="11"/>
  <c r="B52" i="16" s="1"/>
  <c r="H66" i="11"/>
  <c r="G47" i="16" s="1"/>
  <c r="H69" i="11"/>
  <c r="I76" i="11"/>
  <c r="H78" i="11"/>
  <c r="C79" i="11"/>
  <c r="H80" i="11"/>
  <c r="H76" i="11"/>
  <c r="H70" i="11"/>
  <c r="G51" i="16" s="1"/>
  <c r="D65" i="11"/>
  <c r="C46" i="16" s="1"/>
  <c r="H75" i="11"/>
  <c r="F70" i="11"/>
  <c r="E51" i="16" s="1"/>
  <c r="E77" i="11"/>
  <c r="H67" i="11"/>
  <c r="G48" i="16" s="1"/>
  <c r="G80" i="11"/>
  <c r="G69" i="11"/>
  <c r="F50" i="16" s="1"/>
  <c r="I81" i="11"/>
  <c r="I77" i="11"/>
  <c r="C75" i="11"/>
  <c r="G78" i="11"/>
  <c r="G77" i="11"/>
  <c r="D81" i="11"/>
  <c r="D68" i="11"/>
  <c r="C49" i="16" s="1"/>
  <c r="E66" i="11"/>
  <c r="D47" i="16" s="1"/>
  <c r="I80" i="11"/>
  <c r="F80" i="11"/>
  <c r="F65" i="11"/>
  <c r="E46" i="16" s="1"/>
  <c r="C70" i="11"/>
  <c r="B51" i="16" s="1"/>
  <c r="E71" i="11"/>
  <c r="D52" i="16" s="1"/>
  <c r="H71" i="11"/>
  <c r="G52" i="16" s="1"/>
  <c r="D78" i="11"/>
  <c r="H79" i="11"/>
  <c r="D71" i="11"/>
  <c r="C52" i="16" s="1"/>
  <c r="D77" i="11"/>
  <c r="D70" i="11"/>
  <c r="C51" i="16" s="1"/>
  <c r="F71" i="11"/>
  <c r="G70" i="11"/>
  <c r="F51" i="16" s="1"/>
  <c r="E69" i="11"/>
  <c r="D50" i="16" s="1"/>
  <c r="E65" i="11"/>
  <c r="D46" i="16" s="1"/>
  <c r="I65" i="11"/>
  <c r="H46" i="16" s="1"/>
  <c r="F68" i="11"/>
  <c r="E49" i="16" s="1"/>
  <c r="C80" i="11"/>
  <c r="C76" i="11"/>
  <c r="H81" i="11"/>
  <c r="I71" i="11"/>
  <c r="H52" i="16" s="1"/>
  <c r="I67" i="11"/>
  <c r="H48" i="16" s="1"/>
  <c r="E68" i="11"/>
  <c r="D49" i="16" s="1"/>
  <c r="C78" i="11"/>
  <c r="F69" i="11"/>
  <c r="E50" i="16" s="1"/>
  <c r="D66" i="11"/>
  <c r="C47" i="16" s="1"/>
  <c r="F81" i="11"/>
  <c r="F75" i="11"/>
  <c r="D80" i="11"/>
  <c r="G68" i="11"/>
  <c r="F49" i="16" s="1"/>
  <c r="G81" i="11"/>
  <c r="F66" i="11"/>
  <c r="E47" i="16" s="1"/>
  <c r="I66" i="11"/>
  <c r="H47" i="16" s="1"/>
  <c r="G75" i="11"/>
  <c r="E81" i="11"/>
  <c r="E80" i="11"/>
  <c r="I78" i="11"/>
  <c r="D79" i="11"/>
  <c r="F67" i="11"/>
  <c r="E48" i="16" s="1"/>
  <c r="C68" i="11"/>
  <c r="B49" i="16" s="1"/>
  <c r="G79" i="11"/>
  <c r="E76" i="11"/>
  <c r="E67" i="11"/>
  <c r="D48" i="16" s="1"/>
  <c r="C65" i="11"/>
  <c r="H77" i="11"/>
  <c r="D67" i="11"/>
  <c r="C48" i="16" s="1"/>
  <c r="D75" i="11"/>
  <c r="E75" i="11"/>
  <c r="H68" i="11"/>
  <c r="G49" i="16" s="1"/>
  <c r="G65" i="11"/>
  <c r="F46" i="16" s="1"/>
  <c r="D69" i="11"/>
  <c r="C50" i="16" s="1"/>
  <c r="C66" i="11"/>
  <c r="B47" i="16" s="1"/>
  <c r="D76" i="11"/>
  <c r="G71" i="11"/>
  <c r="F52" i="16" s="1"/>
  <c r="F77" i="11"/>
  <c r="I79" i="11"/>
  <c r="I68" i="11"/>
  <c r="H49" i="16" s="1"/>
  <c r="G66" i="11"/>
  <c r="F47" i="16" s="1"/>
  <c r="C69" i="11"/>
  <c r="B50" i="16" s="1"/>
  <c r="H65" i="11"/>
  <c r="G46" i="16" s="1"/>
  <c r="B113" i="13"/>
  <c r="H50" i="16"/>
  <c r="E52" i="16"/>
  <c r="G50" i="16"/>
  <c r="B13" i="16"/>
  <c r="C13" i="16"/>
  <c r="B12" i="11" l="1"/>
  <c r="B17" i="11" s="1"/>
  <c r="B23" i="11" s="1"/>
  <c r="B46" i="16"/>
  <c r="B59" i="27"/>
  <c r="C17" i="27"/>
  <c r="C10" i="16"/>
  <c r="B28" i="27"/>
  <c r="C7" i="19"/>
  <c r="D13" i="16"/>
  <c r="B17" i="27"/>
  <c r="B10" i="16"/>
  <c r="B35" i="11" l="1"/>
  <c r="B37" i="11" s="1"/>
  <c r="B31" i="11"/>
  <c r="B30" i="11"/>
  <c r="B43" i="11"/>
  <c r="D12" i="11"/>
  <c r="E10" i="11"/>
  <c r="C28" i="27" s="1"/>
  <c r="B18" i="27"/>
  <c r="B19" i="27" s="1"/>
  <c r="C48" i="19"/>
  <c r="B15" i="16"/>
  <c r="B19" i="16"/>
  <c r="D17" i="27"/>
  <c r="B30" i="27"/>
  <c r="D10" i="16"/>
  <c r="H14" i="16" s="1"/>
  <c r="B6" i="20"/>
  <c r="C18" i="27"/>
  <c r="C19" i="27" s="1"/>
  <c r="C15" i="16"/>
  <c r="C19" i="16"/>
  <c r="D17" i="11" l="1"/>
  <c r="D23" i="11" s="1"/>
  <c r="D18" i="27" s="1"/>
  <c r="D19" i="27" s="1"/>
  <c r="D21" i="27" s="1"/>
  <c r="E11" i="11"/>
  <c r="C29" i="27" s="1"/>
  <c r="B45" i="11"/>
  <c r="D43" i="11" s="1"/>
  <c r="E9" i="11"/>
  <c r="C27" i="27" s="1"/>
  <c r="E12" i="11"/>
  <c r="C30" i="27" s="1"/>
  <c r="C43" i="11"/>
  <c r="B28" i="20"/>
  <c r="B25" i="20"/>
  <c r="H12" i="16"/>
  <c r="C26" i="16"/>
  <c r="C24" i="16"/>
  <c r="B21" i="27"/>
  <c r="B57" i="27"/>
  <c r="B26" i="16"/>
  <c r="B24" i="16"/>
  <c r="C39" i="16"/>
  <c r="B39" i="16"/>
  <c r="D39" i="16"/>
  <c r="B18" i="16"/>
  <c r="C18" i="16"/>
  <c r="D40" i="16"/>
  <c r="B40" i="16"/>
  <c r="C40" i="16"/>
  <c r="C21" i="27"/>
  <c r="B58" i="27"/>
  <c r="H13" i="16"/>
  <c r="D15" i="16" l="1"/>
  <c r="C49" i="19"/>
  <c r="B71" i="16"/>
  <c r="C71" i="16" s="1"/>
  <c r="C72" i="16" s="1"/>
  <c r="C73" i="16" s="1"/>
  <c r="C74" i="16" s="1"/>
  <c r="C75" i="16" s="1"/>
  <c r="B76" i="16" s="1"/>
  <c r="C76" i="16" s="1"/>
  <c r="B5" i="20"/>
  <c r="B30" i="20" s="1"/>
  <c r="D44" i="11"/>
  <c r="C45" i="11"/>
  <c r="D42" i="11"/>
  <c r="D45" i="11" s="1"/>
  <c r="D35" i="11"/>
  <c r="D37" i="11" s="1"/>
  <c r="D31" i="11"/>
  <c r="E109" i="11" s="1"/>
  <c r="D30" i="11"/>
  <c r="D41" i="16" s="1"/>
  <c r="E104" i="11"/>
  <c r="E108" i="11"/>
  <c r="E106" i="11"/>
  <c r="E101" i="11" l="1"/>
  <c r="E102" i="11"/>
  <c r="D19" i="16"/>
  <c r="D26" i="16" s="1"/>
  <c r="E105" i="11"/>
  <c r="E103" i="11"/>
  <c r="E107" i="11"/>
  <c r="E100" i="11"/>
  <c r="B41" i="16"/>
  <c r="C41" i="16"/>
  <c r="D18" i="16"/>
  <c r="D24" i="1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Rifat Tahmid</author>
  </authors>
  <commentList>
    <comment ref="B5" authorId="0" shapeId="0" xr:uid="{431B80C4-5E1B-4A13-A90B-0A3A58AE2748}">
      <text>
        <r>
          <rPr>
            <b/>
            <sz val="9"/>
            <color indexed="81"/>
            <rFont val="Tahoma"/>
            <family val="2"/>
          </rPr>
          <t>Rifat Tahmid:</t>
        </r>
        <r>
          <rPr>
            <sz val="9"/>
            <color indexed="81"/>
            <rFont val="Tahoma"/>
            <family val="2"/>
          </rPr>
          <t xml:space="preserve">
IPO offering price = $135.00/share (fixed-price offering).
Source: Reuters, June 3, 2026 — 'SpaceX plans to set IPO price at $135 per share, targeting record $75B raise.' Targets $1.75T valuation, 555.6M new primary shares, 2x oversubscribed ($150B demand).
Note: unusually, SpaceX fixed the price ahead of the roadshow rather than setting a range. Final terms subject to pricing (~June 11, 2026).</t>
        </r>
      </text>
    </comment>
    <comment ref="A19" authorId="0" shapeId="0" xr:uid="{E6FCADA8-FE96-46D8-ADAB-BC544E1121CD}">
      <text>
        <r>
          <rPr>
            <b/>
            <sz val="9"/>
            <color indexed="81"/>
            <rFont val="Tahoma"/>
            <family val="2"/>
          </rPr>
          <t>Rifat Tahmid:</t>
        </r>
        <r>
          <rPr>
            <sz val="9"/>
            <color indexed="81"/>
            <rFont val="Tahoma"/>
            <family val="2"/>
          </rPr>
          <t xml:space="preserve">
Fully-diluted post-IPO share count = ~12,960M. This is the PRIMARY share basis for valuation.
Triangulated from three independent sources that converge:
  1. Dec 2023: $180B / $97 pre-split x5 split = ~9.3B
  2. Dec 2025 tender: $800B / $421 pre-split x5 = ~9.5B
  3. IPO: $1.75T / $135 = ~12.96B (post xAI merger + preferred conversion + 555.6M new primary shares)
Our earlier 5,798M (basic, row 17) counts only Class A+B+C common per the S-1 Q1 2026 balance sheet. It excludes converted redeemable preferred, shares issued in the Feb 2026 xAI merger, unvested RSUs/options, and the 555.6M new IPO primary shares — hence it understates the true count by ~2x.
Sources: SpaceX S-1 (p. F-63, Q1 2026 BS); Reuters (Jun 3, 2026, $135/$1.75T); Sacra (5:1 split, May 2026).
S-1 URL: https://www.sec.gov/Archives/edgar/data/1181412/000162828026036936/spaceexplorationtechnologi.htm</t>
        </r>
      </text>
    </comment>
    <comment ref="B57" authorId="0" shapeId="0" xr:uid="{825E18EA-18A8-49B3-BBB1-8DBC6964DADD}">
      <text>
        <r>
          <rPr>
            <b/>
            <sz val="9"/>
            <color indexed="81"/>
            <rFont val="Tahoma"/>
            <charset val="1"/>
          </rPr>
          <t>Rifat Tahmid:</t>
        </r>
        <r>
          <rPr>
            <sz val="9"/>
            <color indexed="81"/>
            <rFont val="Tahoma"/>
            <charset val="1"/>
          </rPr>
          <t xml:space="preserve">
SpaceX S-1 | Filed May 20, 2026
Consolidated Statements of Operations
Page F-5
https://www.sec.gov/Archives/edgar/data/1181412/000162828026036936/spaceexplorationtechnologi.htm</t>
        </r>
      </text>
    </comment>
    <comment ref="C57" authorId="0" shapeId="0" xr:uid="{D99AD4B7-FC11-4CED-8670-4B91FF8EA036}">
      <text>
        <r>
          <rPr>
            <b/>
            <sz val="9"/>
            <color indexed="81"/>
            <rFont val="Tahoma"/>
            <charset val="1"/>
          </rPr>
          <t>Rifat Tahmid:</t>
        </r>
        <r>
          <rPr>
            <sz val="9"/>
            <color indexed="81"/>
            <rFont val="Tahoma"/>
            <charset val="1"/>
          </rPr>
          <t xml:space="preserve">
SpaceX S-1 | Filed May 20, 2026
Consolidated Statements of Operations
Page F-5
https://www.sec.gov/Archives/edgar/data/1181412/000162828026036936/spaceexplorationtechnologi.htm</t>
        </r>
      </text>
    </comment>
    <comment ref="D57" authorId="0" shapeId="0" xr:uid="{D6FF62E3-EFD4-4F48-8D0A-68943F7C4C22}">
      <text>
        <r>
          <rPr>
            <b/>
            <sz val="9"/>
            <color indexed="81"/>
            <rFont val="Tahoma"/>
            <charset val="1"/>
          </rPr>
          <t>Rifat Tahmid:</t>
        </r>
        <r>
          <rPr>
            <sz val="9"/>
            <color indexed="81"/>
            <rFont val="Tahoma"/>
            <charset val="1"/>
          </rPr>
          <t xml:space="preserve">
SpaceX S-1 | Filed May 20, 2026
Consolidated Statements of Operations
Page F-5
https://www.sec.gov/Archives/edgar/data/1181412/000162828026036936/spaceexplorationtechnologi.htm</t>
        </r>
      </text>
    </comment>
    <comment ref="B58" authorId="0" shapeId="0" xr:uid="{671A213E-26E6-42DF-9861-720991BD7A90}">
      <text>
        <r>
          <rPr>
            <b/>
            <sz val="9"/>
            <color indexed="81"/>
            <rFont val="Tahoma"/>
            <charset val="1"/>
          </rPr>
          <t>Rifat Tahmid:</t>
        </r>
        <r>
          <rPr>
            <sz val="9"/>
            <color indexed="81"/>
            <rFont val="Tahoma"/>
            <charset val="1"/>
          </rPr>
          <t xml:space="preserve">
Source: SpaceX S-1, SEC EDGAR, Filed May 20 2026
Connectivity Revenue FY2023A: $3,869M
Page: F-59 (Note 19 — Segments, YE Dec 31 2023)
https://www.sec.gov/Archives/edgar/data/1181412/000162828026036936/spaceexplorationtechnologi.htm</t>
        </r>
      </text>
    </comment>
    <comment ref="C58" authorId="0" shapeId="0" xr:uid="{E7D61923-871C-4DCC-BE11-EB7B4C9D2E86}">
      <text>
        <r>
          <rPr>
            <b/>
            <sz val="9"/>
            <color indexed="81"/>
            <rFont val="Tahoma"/>
            <charset val="1"/>
          </rPr>
          <t>Rifat Tahmid:</t>
        </r>
        <r>
          <rPr>
            <sz val="9"/>
            <color indexed="81"/>
            <rFont val="Tahoma"/>
            <charset val="1"/>
          </rPr>
          <t xml:space="preserve">
Source: SpaceX S-1, SEC EDGAR, Filed May 20 2026
Connectivity Revenue FY2024A: $7,599M
Page: F-58 (Note 19 — Segments, YE Dec 31 2024)
https://www.sec.gov/Archives/edgar/data/1181412/000162828026036936/spaceexplorationtechnologi.htm</t>
        </r>
      </text>
    </comment>
    <comment ref="D58" authorId="0" shapeId="0" xr:uid="{2E824DCF-7012-41C1-A141-42C41E407635}">
      <text>
        <r>
          <rPr>
            <b/>
            <sz val="9"/>
            <color indexed="81"/>
            <rFont val="Tahoma"/>
            <charset val="1"/>
          </rPr>
          <t>Rifat Tahmid:</t>
        </r>
        <r>
          <rPr>
            <sz val="9"/>
            <color indexed="81"/>
            <rFont val="Tahoma"/>
            <charset val="1"/>
          </rPr>
          <t xml:space="preserve">
Source: SpaceX S-1, SEC EDGAR, Filed May 20 2026
Connectivity Revenue FY2025A: $11,387M
Page: F-58 (Note 19 — Segments, YE Dec 31 2025)
https://www.sec.gov/Archives/edgar/data/1181412/000162828026036936/spaceexplorationtechnologi.htm</t>
        </r>
      </text>
    </comment>
    <comment ref="B59" authorId="0" shapeId="0" xr:uid="{DA4F178B-FD3B-4E18-BB15-C8F89E2F14C9}">
      <text>
        <r>
          <rPr>
            <b/>
            <sz val="9"/>
            <color indexed="81"/>
            <rFont val="Tahoma"/>
            <charset val="1"/>
          </rPr>
          <t>Rifat Tahmid:</t>
        </r>
        <r>
          <rPr>
            <sz val="9"/>
            <color indexed="81"/>
            <rFont val="Tahoma"/>
            <charset val="1"/>
          </rPr>
          <t xml:space="preserve">
Source: SpaceX S-1, SEC EDGAR, Filed May 20 2026
Space Revenue FY2023A: $3,557M
Page: F-59 (Note 19 — Segments, YE Dec 31 2023)
https://www.sec.gov/Archives/edgar/data/1181412/000162828026036936/spaceexplorationtechnologi.htm</t>
        </r>
      </text>
    </comment>
    <comment ref="C59" authorId="0" shapeId="0" xr:uid="{0A769F4A-8A1B-4BE0-81C2-718EDDCE2E7D}">
      <text>
        <r>
          <rPr>
            <b/>
            <sz val="9"/>
            <color indexed="81"/>
            <rFont val="Tahoma"/>
            <charset val="1"/>
          </rPr>
          <t>Rifat Tahmid:</t>
        </r>
        <r>
          <rPr>
            <sz val="9"/>
            <color indexed="81"/>
            <rFont val="Tahoma"/>
            <charset val="1"/>
          </rPr>
          <t xml:space="preserve">
Source: SpaceX S-1, SEC EDGAR, Filed May 20 2026
Space Revenue FY2024A: $3,796M
Page: F-58 (Note 19 — Segments, YE Dec 31 2024)
https://www.sec.gov/Archives/edgar/data/1181412/000162828026036936/spaceexplorationtechnologi.htm</t>
        </r>
      </text>
    </comment>
    <comment ref="D59" authorId="0" shapeId="0" xr:uid="{60340DA5-332C-4AEF-BA50-AC62C39A1B09}">
      <text>
        <r>
          <rPr>
            <b/>
            <sz val="9"/>
            <color indexed="81"/>
            <rFont val="Tahoma"/>
            <charset val="1"/>
          </rPr>
          <t>Rifat Tahmid:</t>
        </r>
        <r>
          <rPr>
            <sz val="9"/>
            <color indexed="81"/>
            <rFont val="Tahoma"/>
            <charset val="1"/>
          </rPr>
          <t xml:space="preserve">
Source: SpaceX S-1, SEC EDGAR, Filed May 20 2026
Space Revenue FY2025A: $4,086M
Page: F-58 (Note 19 — Segments, YE Dec 31 2025)
https://www.sec.gov/Archives/edgar/data/1181412/000162828026036936/spaceexplorationtechnologi.htm</t>
        </r>
      </text>
    </comment>
    <comment ref="B60" authorId="0" shapeId="0" xr:uid="{94DDA38A-2442-47C3-87D5-C5B0A1B62792}">
      <text>
        <r>
          <rPr>
            <b/>
            <sz val="9"/>
            <color indexed="81"/>
            <rFont val="Tahoma"/>
            <charset val="1"/>
          </rPr>
          <t>Rifat Tahmid:</t>
        </r>
        <r>
          <rPr>
            <sz val="9"/>
            <color indexed="81"/>
            <rFont val="Tahoma"/>
            <charset val="1"/>
          </rPr>
          <t xml:space="preserve">
Source: SpaceX S-1, SEC EDGAR, Filed May 20 2026
AI Revenue FY2023A: $2,961M (Advert. $2,323M + AI Solutions $638M)
Page: F-59 (Note 19 — Segments, YE Dec 31 2023)
https://www.sec.gov/Archives/edgar/data/1181412/000162828026036936/spaceexplorationtechnologi.htm</t>
        </r>
      </text>
    </comment>
    <comment ref="C60" authorId="0" shapeId="0" xr:uid="{E85BE801-1384-42C8-8E2C-ADEFB9FDD5DC}">
      <text>
        <r>
          <rPr>
            <b/>
            <sz val="9"/>
            <color indexed="81"/>
            <rFont val="Tahoma"/>
            <charset val="1"/>
          </rPr>
          <t>Rifat Tahmid:</t>
        </r>
        <r>
          <rPr>
            <sz val="9"/>
            <color indexed="81"/>
            <rFont val="Tahoma"/>
            <charset val="1"/>
          </rPr>
          <t xml:space="preserve">
Source: SpaceX S-1, SEC EDGAR, Filed May 20 2026
AI Revenue FY2024A: $2,620M
Page: F-58 (Note 19 — Segments, YE Dec 31 2024)
https://www.sec.gov/Archives/edgar/data/1181412/000162828026036936/spaceexplorationtechnologi.htm</t>
        </r>
      </text>
    </comment>
    <comment ref="D60" authorId="0" shapeId="0" xr:uid="{0CB4A5BE-B7F1-40EC-96A7-4DFC4B34FBF2}">
      <text>
        <r>
          <rPr>
            <b/>
            <sz val="9"/>
            <color indexed="81"/>
            <rFont val="Tahoma"/>
            <charset val="1"/>
          </rPr>
          <t>Rifat Tahmid:</t>
        </r>
        <r>
          <rPr>
            <sz val="9"/>
            <color indexed="81"/>
            <rFont val="Tahoma"/>
            <charset val="1"/>
          </rPr>
          <t xml:space="preserve">
Source: SpaceX S-1, SEC EDGAR, Filed May 20 2026
AI Revenue FY2025A: $3,201M (Advert. $1,844M + AI Solutions $1,357M)
Page: F-58 (Note 19 — Segments, YE Dec 31 2025)
https://www.sec.gov/Archives/edgar/data/1181412/000162828026036936/spaceexplorationtechnologi.htm</t>
        </r>
      </text>
    </comment>
    <comment ref="B61" authorId="0" shapeId="0" xr:uid="{571FF6B8-FA5B-48AA-B179-CE35ABAAE2C9}">
      <text>
        <r>
          <rPr>
            <b/>
            <sz val="9"/>
            <color indexed="81"/>
            <rFont val="Tahoma"/>
            <charset val="1"/>
          </rPr>
          <t>Rifat Tahmid:</t>
        </r>
        <r>
          <rPr>
            <sz val="9"/>
            <color indexed="81"/>
            <rFont val="Tahoma"/>
            <charset val="1"/>
          </rPr>
          <t xml:space="preserve">
Source: SpaceX S-1, SEC EDGAR, Filed May 20 2026
Connectivity Op. Income FY2023A: $469M
Page: F-59 (Note 19 — Segments, YE Dec 31 2023)
https://www.sec.gov/Archives/edgar/data/1181412/000162828026036936/spaceexplorationtechnologi.htm</t>
        </r>
      </text>
    </comment>
    <comment ref="C61" authorId="0" shapeId="0" xr:uid="{896774EB-ABB8-4482-96D5-DE3064212A37}">
      <text>
        <r>
          <rPr>
            <b/>
            <sz val="9"/>
            <color indexed="81"/>
            <rFont val="Tahoma"/>
            <charset val="1"/>
          </rPr>
          <t>Rifat Tahmid:</t>
        </r>
        <r>
          <rPr>
            <sz val="9"/>
            <color indexed="81"/>
            <rFont val="Tahoma"/>
            <charset val="1"/>
          </rPr>
          <t xml:space="preserve">
Source: SpaceX S-1, SEC EDGAR, Filed May 20 2026
Connectivity Op. Income FY2024A: $2,006M
Page: F-58 (Note 19 — Segments, YE Dec 31 2024)
https://www.sec.gov/Archives/edgar/data/1181412/000162828026036936/spaceexplorationtechnologi.htm</t>
        </r>
      </text>
    </comment>
    <comment ref="D61" authorId="0" shapeId="0" xr:uid="{B44EDA87-D26E-4F8F-9ADE-F1462126EEE4}">
      <text>
        <r>
          <rPr>
            <b/>
            <sz val="9"/>
            <color indexed="81"/>
            <rFont val="Tahoma"/>
            <charset val="1"/>
          </rPr>
          <t>Rifat Tahmid:</t>
        </r>
        <r>
          <rPr>
            <sz val="9"/>
            <color indexed="81"/>
            <rFont val="Tahoma"/>
            <charset val="1"/>
          </rPr>
          <t xml:space="preserve">
Source: SpaceX S-1, SEC EDGAR, Filed May 20 2026
Connectivity Op. Income FY2025A: $4,423M (+120% YoY)
Page: F-58 (Note 19 — Segments, YE Dec 31 2025)
https://www.sec.gov/Archives/edgar/data/1181412/000162828026036936/spaceexplorationtechnologi.htm</t>
        </r>
      </text>
    </comment>
    <comment ref="B62" authorId="0" shapeId="0" xr:uid="{B02CABDC-C54E-4AEC-89B8-113DF093E1E8}">
      <text>
        <r>
          <rPr>
            <b/>
            <sz val="9"/>
            <color indexed="81"/>
            <rFont val="Tahoma"/>
            <charset val="1"/>
          </rPr>
          <t>Rifat Tahmid:</t>
        </r>
        <r>
          <rPr>
            <sz val="9"/>
            <color indexed="81"/>
            <rFont val="Tahoma"/>
            <charset val="1"/>
          </rPr>
          <t xml:space="preserve">
Source: SpaceX S-1, SEC EDGAR, Filed May 20 2026
Space Op. Income FY2023A: $(1)M
Page: F-59 (Note 19 — Segments, YE Dec 31 2023)
https://www.sec.gov/Archives/edgar/data/1181412/000162828026036936/spaceexplorationtechnologi.htm</t>
        </r>
      </text>
    </comment>
    <comment ref="C62" authorId="0" shapeId="0" xr:uid="{89825378-BE3A-43BF-B4D8-3DB9FCE500D3}">
      <text>
        <r>
          <rPr>
            <b/>
            <sz val="9"/>
            <color indexed="81"/>
            <rFont val="Tahoma"/>
            <charset val="1"/>
          </rPr>
          <t>Rifat Tahmid:</t>
        </r>
        <r>
          <rPr>
            <sz val="9"/>
            <color indexed="81"/>
            <rFont val="Tahoma"/>
            <charset val="1"/>
          </rPr>
          <t xml:space="preserve">
Source: SpaceX S-1, SEC EDGAR, Filed May 20 2026
Space Op. Income FY2024A: $21M
Page: F-58 (Note 19 — Segments, YE Dec 31 2024)
https://www.sec.gov/Archives/edgar/data/1181412/000162828026036936/spaceexplorationtechnologi.htm</t>
        </r>
      </text>
    </comment>
    <comment ref="D62" authorId="0" shapeId="0" xr:uid="{B9095409-3760-4916-B25A-1E6962502B63}">
      <text>
        <r>
          <rPr>
            <b/>
            <sz val="9"/>
            <color indexed="81"/>
            <rFont val="Tahoma"/>
            <charset val="1"/>
          </rPr>
          <t>Rifat Tahmid:</t>
        </r>
        <r>
          <rPr>
            <sz val="9"/>
            <color indexed="81"/>
            <rFont val="Tahoma"/>
            <charset val="1"/>
          </rPr>
          <t xml:space="preserve">
Source: SpaceX S-1, SEC EDGAR, Filed May 20 2026
Space Op. Income FY2025A: $(657)M (Starship R&amp;D drag: $3,004M)
Page: F-58 (Note 19 — Segments, YE Dec 31 2025)
https://www.sec.gov/Archives/edgar/data/1181412/000162828026036936/spaceexplorationtechnologi.htm</t>
        </r>
      </text>
    </comment>
    <comment ref="B63" authorId="0" shapeId="0" xr:uid="{4BEDA5A9-EF8C-43F1-9728-2485FF8B966D}">
      <text>
        <r>
          <rPr>
            <b/>
            <sz val="9"/>
            <color indexed="81"/>
            <rFont val="Tahoma"/>
            <charset val="1"/>
          </rPr>
          <t>Rifat Tahmid:</t>
        </r>
        <r>
          <rPr>
            <sz val="9"/>
            <color indexed="81"/>
            <rFont val="Tahoma"/>
            <charset val="1"/>
          </rPr>
          <t xml:space="preserve">
Source: SpaceX S-1, SEC EDGAR, Filed May 20 2026
AI Op. Income FY2023A: $(3,973)M (incl. $3,775M goodwill impairment)
Page: F-59 (Note 19 — Segments, YE Dec 31 2023)
https://www.sec.gov/Archives/edgar/data/1181412/000162828026036936/spaceexplorationtechnologi.htm</t>
        </r>
      </text>
    </comment>
    <comment ref="C63" authorId="0" shapeId="0" xr:uid="{3B7F4703-E54E-4F0C-B5FD-6DDF2F32AA3E}">
      <text>
        <r>
          <rPr>
            <b/>
            <sz val="9"/>
            <color indexed="81"/>
            <rFont val="Tahoma"/>
            <charset val="1"/>
          </rPr>
          <t>Rifat Tahmid:</t>
        </r>
        <r>
          <rPr>
            <sz val="9"/>
            <color indexed="81"/>
            <rFont val="Tahoma"/>
            <charset val="1"/>
          </rPr>
          <t xml:space="preserve">
Source: SpaceX S-1, SEC EDGAR, Filed May 20 2026
AI Op. Income FY2024A: $(1,561)M
Page: F-58 (Note 19 — Segments, YE Dec 31 2024)
https://www.sec.gov/Archives/edgar/data/1181412/000162828026036936/spaceexplorationtechnologi.htm</t>
        </r>
      </text>
    </comment>
    <comment ref="D63" authorId="0" shapeId="0" xr:uid="{D4A2777B-81EE-487D-AA00-F0D7F0B0A626}">
      <text>
        <r>
          <rPr>
            <b/>
            <sz val="9"/>
            <color indexed="81"/>
            <rFont val="Tahoma"/>
            <charset val="1"/>
          </rPr>
          <t>Rifat Tahmid:</t>
        </r>
        <r>
          <rPr>
            <sz val="9"/>
            <color indexed="81"/>
            <rFont val="Tahoma"/>
            <charset val="1"/>
          </rPr>
          <t xml:space="preserve">
Source: SpaceX S-1, SEC EDGAR, Filed May 20 2026
AI Op. Income FY2025A: $(6,355)M (xAI Grok compute; Capex $12.7B)
Page: F-58 (Note 19 — Segments, YE Dec 31 2025)
https://www.sec.gov/Archives/edgar/data/1181412/000162828026036936/spaceexplorationtechnologi.htm</t>
        </r>
      </text>
    </comment>
    <comment ref="B64" authorId="0" shapeId="0" xr:uid="{F949B72C-10A7-471A-BA98-36A6219FCDAD}">
      <text>
        <r>
          <rPr>
            <b/>
            <sz val="9"/>
            <color indexed="81"/>
            <rFont val="Tahoma"/>
            <charset val="1"/>
          </rPr>
          <t>Rifat Tahmid:</t>
        </r>
        <r>
          <rPr>
            <sz val="9"/>
            <color indexed="81"/>
            <rFont val="Tahoma"/>
            <charset val="1"/>
          </rPr>
          <t xml:space="preserve">
Source: SpaceX S-1, SEC EDGAR, Filed May 20 2026
Total Operating Cash Flow FY2023A: $4,520M
Page: F-8 (Consolidated Statements of Cash Flows, YE Dec 31 2023)
https://www.sec.gov/Archives/edgar/data/1181412/000162828026036936/spaceexplorationtechnologi.htm</t>
        </r>
      </text>
    </comment>
    <comment ref="C64" authorId="0" shapeId="0" xr:uid="{976D594D-246B-4556-8568-48F301AA0C61}">
      <text>
        <r>
          <rPr>
            <b/>
            <sz val="9"/>
            <color indexed="81"/>
            <rFont val="Tahoma"/>
            <charset val="1"/>
          </rPr>
          <t>Rifat Tahmid:</t>
        </r>
        <r>
          <rPr>
            <sz val="9"/>
            <color indexed="81"/>
            <rFont val="Tahoma"/>
            <charset val="1"/>
          </rPr>
          <t xml:space="preserve">
Source: SpaceX S-1, SEC EDGAR, Filed May 20 2026
Total Operating Cash Flow FY2024A: $5,776M
Page: F-8 (Consolidated Statements of Cash Flows, YE Dec 31 2024)
https://www.sec.gov/Archives/edgar/data/1181412/000162828026036936/spaceexplorationtechnologi.htm</t>
        </r>
      </text>
    </comment>
    <comment ref="D64" authorId="0" shapeId="0" xr:uid="{137264FC-4D83-432D-A004-6522C2EFE99C}">
      <text>
        <r>
          <rPr>
            <b/>
            <sz val="9"/>
            <color indexed="81"/>
            <rFont val="Tahoma"/>
            <charset val="1"/>
          </rPr>
          <t>Rifat Tahmid:</t>
        </r>
        <r>
          <rPr>
            <sz val="9"/>
            <color indexed="81"/>
            <rFont val="Tahoma"/>
            <charset val="1"/>
          </rPr>
          <t xml:space="preserve">
Source: SpaceX S-1, SEC EDGAR, Filed May 20 2026
Total Operating Cash Flow FY2025A: $6,785M
Page: F-8 to F-9 (Consolidated Statements of Cash Flows, YE Dec 31 2025)
https://www.sec.gov/Archives/edgar/data/1181412/000162828026036936/spaceexplorationtechnologi.htm</t>
        </r>
      </text>
    </comment>
    <comment ref="B65" authorId="0" shapeId="0" xr:uid="{91DBBD8C-5849-4965-BDCF-0BB30BA4AA82}">
      <text>
        <r>
          <rPr>
            <b/>
            <sz val="9"/>
            <color indexed="81"/>
            <rFont val="Tahoma"/>
            <charset val="1"/>
          </rPr>
          <t>Rifat Tahmid:</t>
        </r>
        <r>
          <rPr>
            <sz val="9"/>
            <color indexed="81"/>
            <rFont val="Tahoma"/>
            <charset val="1"/>
          </rPr>
          <t xml:space="preserve">
Source: SpaceX S-1, SEC EDGAR, Filed May 20 2026
Total Capex FY2023A: $(4,415)M
Page: F-8 (Cash Flows — Investing Activities, YE Dec 31 2023)
https://www.sec.gov/Archives/edgar/data/1181412/000162828026036936/spaceexplorationtechnologi.htm</t>
        </r>
      </text>
    </comment>
    <comment ref="C65" authorId="0" shapeId="0" xr:uid="{98D887BC-B925-404F-A14C-216F1CEF1899}">
      <text>
        <r>
          <rPr>
            <b/>
            <sz val="9"/>
            <color indexed="81"/>
            <rFont val="Tahoma"/>
            <charset val="1"/>
          </rPr>
          <t>Rifat Tahmid:</t>
        </r>
        <r>
          <rPr>
            <sz val="9"/>
            <color indexed="81"/>
            <rFont val="Tahoma"/>
            <charset val="1"/>
          </rPr>
          <t xml:space="preserve">
Source: SpaceX S-1, SEC EDGAR, Filed May 20 2026
Total Capex FY2024A: $(11,163)M
Page: F-8 (Cash Flows — Investing Activities, YE Dec 31 2024)
https://www.sec.gov/Archives/edgar/data/1181412/000162828026036936/spaceexplorationtechnologi.htm</t>
        </r>
      </text>
    </comment>
    <comment ref="D65" authorId="0" shapeId="0" xr:uid="{92B2F385-8469-4CC7-AEEA-5D817911D729}">
      <text>
        <r>
          <rPr>
            <b/>
            <sz val="9"/>
            <color indexed="81"/>
            <rFont val="Tahoma"/>
            <charset val="1"/>
          </rPr>
          <t>Rifat Tahmid:</t>
        </r>
        <r>
          <rPr>
            <sz val="9"/>
            <color indexed="81"/>
            <rFont val="Tahoma"/>
            <charset val="1"/>
          </rPr>
          <t xml:space="preserve">
Source: SpaceX S-1, SEC EDGAR, Filed May 20 2026
Total Capex FY2025A: $(20,737)M (Space $3.8B + Conn $4.2B + AI $12.7B)
Page: F-8 to F-9 (Cash Flows — Investing Activities, YE Dec 31 2025)
https://www.sec.gov/Archives/edgar/data/1181412/000162828026036936/spaceexplorationtechnologi.htm</t>
        </r>
      </text>
    </comment>
    <comment ref="B66" authorId="0" shapeId="0" xr:uid="{EF0FB8EE-79C4-4D03-B619-974E1F4B6CD8}">
      <text>
        <r>
          <rPr>
            <b/>
            <sz val="9"/>
            <color indexed="81"/>
            <rFont val="Tahoma"/>
            <charset val="1"/>
          </rPr>
          <t>Rifat Tahmid:</t>
        </r>
        <r>
          <rPr>
            <sz val="9"/>
            <color indexed="81"/>
            <rFont val="Tahoma"/>
            <charset val="1"/>
          </rPr>
          <t xml:space="preserve">
Source: SpaceX S-1, SEC EDGAR, Filed May 20 2026
Net Income (Loss) FY2023A: $(4,628)M
Page: F-5 (Consolidated Statements of Operations, YE Dec 31 2023)
https://www.sec.gov/Archives/edgar/data/1181412/000162828026036936/spaceexplorationtechnologi.htm</t>
        </r>
      </text>
    </comment>
    <comment ref="C66" authorId="0" shapeId="0" xr:uid="{9CEEE48B-F8B1-4E77-8AA6-56A801E437C8}">
      <text>
        <r>
          <rPr>
            <b/>
            <sz val="9"/>
            <color indexed="81"/>
            <rFont val="Tahoma"/>
            <charset val="1"/>
          </rPr>
          <t>Rifat Tahmid:</t>
        </r>
        <r>
          <rPr>
            <sz val="9"/>
            <color indexed="81"/>
            <rFont val="Tahoma"/>
            <charset val="1"/>
          </rPr>
          <t xml:space="preserve">
Source: SpaceX S-1, SEC EDGAR, Filed May 20 2026
Net Income FY2024A: $791M
Page: F-5 (Consolidated Statements of Operations, YE Dec 31 2024)
https://www.sec.gov/Archives/edgar/data/1181412/000162828026036936/spaceexplorationtechnologi.htm</t>
        </r>
      </text>
    </comment>
    <comment ref="D66" authorId="0" shapeId="0" xr:uid="{5DA9E2CC-3E6B-4C8B-9BDC-6496B724E1C6}">
      <text>
        <r>
          <rPr>
            <b/>
            <sz val="9"/>
            <color indexed="81"/>
            <rFont val="Tahoma"/>
            <charset val="1"/>
          </rPr>
          <t>Rifat Tahmid:</t>
        </r>
        <r>
          <rPr>
            <sz val="9"/>
            <color indexed="81"/>
            <rFont val="Tahoma"/>
            <charset val="1"/>
          </rPr>
          <t xml:space="preserve">
Source: SpaceX S-1, SEC EDGAR, Filed May 20 2026
Net Income (Loss) FY2025A: $(4,937)M
Page: F-5 (Consolidated Statements of Operations, YE Dec 31 2025)
https://www.sec.gov/Archives/edgar/data/1181412/000162828026036936/spaceexplorationtechnologi.htm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Rifat Tahmid</author>
  </authors>
  <commentList>
    <comment ref="D8" authorId="0" shapeId="0" xr:uid="{C7C15BEF-79EC-45E3-A3E7-15A9281BC94C}">
      <text>
        <r>
          <rPr>
            <b/>
            <sz val="9"/>
            <color indexed="81"/>
            <rFont val="Tahoma"/>
            <family val="2"/>
          </rPr>
          <t xml:space="preserve">Rifat Tahmid: </t>
        </r>
        <r>
          <rPr>
            <sz val="9"/>
            <color indexed="81"/>
            <rFont val="Tahoma"/>
            <family val="2"/>
          </rPr>
          <t>Connectivity: 100% Gordon Growth (no valid comp exit for Starlink's unique profile). Space &amp; AI: 70% primary / 30% secondary method blend.</t>
        </r>
      </text>
    </comment>
    <comment ref="D9" authorId="0" shapeId="0" xr:uid="{55B5C911-9641-4E4A-9704-93E97490919E}">
      <text>
        <r>
          <rPr>
            <b/>
            <sz val="9"/>
            <color indexed="81"/>
            <rFont val="Tahoma"/>
            <family val="2"/>
          </rPr>
          <t>Rifat Tahmid:</t>
        </r>
        <r>
          <rPr>
            <sz val="9"/>
            <color indexed="81"/>
            <rFont val="Tahoma"/>
            <family val="2"/>
          </rPr>
          <t xml:space="preserve">
Connectivity uses Gordon Growth as sole terminal method.
Rationale: No valid comp set exists for Starlink's unique profile (70%+ EBITDA margins, global satellite broadband monopoly). Mature wireless (5.9×) is the wrong peer universe — GG-implied exit is 14.3×.
Space and AI retain 70/30 weighting (valid comps available).</t>
        </r>
      </text>
    </comment>
    <comment ref="F9" authorId="0" shapeId="0" xr:uid="{D7BDBBB5-E36B-4951-AEDF-054381D0DBB0}">
      <text>
        <r>
          <rPr>
            <b/>
            <sz val="9"/>
            <color indexed="81"/>
            <rFont val="Tahoma"/>
            <charset val="1"/>
          </rPr>
          <t>Rifat Tahmid:</t>
        </r>
        <r>
          <rPr>
            <sz val="9"/>
            <color indexed="81"/>
            <rFont val="Tahoma"/>
            <charset val="1"/>
          </rPr>
          <t xml:space="preserve">
100% Gordon Growth for Connectivity — no valid comp set for exit multiple (see D9 note).</t>
        </r>
      </text>
    </comment>
    <comment ref="F10" authorId="0" shapeId="0" xr:uid="{ADD38826-5189-41B7-9042-FFDECADE2D21}">
      <text>
        <r>
          <rPr>
            <b/>
            <sz val="9"/>
            <color indexed="81"/>
            <rFont val="Tahoma"/>
            <charset val="1"/>
          </rPr>
          <t>Rifat Tahmid:</t>
        </r>
        <r>
          <rPr>
            <sz val="9"/>
            <color indexed="81"/>
            <rFont val="Tahoma"/>
            <charset val="1"/>
          </rPr>
          <t xml:space="preserve">
70% primary method / 30% secondary. Space: primary = GG, secondary = EV/EBITDA exit.</t>
        </r>
      </text>
    </comment>
    <comment ref="B11" authorId="0" shapeId="0" xr:uid="{482B6E50-9EE8-4C1D-BF60-E028C10E1CF1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AI segment uses a DIFFERENT primary method than Connectivity/Space.
Method 1 (col B) for AI = EV/Revenue multiple (PRIMARY) — terminal-year revenue x peer multiple, discounted back. This is the reliable AI value.
Method 2 (col C) for AI = Gordon Growth (CROSS-CHECK only). Gordon is unreliable here because AI's early-year FCF is deeply negative (loss-making xAI/Grok), producing a distorted perpetuity.
Rationale follows M&amp;I and Mach33, who both value pre-scale/loss-making AI on revenue/capacity multiples, not perpetuity DCF. See COMP findings #18, #35.</t>
        </r>
      </text>
    </comment>
    <comment ref="F11" authorId="0" shapeId="0" xr:uid="{03B75B7A-C8E0-4E81-B171-64A0B6AD8EF1}">
      <text>
        <r>
          <rPr>
            <b/>
            <sz val="9"/>
            <color indexed="81"/>
            <rFont val="Tahoma"/>
            <charset val="1"/>
          </rPr>
          <t>Rifat Tahmid:</t>
        </r>
        <r>
          <rPr>
            <sz val="9"/>
            <color indexed="81"/>
            <rFont val="Tahoma"/>
            <charset val="1"/>
          </rPr>
          <t xml:space="preserve">
70% primary method / 30% secondary. AI: primary = EV/Revenue exit, secondary = GG.</t>
        </r>
      </text>
    </comment>
    <comment ref="A17" authorId="0" shapeId="0" xr:uid="{4AEA296D-0998-4085-BF08-9E433F848F65}">
      <text>
        <r>
          <rPr>
            <b/>
            <sz val="9"/>
            <color indexed="81"/>
            <rFont val="Tahoma"/>
            <family val="2"/>
          </rPr>
          <t xml:space="preserve">Rifat Tahmid:
</t>
        </r>
        <r>
          <rPr>
            <sz val="9"/>
            <color indexed="81"/>
            <rFont val="Tahoma"/>
            <family val="2"/>
          </rPr>
          <t>EV-to-Equity Bridge: Uses point-in-time balance sheet data (Dec 2025 per S-1). Standard DCF practice — DCF EV captures all future cash flows from valuation date forward; bridge converts today's EV to today's equity using today's net debt/preferred.
⚠ JPM REVIEW: Bridge items (B18:B22) are hardcoded from S-1. Link to a dedicated Balance Sheet tab if extending to full 3-statement model.</t>
        </r>
      </text>
    </comment>
    <comment ref="B17" authorId="0" shapeId="0" xr:uid="{F63760E4-42C1-4EB6-A195-87F987BBC563}">
      <text>
        <r>
          <rPr>
            <b/>
            <sz val="9"/>
            <color indexed="81"/>
            <rFont val="Tahoma"/>
            <family val="2"/>
          </rPr>
          <t>Rifat Tahmid:</t>
        </r>
        <r>
          <rPr>
            <sz val="9"/>
            <color indexed="81"/>
            <rFont val="Tahoma"/>
            <family val="2"/>
          </rPr>
          <t xml:space="preserve">
Gordon Growth column: for Conn &amp; Space, this is the DCF Gordon Growth terminal value method. For AI, this is the EV/Revenue multiple method (see B11 note for rationale).</t>
        </r>
      </text>
    </comment>
    <comment ref="C17" authorId="0" shapeId="0" xr:uid="{CB069E04-5F0B-4B2C-9E18-274297B1D5A2}">
      <text>
        <r>
          <rPr>
            <b/>
            <sz val="9"/>
            <color indexed="81"/>
            <rFont val="Tahoma"/>
            <family val="2"/>
          </rPr>
          <t>Rifat Tahmid:</t>
        </r>
        <r>
          <rPr>
            <sz val="9"/>
            <color indexed="81"/>
            <rFont val="Tahoma"/>
            <family val="2"/>
          </rPr>
          <t xml:space="preserve">
Exit Multiple column: for Conn &amp; Space, this is the comp-derived exit multiple method. For AI, this is the Gordon Growth DCF (cross-check only — unreliable on negative-FCF segments).</t>
        </r>
      </text>
    </comment>
    <comment ref="D17" authorId="0" shapeId="0" xr:uid="{D21FAA11-C6BA-47CD-81F9-236BBF8F5AC2}">
      <text>
        <r>
          <rPr>
            <b/>
            <sz val="9"/>
            <color indexed="81"/>
            <rFont val="Tahoma"/>
            <family val="2"/>
          </rPr>
          <t>Selected blend uses per-segment GG weights (column F): Connectivity 100% GG, Space 70% GG / 30% Exit, AI 70% EV/Rev / 30% GG.
Weights are blue input cells F9:F11 — adjustable without editing formulas.</t>
        </r>
      </text>
    </comment>
    <comment ref="B18" authorId="0" shapeId="0" xr:uid="{8FA3365F-9CB2-46F2-9DFD-8D48DBD08950}">
      <text>
        <r>
          <rPr>
            <b/>
            <sz val="9"/>
            <color indexed="81"/>
            <rFont val="Tahoma"/>
            <family val="2"/>
          </rPr>
          <t>Source: S-1 balance sheet total debt (Historicals!D81 = $22,896M) + $5,000M net new debt from $25B inaugural bond offering less $20B bridge loan repaid. Bond priced Jun 23, 2026, settles Jun 26. Source: SpaceX IR, https://ir.spacex.com/updates/releases-details/2026/SpaceX-Announces-Pricing-of-25-Billion-Inaugural-Bond-Issuance-2026-33VwNgsx3O/default.aspx</t>
        </r>
      </text>
    </comment>
    <comment ref="B19" authorId="0" shapeId="0" xr:uid="{CE5BAB44-82BD-4AD6-8498-66A2EE5344CC}">
      <text>
        <r>
          <rPr>
            <b/>
            <sz val="9"/>
            <color indexed="81"/>
            <rFont val="Tahoma"/>
            <family val="2"/>
          </rPr>
          <t>Rifat Tahmid:</t>
        </r>
        <r>
          <rPr>
            <sz val="9"/>
            <color indexed="81"/>
            <rFont val="Tahoma"/>
            <family val="2"/>
          </rPr>
          <t xml:space="preserve">
Source: S-1, Dec 2025 Balance Sheet</t>
        </r>
      </text>
    </comment>
    <comment ref="B20" authorId="0" shapeId="0" xr:uid="{B2AD0FCE-919F-4430-8E56-C64A44E1EB78}">
      <text>
        <r>
          <rPr>
            <b/>
            <sz val="9"/>
            <color indexed="81"/>
            <rFont val="Tahoma"/>
            <family val="2"/>
          </rPr>
          <t xml:space="preserve">Rifat Tahmid:
</t>
        </r>
        <r>
          <rPr>
            <sz val="9"/>
            <color indexed="81"/>
            <rFont val="Tahoma"/>
            <family val="2"/>
          </rPr>
          <t>Dec 2025 pre-IPO; converts to equity at IPO – use $0 for post-IPO equity value</t>
        </r>
      </text>
    </comment>
    <comment ref="B21" authorId="0" shapeId="0" xr:uid="{CB68C3DA-86F8-49BB-A887-34C57A880F4A}">
      <text>
        <r>
          <rPr>
            <b/>
            <sz val="9"/>
            <color indexed="81"/>
            <rFont val="Tahoma"/>
            <charset val="1"/>
          </rPr>
          <t>Preferred stock converts to common equity at IPO. Formula mirrors B20 (=-Historicals!D79) so both sides update from one source.</t>
        </r>
      </text>
    </comment>
    <comment ref="B22" authorId="0" shapeId="0" xr:uid="{7D4A820E-8BE8-4C75-9EEC-027C2DF5577D}">
      <text>
        <r>
          <rPr>
            <b/>
            <sz val="9"/>
            <color indexed="81"/>
            <rFont val="Tahoma"/>
            <family val="2"/>
          </rPr>
          <t>Rifat Tahmid:</t>
        </r>
        <r>
          <rPr>
            <sz val="9"/>
            <color indexed="81"/>
            <rFont val="Tahoma"/>
            <family val="2"/>
          </rPr>
          <t xml:space="preserve">
IPO priced at $135/share. Base offering 555.6M shares ($75B) + greenshoe ~81M shares ($11B) = ~$86B total proceeds. Source: CNBC, Yahoo Finance (Jun 2026); SpaceX SEC Filing.</t>
        </r>
      </text>
    </comment>
    <comment ref="B28" authorId="0" shapeId="0" xr:uid="{B5CE935A-59F7-4C4B-96BF-32663142A9FB}">
      <text>
        <r>
          <rPr>
            <b/>
            <sz val="9"/>
            <color indexed="81"/>
            <rFont val="Tahoma"/>
            <family val="2"/>
          </rPr>
          <t>Rifat Tahmid:</t>
        </r>
        <r>
          <rPr>
            <sz val="9"/>
            <color indexed="81"/>
            <rFont val="Tahoma"/>
            <family val="2"/>
          </rPr>
          <t xml:space="preserve">
Class A (2,883) + B (2,421) + C (494) per S-1 Q1 2026 — EXCLUDES converted preferred &amp; xAI merger shares</t>
        </r>
      </text>
    </comment>
    <comment ref="B29" authorId="0" shapeId="0" xr:uid="{C1EEA7D2-A5B5-4BF3-BFD9-C6488AB2E4D0}">
      <text>
        <r>
          <rPr>
            <b/>
            <sz val="9"/>
            <color indexed="81"/>
            <rFont val="Tahoma"/>
            <family val="2"/>
          </rPr>
          <t>Rifat Tahmid:</t>
        </r>
        <r>
          <rPr>
            <sz val="9"/>
            <color indexed="81"/>
            <rFont val="Tahoma"/>
            <family val="2"/>
          </rPr>
          <t xml:space="preserve">
Reconciled from $1.75T IPO ÷ $135. Incl. converted preferred, xAI merger shares, RSUs/options + 555.6M new IPO shares. See COMP reconciliation.</t>
        </r>
      </text>
    </comment>
    <comment ref="B34" authorId="0" shapeId="0" xr:uid="{CDA267DF-DA2D-4C77-B5E3-A7AA9515D712}">
      <text>
        <r>
          <rPr>
            <b/>
            <sz val="9"/>
            <color indexed="81"/>
            <rFont val="Tahoma"/>
            <charset val="1"/>
          </rPr>
          <t xml:space="preserve">Rifat Tahmid:
</t>
        </r>
        <r>
          <rPr>
            <sz val="9"/>
            <color indexed="81"/>
            <rFont val="Tahoma"/>
            <family val="2"/>
          </rPr>
          <t>SpaceX agreed to acquire Cursor for $60B in Class A common stock (~444M shares), representing 3.4% dilution. Expected close Q3 2026. Break-up fee: $10B. Source: CNBC; TechCrunch; Bloomberg; Reuters.</t>
        </r>
      </text>
    </comment>
    <comment ref="B50" authorId="0" shapeId="0" xr:uid="{9D27BE15-264A-42F0-8948-80E2F4D86EB0}">
      <text>
        <r>
          <rPr>
            <b/>
            <sz val="9"/>
            <color indexed="81"/>
            <rFont val="Tahoma"/>
            <charset val="1"/>
          </rPr>
          <t>Rifat Tahmid:</t>
        </r>
        <r>
          <rPr>
            <sz val="9"/>
            <color indexed="81"/>
            <rFont val="Tahoma"/>
            <charset val="1"/>
          </rPr>
          <t xml:space="preserve">
SpaceX S-1 | Filed May 20, 2026
Consolidated Statements of Operations
Page F-5
https://www.sec.gov/Archives/edgar/data/1181412/000162828026036936/spaceexplorationtechnologi.htm</t>
        </r>
      </text>
    </comment>
    <comment ref="C50" authorId="0" shapeId="0" xr:uid="{9A3A521F-C0AF-4518-9A23-F8821DCE90B5}">
      <text>
        <r>
          <rPr>
            <b/>
            <sz val="9"/>
            <color indexed="81"/>
            <rFont val="Tahoma"/>
            <charset val="1"/>
          </rPr>
          <t xml:space="preserve">Rifat Tahmid:
</t>
        </r>
        <r>
          <rPr>
            <sz val="9"/>
            <color indexed="81"/>
            <rFont val="Tahoma"/>
            <family val="2"/>
          </rPr>
          <t>SpaceX S-1 | Filed May 20, 2026
Consolidated Statements of Operations — FY2024
Total Revenue: $14,015M
Page F-5
https://www.sec.gov/Archives/edgar/data/1181412/000162828026036936/spaceexplorationtechnologi.htm</t>
        </r>
      </text>
    </comment>
    <comment ref="D50" authorId="0" shapeId="0" xr:uid="{1172FCC1-9A0B-4C74-BA5D-36B105406DD5}">
      <text>
        <r>
          <rPr>
            <b/>
            <sz val="9"/>
            <color indexed="81"/>
            <rFont val="Tahoma"/>
            <charset val="1"/>
          </rPr>
          <t>Rifat Tahmid:</t>
        </r>
        <r>
          <rPr>
            <sz val="9"/>
            <color indexed="81"/>
            <rFont val="Tahoma"/>
            <charset val="1"/>
          </rPr>
          <t xml:space="preserve">
SpaceX S-1 | Filed May 20, 2026
Consolidated Statements of Operations — FY2025
Total Revenue: $18,674M
Page F-5
https://www.sec.gov/Archives/edgar/data/1181412/000162828026036936/spaceexplorationtechnologi.htm</t>
        </r>
      </text>
    </comment>
    <comment ref="B51" authorId="0" shapeId="0" xr:uid="{2A378B08-D1D8-4A48-B99A-92F7E69C006E}">
      <text>
        <r>
          <rPr>
            <b/>
            <sz val="9"/>
            <color indexed="81"/>
            <rFont val="Tahoma"/>
            <charset val="1"/>
          </rPr>
          <t>Rifat Tahmid:</t>
        </r>
        <r>
          <rPr>
            <sz val="9"/>
            <color indexed="81"/>
            <rFont val="Tahoma"/>
            <charset val="1"/>
          </rPr>
          <t xml:space="preserve">
SpaceX S-1 | Filed May 20, 2026
Note 19 — Segments (FY2025)
Page F-58
https://www.sec.gov/Archives/edgar/data/1181412/000162828026036936/spaceexplorationtechnologi.htm</t>
        </r>
      </text>
    </comment>
    <comment ref="C51" authorId="0" shapeId="0" xr:uid="{4C4A72E9-9519-4AA2-A037-8095C296DB7D}">
      <text>
        <r>
          <rPr>
            <b/>
            <sz val="9"/>
            <color indexed="81"/>
            <rFont val="Tahoma"/>
            <charset val="1"/>
          </rPr>
          <t xml:space="preserve">Rifat Tahmid:
</t>
        </r>
        <r>
          <rPr>
            <sz val="9"/>
            <color indexed="81"/>
            <rFont val="Tahoma"/>
            <family val="2"/>
          </rPr>
          <t>SpaceX S-1 | Filed May 20, 2026
Note 19 — Segments, Connectivity Revenue FY2024: $7,599M
Page F-58
https://www.sec.gov/Archives/edgar/data/1181412/000162828026036936/spaceexplorationtechnologi.htm</t>
        </r>
      </text>
    </comment>
    <comment ref="D51" authorId="0" shapeId="0" xr:uid="{3AD2730E-44B0-4C28-BB40-F52592BB05D9}">
      <text>
        <r>
          <rPr>
            <b/>
            <sz val="9"/>
            <color indexed="81"/>
            <rFont val="Tahoma"/>
            <charset val="1"/>
          </rPr>
          <t>Rifat Tahmid:</t>
        </r>
        <r>
          <rPr>
            <sz val="9"/>
            <color indexed="81"/>
            <rFont val="Tahoma"/>
            <charset val="1"/>
          </rPr>
          <t xml:space="preserve">
SpaceX S-1 | Filed May 20, 2026
Note 19 — Segments, Connectivity Revenue FY2025: $11,387M
Page F-58
https://www.sec.gov/Archives/edgar/data/1181412/000162828026036936/spaceexplorationtechnologi.htm</t>
        </r>
      </text>
    </comment>
    <comment ref="B52" authorId="0" shapeId="0" xr:uid="{5AABE749-20D0-48D9-8B0C-0716C3AD7967}">
      <text>
        <r>
          <rPr>
            <b/>
            <sz val="9"/>
            <color indexed="81"/>
            <rFont val="Tahoma"/>
            <charset val="1"/>
          </rPr>
          <t>Rifat Tahmid:</t>
        </r>
        <r>
          <rPr>
            <sz val="9"/>
            <color indexed="81"/>
            <rFont val="Tahoma"/>
            <charset val="1"/>
          </rPr>
          <t xml:space="preserve">
SpaceX S-1 | Filed May 20, 2026
Note 19 — Segments (FY2025)
Pages F-58 to F-59
https://www.sec.gov/Archives/edgar/data/1181412/000162828026036936/spaceexplorationtechnologi.htm</t>
        </r>
      </text>
    </comment>
    <comment ref="C52" authorId="0" shapeId="0" xr:uid="{CD0615D4-76CA-4E47-8367-369AB83095CB}">
      <text>
        <r>
          <rPr>
            <b/>
            <sz val="9"/>
            <color indexed="81"/>
            <rFont val="Tahoma"/>
            <charset val="1"/>
          </rPr>
          <t xml:space="preserve">Rifat Tahmid:
</t>
        </r>
        <r>
          <rPr>
            <sz val="9"/>
            <color indexed="81"/>
            <rFont val="Tahoma"/>
            <family val="2"/>
          </rPr>
          <t>SpaceX S-1 | Filed May 20, 2026
Note 19 — Segments, Space Revenue FY2024: $3,796M
Pages F-58 to F-59
https://www.sec.gov/Archives/edgar/data/1181412/000162828026036936/spaceexplorationtechnologi.htm</t>
        </r>
      </text>
    </comment>
    <comment ref="D52" authorId="0" shapeId="0" xr:uid="{C4CCA7BD-E695-4055-83BF-B5ED82E03458}">
      <text>
        <r>
          <rPr>
            <b/>
            <sz val="9"/>
            <color indexed="81"/>
            <rFont val="Tahoma"/>
            <charset val="1"/>
          </rPr>
          <t>Rifat Tahmid:</t>
        </r>
        <r>
          <rPr>
            <sz val="9"/>
            <color indexed="81"/>
            <rFont val="Tahoma"/>
            <charset val="1"/>
          </rPr>
          <t xml:space="preserve">
SpaceX S-1 | Filed May 20, 2026
Note 19 — Segments, Space Revenue FY2025: $4,086M
Pages F-58 to F-59
https://www.sec.gov/Archives/edgar/data/1181412/000162828026036936/spaceexplorationtechnologi.htm</t>
        </r>
      </text>
    </comment>
    <comment ref="B53" authorId="0" shapeId="0" xr:uid="{FC714674-5EFA-4B5E-BD56-50C0A13453D1}">
      <text>
        <r>
          <rPr>
            <b/>
            <sz val="9"/>
            <color indexed="81"/>
            <rFont val="Tahoma"/>
            <charset val="1"/>
          </rPr>
          <t>Rifat Tahmid:</t>
        </r>
        <r>
          <rPr>
            <sz val="9"/>
            <color indexed="81"/>
            <rFont val="Tahoma"/>
            <charset val="1"/>
          </rPr>
          <t xml:space="preserve">
SpaceX S-1 | Filed May 20, 2026
Note 19 — Segments (FY2025)
Page F-59
https://www.sec.gov/Archives/edgar/data/1181412/000162828026036936/spaceexplorationtechnologi.htm</t>
        </r>
      </text>
    </comment>
    <comment ref="C53" authorId="0" shapeId="0" xr:uid="{6D5ECA76-E6F8-47BE-AE59-D27F8694AA78}">
      <text>
        <r>
          <rPr>
            <b/>
            <sz val="9"/>
            <color indexed="81"/>
            <rFont val="Tahoma"/>
            <charset val="1"/>
          </rPr>
          <t xml:space="preserve">Rifat Tahmid:
</t>
        </r>
        <r>
          <rPr>
            <sz val="9"/>
            <color indexed="81"/>
            <rFont val="Tahoma"/>
            <family val="2"/>
          </rPr>
          <t>SpaceX S-1 | Filed May 20, 2026
Note 19 — Segments, AI Revenue FY2024: $2,620M
Page F-59
https://www.sec.gov/Archives/edgar/data/1181412/000162828026036936/spaceexplorationtechnologi.htm</t>
        </r>
      </text>
    </comment>
    <comment ref="D53" authorId="0" shapeId="0" xr:uid="{64253DC0-BE51-449B-9B0F-0F482A4F35C4}">
      <text>
        <r>
          <rPr>
            <b/>
            <sz val="9"/>
            <color indexed="81"/>
            <rFont val="Tahoma"/>
            <charset val="1"/>
          </rPr>
          <t>Rifat Tahmid:</t>
        </r>
        <r>
          <rPr>
            <sz val="9"/>
            <color indexed="81"/>
            <rFont val="Tahoma"/>
            <charset val="1"/>
          </rPr>
          <t xml:space="preserve">
SpaceX S-1 | Filed May 20, 2026
Note 19 — Segments, AI Revenue FY2025: $3,201M
Page F-59
https://www.sec.gov/Archives/edgar/data/1181412/000162828026036936/spaceexplorationtechnologi.htm</t>
        </r>
      </text>
    </comment>
    <comment ref="B54" authorId="0" shapeId="0" xr:uid="{3E118301-BC71-4D10-BA7E-B757F7BFE27B}">
      <text>
        <r>
          <rPr>
            <b/>
            <sz val="9"/>
            <color indexed="81"/>
            <rFont val="Tahoma"/>
            <charset val="1"/>
          </rPr>
          <t>Rifat Tahmid:</t>
        </r>
        <r>
          <rPr>
            <sz val="9"/>
            <color indexed="81"/>
            <rFont val="Tahoma"/>
            <charset val="1"/>
          </rPr>
          <t xml:space="preserve">
SpaceX S-1 | Filed May 20, 2026
Consolidated Statements of Cash Flows (total) — Page F-8 to F-9
Note 19 — Segments Capex detail — Pages F-58 to F-59
https://www.sec.gov/Archives/edgar/data/1181412/000162828026036936/spaceexplorationtechnologi.htm</t>
        </r>
      </text>
    </comment>
    <comment ref="C54" authorId="0" shapeId="0" xr:uid="{6B896A6A-1F8F-49CE-8D19-FCF213A3BDD0}">
      <text>
        <r>
          <rPr>
            <b/>
            <sz val="9"/>
            <color indexed="81"/>
            <rFont val="Tahoma"/>
            <charset val="1"/>
          </rPr>
          <t xml:space="preserve">Rifat Tahmid:
</t>
        </r>
        <r>
          <rPr>
            <sz val="9"/>
            <color indexed="81"/>
            <rFont val="Tahoma"/>
            <family val="2"/>
          </rPr>
          <t>SpaceX S-1 | Filed May 20, 2026
Total Capital Expenditure FY2024: $11,163M
Consolidated Statements of Cash Flows &amp; Note 19 — Segments
Pages F-8, F-58 to F-59
https://www.sec.gov/Archives/edgar/data/1181412/000162828026036936/spaceexplorationtechnologi.htm</t>
        </r>
      </text>
    </comment>
    <comment ref="D54" authorId="0" shapeId="0" xr:uid="{F6623B47-12BE-4CA2-86CB-90850D6719DF}">
      <text>
        <r>
          <rPr>
            <b/>
            <sz val="9"/>
            <color indexed="81"/>
            <rFont val="Tahoma"/>
            <charset val="1"/>
          </rPr>
          <t>Rifat Tahmid:</t>
        </r>
        <r>
          <rPr>
            <sz val="9"/>
            <color indexed="81"/>
            <rFont val="Tahoma"/>
            <charset val="1"/>
          </rPr>
          <t xml:space="preserve">
SpaceX S-1 | Filed May 20, 2026
Capex by Segment: Space $3,832M + Connectivity $4,178M + AI $12,727M = $20,737M
Note 19 — Segments &amp; Cash Flow Statement
Pages F-8, F-58 to F-59
https://www.sec.gov/Archives/edgar/data/1181412/000162828026036936/spaceexplorationtechnologi.htm</t>
        </r>
      </text>
    </comment>
    <comment ref="B55" authorId="0" shapeId="0" xr:uid="{B69ED6DB-F0DB-4D9C-9C90-79BA97F4C3EE}">
      <text>
        <r>
          <rPr>
            <b/>
            <sz val="9"/>
            <color indexed="81"/>
            <rFont val="Tahoma"/>
            <charset val="1"/>
          </rPr>
          <t>Rifat Tahmid:</t>
        </r>
        <r>
          <rPr>
            <sz val="9"/>
            <color indexed="81"/>
            <rFont val="Tahoma"/>
            <charset val="1"/>
          </rPr>
          <t xml:space="preserve">
SpaceX S-1 | Filed May 20, 2026
Consolidated Statements of Cash Flows
Pages F-8 to F-9
https://www.sec.gov/Archives/edgar/data/1181412/000162828026036936/spaceexplorationtechnologi.htm</t>
        </r>
      </text>
    </comment>
    <comment ref="C55" authorId="0" shapeId="0" xr:uid="{995B4FDD-FB28-4117-B956-F6F59FA2710C}">
      <text>
        <r>
          <rPr>
            <b/>
            <sz val="9"/>
            <color indexed="81"/>
            <rFont val="Tahoma"/>
            <charset val="1"/>
          </rPr>
          <t xml:space="preserve">Rifat Tahmid:
</t>
        </r>
        <r>
          <rPr>
            <sz val="9"/>
            <color indexed="81"/>
            <rFont val="Tahoma"/>
            <family val="2"/>
          </rPr>
          <t>SpaceX S-1 | Filed May 20, 2026
Net Cash from Operating Activities — FY2024: $5,776M
Consolidated Statements of Cash Flows
Pages F-8 to F-9
https://www.sec.gov/Archives/edgar/data/1181412/000162828026036936/spaceexplorationtechnologi.htm</t>
        </r>
      </text>
    </comment>
    <comment ref="D55" authorId="0" shapeId="0" xr:uid="{4BF646F3-0F4F-47F5-9D5C-5F32BE91A935}">
      <text>
        <r>
          <rPr>
            <b/>
            <sz val="9"/>
            <color indexed="81"/>
            <rFont val="Tahoma"/>
            <charset val="1"/>
          </rPr>
          <t>Rifat Tahmid:</t>
        </r>
        <r>
          <rPr>
            <sz val="9"/>
            <color indexed="81"/>
            <rFont val="Tahoma"/>
            <charset val="1"/>
          </rPr>
          <t xml:space="preserve">
SpaceX S-1 | Filed May 20, 2026
Net Cash from Operating Activities — FY2025: $6,785M
Consolidated Statements of Cash Flows
Pages F-8 to F-9
https://www.sec.gov/Archives/edgar/data/1181412/000162828026036936/spaceexplorationtechnologi.htm</t>
        </r>
      </text>
    </comment>
    <comment ref="B56" authorId="0" shapeId="0" xr:uid="{A8F6E39E-6527-4357-A159-28B513EC0905}">
      <text>
        <r>
          <rPr>
            <b/>
            <sz val="9"/>
            <color indexed="81"/>
            <rFont val="Tahoma"/>
            <charset val="1"/>
          </rPr>
          <t>Rifat Tahmid:</t>
        </r>
        <r>
          <rPr>
            <sz val="9"/>
            <color indexed="81"/>
            <rFont val="Tahoma"/>
            <charset val="1"/>
          </rPr>
          <t xml:space="preserve">
SpaceX S-1 | Filed May 20, 2026
Consolidated Statements of Operations
Page F-5
https://www.sec.gov/Archives/edgar/data/1181412/000162828026036936/spaceexplorationtechnologi.htm</t>
        </r>
      </text>
    </comment>
    <comment ref="C56" authorId="0" shapeId="0" xr:uid="{F3DE2C86-A252-4679-802D-22CB662EF163}">
      <text>
        <r>
          <rPr>
            <b/>
            <sz val="9"/>
            <color indexed="81"/>
            <rFont val="Tahoma"/>
            <charset val="1"/>
          </rPr>
          <t xml:space="preserve">Rifat Tahmid:
</t>
        </r>
        <r>
          <rPr>
            <sz val="9"/>
            <color indexed="81"/>
            <rFont val="Tahoma"/>
            <family val="2"/>
          </rPr>
          <t>SpaceX S-1 | Filed May 20, 2026
Net Income FY2024: $791M
Consolidated Statements of Operations
Page F-5
https://www.sec.gov/Archives/edgar/data/1181412/000162828026036936/spaceexplorationtechnologi.htm</t>
        </r>
      </text>
    </comment>
    <comment ref="D56" authorId="0" shapeId="0" xr:uid="{C9F06982-0A17-445C-A87A-F5674AD6A7C2}">
      <text>
        <r>
          <rPr>
            <b/>
            <sz val="9"/>
            <color indexed="81"/>
            <rFont val="Tahoma"/>
            <charset val="1"/>
          </rPr>
          <t>Rifat Tahmid:</t>
        </r>
        <r>
          <rPr>
            <sz val="9"/>
            <color indexed="81"/>
            <rFont val="Tahoma"/>
            <charset val="1"/>
          </rPr>
          <t xml:space="preserve">
SpaceX S-1 | Filed May 20, 2026
Net Loss FY2025: $(4,937)M
Consolidated Statements of Operations
Page F-5
https://www.sec.gov/Archives/edgar/data/1181412/000162828026036936/spaceexplorationtechnologi.htm</t>
        </r>
      </text>
    </comment>
    <comment ref="B57" authorId="0" shapeId="0" xr:uid="{AFF09562-C36B-4445-8F90-0B3C33816020}">
      <text>
        <r>
          <rPr>
            <b/>
            <sz val="9"/>
            <color indexed="81"/>
            <rFont val="Tahoma"/>
            <charset val="1"/>
          </rPr>
          <t>Rifat Tahmid:</t>
        </r>
        <r>
          <rPr>
            <sz val="9"/>
            <color indexed="81"/>
            <rFont val="Tahoma"/>
            <charset val="1"/>
          </rPr>
          <t xml:space="preserve">
SpaceX S-1 | Filed May 20, 2026
Derived: Connectivity Segment Adjusted EBITDA $7,168M / Revenue $11,387M
Note 19 — Segments
Page F-58
https://www.sec.gov/Archives/edgar/data/1181412/000162828026036936/spaceexplorationtechnologi.htm</t>
        </r>
      </text>
    </comment>
    <comment ref="C57" authorId="0" shapeId="0" xr:uid="{A2B5DBEC-E82B-42BF-95C2-2AD78B25D483}">
      <text>
        <r>
          <rPr>
            <b/>
            <sz val="9"/>
            <color indexed="81"/>
            <rFont val="Tahoma"/>
            <charset val="1"/>
          </rPr>
          <t xml:space="preserve">Rifat Tahmid:
</t>
        </r>
        <r>
          <rPr>
            <sz val="9"/>
            <color indexed="81"/>
            <rFont val="Tahoma"/>
            <family val="2"/>
          </rPr>
          <t>SpaceX S-1 | Filed May 20, 2026
Connectivity Segment Adjusted EBITDA Margin FY2024: 46.2%
Note 19 — Segments &amp; MD&amp;A Non-GAAP Measures
Page F-58
https://www.sec.gov/Archives/edgar/data/1181412/000162828026036936/spaceexplorationtechnologi.htm</t>
        </r>
      </text>
    </comment>
    <comment ref="D57" authorId="0" shapeId="0" xr:uid="{778BC65F-DA8C-4A6B-A9D0-E34B1AE43AC4}">
      <text>
        <r>
          <rPr>
            <b/>
            <sz val="9"/>
            <color indexed="81"/>
            <rFont val="Tahoma"/>
            <charset val="1"/>
          </rPr>
          <t>Rifat Tahmid:</t>
        </r>
        <r>
          <rPr>
            <sz val="9"/>
            <color indexed="81"/>
            <rFont val="Tahoma"/>
            <charset val="1"/>
          </rPr>
          <t xml:space="preserve">
SpaceX S-1 | Filed May 20, 2026
Connectivity Segment Adjusted EBITDA FY2025: $7,168M / Revenue $11,387M = 62.9%
Note 19 — Segments &amp; MD&amp;A Non-GAAP Measures
Page F-58
https://www.sec.gov/Archives/edgar/data/1181412/000162828026036936/spaceexplorationtechnologi.htm</t>
        </r>
      </text>
    </comment>
    <comment ref="B86" authorId="0" shapeId="0" xr:uid="{467B7D8E-771F-4623-8AC3-34FF8602E9BC}">
      <text>
        <r>
          <rPr>
            <b/>
            <sz val="9"/>
            <color indexed="81"/>
            <rFont val="Tahoma"/>
            <charset val="1"/>
          </rPr>
          <t>Rifat Tahmid:</t>
        </r>
        <r>
          <rPr>
            <sz val="9"/>
            <color indexed="81"/>
            <rFont val="Tahoma"/>
            <charset val="1"/>
          </rPr>
          <t xml:space="preserve">
Pro forma Class A includes ~81M greenshoe shares (15% overallotment exercised by underwriters). Base: 6,825M (S-1) + 81M (greenshoe) = 6,906M.</t>
        </r>
      </text>
    </comment>
    <comment ref="B92" authorId="0" shapeId="0" xr:uid="{27905AC0-CAF4-4ADE-8A5D-8E4B50BF3B93}">
      <text>
        <r>
          <rPr>
            <b/>
            <sz val="9"/>
            <color indexed="81"/>
            <rFont val="Tahoma"/>
            <charset val="1"/>
          </rPr>
          <t>Rifat Tahmid:</t>
        </r>
        <r>
          <rPr>
            <sz val="9"/>
            <color indexed="81"/>
            <rFont val="Tahoma"/>
            <charset val="1"/>
          </rPr>
          <t xml:space="preserve">
Other dilutive (ESPP + est.) = residual from total FD count. Hardcoded as independent input to break circular reference (previously =B29–B89–B90–B91).</t>
        </r>
      </text>
    </comment>
    <comment ref="A97" authorId="0" shapeId="0" xr:uid="{4C8DBB51-95D9-4F72-908D-9AE824FD5D62}">
      <text>
        <r>
          <rPr>
            <b/>
            <sz val="9"/>
            <color indexed="81"/>
            <rFont val="Tahoma"/>
            <charset val="1"/>
          </rPr>
          <t xml:space="preserve">Rifat Tahmid:
</t>
        </r>
        <r>
          <rPr>
            <sz val="9"/>
            <color indexed="81"/>
            <rFont val="Tahoma"/>
            <family val="2"/>
          </rPr>
          <t>Lock-up schedule derived from SEC S-1 filing (Jun 17, 2026) and Boyan Girginov analysis. 4.9% IPO float (incl. greenshoe); Musk 46.1% stake unlocks Day 366 (Jun 12, 2027).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Rifat Tahmid</author>
  </authors>
  <commentList>
    <comment ref="E9" authorId="0" shapeId="0" xr:uid="{FE26D528-E18C-42A7-B878-79CA825A7DFF}">
      <text>
        <r>
          <rPr>
            <b/>
            <sz val="9"/>
            <color indexed="81"/>
            <rFont val="Tahoma"/>
            <charset val="1"/>
          </rPr>
          <t>Rifat Tahmid:</t>
        </r>
        <r>
          <rPr>
            <sz val="9"/>
            <color indexed="81"/>
            <rFont val="Tahoma"/>
            <charset val="1"/>
          </rPr>
          <t xml:space="preserve">
Source: SpaceX S-1, SEC EDGAR, Filed May 20 2026
Bear rev growth anchored to FY2025A Connectivity: +49.8% YoY ($7.6B→$11.4B)
Page: F-58 (Note 19 — Segments, YE Dec 31 2025)
https://www.sec.gov/Archives/edgar/data/1181412/000162828026036936/spaceexplorationtechnologi.htm</t>
        </r>
      </text>
    </comment>
    <comment ref="E10" authorId="0" shapeId="0" xr:uid="{BBC09C83-3E02-4AA5-B8D7-586DAEC1404F}">
      <text>
        <r>
          <rPr>
            <b/>
            <sz val="9"/>
            <color indexed="81"/>
            <rFont val="Tahoma"/>
            <charset val="1"/>
          </rPr>
          <t>Rifat Tahmid:</t>
        </r>
        <r>
          <rPr>
            <sz val="9"/>
            <color indexed="81"/>
            <rFont val="Tahoma"/>
            <charset val="1"/>
          </rPr>
          <t xml:space="preserve">
Source: SpaceX S-1, SEC EDGAR, Filed May 20 2026
EBITDA margin anchored to FY2025A: 62.9% ($7,168M / $11,387M)
Page: F-58 (Note 19 — Segments, YE Dec 31 2025)
https://www.sec.gov/Archives/edgar/data/1181412/000162828026036936/spaceexplorationtechnologi.htm</t>
        </r>
      </text>
    </comment>
    <comment ref="E11" authorId="0" shapeId="0" xr:uid="{A52D2641-3F6C-4092-A5F0-A352490C0A97}">
      <text>
        <r>
          <rPr>
            <b/>
            <sz val="9"/>
            <color indexed="81"/>
            <rFont val="Tahoma"/>
            <charset val="1"/>
          </rPr>
          <t>Rifat Tahmid:</t>
        </r>
        <r>
          <rPr>
            <sz val="9"/>
            <color indexed="81"/>
            <rFont val="Tahoma"/>
            <charset val="1"/>
          </rPr>
          <t xml:space="preserve">
Source: SpaceX S-1, SEC EDGAR, Filed May 20 2026
Capex % anchored to FY2025A: $4,178M / $11,387M = 36.7%
Page: F-58 (Note 19 — Segments, supplemental, YE Dec 31 2025)
https://www.sec.gov/Archives/edgar/data/1181412/000162828026036936/spaceexplorationtechnologi.htm</t>
        </r>
      </text>
    </comment>
    <comment ref="E13" authorId="0" shapeId="0" xr:uid="{B14317F6-D839-4764-B599-50E5988B529F}">
      <text>
        <r>
          <rPr>
            <b/>
            <sz val="9"/>
            <color indexed="81"/>
            <rFont val="Tahoma"/>
            <charset val="1"/>
          </rPr>
          <t xml:space="preserve">Rifat Tahmid:
</t>
        </r>
        <r>
          <rPr>
            <sz val="9"/>
            <color indexed="81"/>
            <rFont val="Tahoma"/>
            <family val="2"/>
          </rPr>
          <t>Bear Scenario — Satellite Fleet Assumption
Active Fleet FY2026E: 10,200 (vs Base 11,040)
~85-92% of Base, reflecting slower subscriber growth (28% vs 38% Base)
Terminal fleet ~21,350 vs 27,409 Base (~78%)
Ref: SpaceX S-1, FY2025 fleet 9,600 | FCC Gen2 approval 42,000</t>
        </r>
      </text>
    </comment>
    <comment ref="A14" authorId="0" shapeId="0" xr:uid="{100B22DC-0029-459F-983F-81397A4D77DE}">
      <text>
        <r>
          <rPr>
            <b/>
            <sz val="9"/>
            <color indexed="81"/>
            <rFont val="Tahoma"/>
            <charset val="1"/>
          </rPr>
          <t>Rifat Tahmid:
Bear SBC % = Base + 50bp. Higher headcount-to-revenue ratio when growth disappoints – SBC is partially fixed (headcount grants) while revenue scales slower.</t>
        </r>
      </text>
    </comment>
    <comment ref="E23" authorId="0" shapeId="0" xr:uid="{A0DF5716-83DF-458D-BA39-38F1BD38FB74}">
      <text>
        <r>
          <rPr>
            <b/>
            <sz val="9"/>
            <color indexed="81"/>
            <rFont val="Tahoma"/>
            <charset val="1"/>
          </rPr>
          <t xml:space="preserve">Rifat Tahmid:
</t>
        </r>
        <r>
          <rPr>
            <sz val="9"/>
            <color indexed="81"/>
            <rFont val="Tahoma"/>
            <family val="2"/>
          </rPr>
          <t>Base Scenario — Satellite Fleet Assumption
Active Fleet FY2026E: 11,040 (vs FY2025A 9,600)
Starlink: ~10,400 active sats as of June 2026 | FCC Gen2 approval 42,000
Manufacturing capacity ~45/week (~2,340/yr) | Satellite life ~5 years
Source: space.com, SpaceX S-1 (Note 19 — Segments)
https://www.space.com/spacex-starlink-satellites.html</t>
        </r>
      </text>
    </comment>
    <comment ref="A24" authorId="0" shapeId="0" xr:uid="{407F7039-B398-4B9C-B6E9-85A823359539}">
      <text>
        <r>
          <rPr>
            <b/>
            <sz val="9"/>
            <color indexed="81"/>
            <rFont val="Tahoma"/>
            <charset val="1"/>
          </rPr>
          <t>Rifat Tahmid:
Base SBC % = 2.5% declining to 1.5% over 20 years. Benchmarked to telecom/aerospace (T-Mobile ~2%, Boeing ~2%). Connectivity is mature infra – lower than tech-sector average.</t>
        </r>
      </text>
    </comment>
    <comment ref="E33" authorId="0" shapeId="0" xr:uid="{F0E04B03-00CB-449A-A0D7-33269FD2BB08}">
      <text>
        <r>
          <rPr>
            <b/>
            <sz val="9"/>
            <color indexed="81"/>
            <rFont val="Tahoma"/>
            <charset val="1"/>
          </rPr>
          <t xml:space="preserve">Rifat Tahmid:
</t>
        </r>
        <r>
          <rPr>
            <sz val="9"/>
            <color indexed="81"/>
            <rFont val="Tahoma"/>
            <family val="2"/>
          </rPr>
          <t>Bull Scenario — Satellite Fleet Assumption
Active Fleet FY2026E: 12,100 (vs Base 11,040)
~110-115% of Base, reflecting faster subscriber adoption (48% vs 38% Base)
Terminal fleet ~37,500 vs 27,409 Base (~137%)
Ref: SpaceX S-1, FY2025 fleet 9,600 | FCC Gen2 approval 42,000</t>
        </r>
      </text>
    </comment>
    <comment ref="A34" authorId="0" shapeId="0" xr:uid="{D941416A-2E09-4CD0-9500-68C9FEEE60E5}">
      <text>
        <r>
          <rPr>
            <b/>
            <sz val="9"/>
            <color indexed="81"/>
            <rFont val="Tahoma"/>
            <charset val="1"/>
          </rPr>
          <t>Rifat Tahmid:
Bull SBC % = Base – 50bp. Revenue scales faster than equity grants – SBC intensity dilutes. Terminal 1.0% consistent with large-cap infra at steady state.</t>
        </r>
      </text>
    </comment>
    <comment ref="A44" authorId="0" shapeId="0" xr:uid="{0457D806-7337-4CEF-8244-CDC8D33FB359}">
      <text>
        <r>
          <rPr>
            <b/>
            <sz val="9"/>
            <color indexed="81"/>
            <rFont val="Tahoma"/>
            <family val="2"/>
          </rPr>
          <t>Rifat Tahmid:</t>
        </r>
        <r>
          <rPr>
            <sz val="9"/>
            <color indexed="81"/>
            <rFont val="Tahoma"/>
            <family val="2"/>
          </rPr>
          <t xml:space="preserve">
Stock-Based Compensation as % of segment revenue. Estimated from S-1 consolidated disclosures and industry benchmarks (Meta ~10%, Tesla ~3%, defense primes ~2%). Connectivity is a mature infrastructure business — SBC intensity closer to telecom/aerospace.
Source: Estimate. SpaceX S-1 does not disclose segment-level SBC. Consolidated SBC described as 'hundreds of millions annually' (per S-1 bridge analysis). Allocated proportionally.</t>
        </r>
      </text>
    </comment>
    <comment ref="B47" authorId="0" shapeId="0" xr:uid="{4D83B23B-D873-4080-8478-2AC986AF0726}">
      <text>
        <r>
          <rPr>
            <b/>
            <sz val="9"/>
            <color indexed="81"/>
            <rFont val="Tahoma"/>
            <family val="2"/>
          </rPr>
          <t>Rifat Tahmid:</t>
        </r>
        <r>
          <rPr>
            <sz val="9"/>
            <color indexed="81"/>
            <rFont val="Tahoma"/>
            <family val="2"/>
          </rPr>
          <t xml:space="preserve">
Time-averaged WACC across the 20-year forecast. Used as the center of sensitivity tables so the grid brackets the primary time-varying DCF result. See WACC sheet for static (mature-state) WACC.</t>
        </r>
      </text>
    </comment>
    <comment ref="B50" authorId="0" shapeId="0" xr:uid="{062C84F9-73BE-48C1-AA72-847834F26FF7}">
      <text>
        <r>
          <rPr>
            <b/>
            <sz val="9"/>
            <color indexed="81"/>
            <rFont val="Tahoma"/>
            <charset val="1"/>
          </rPr>
          <t>Rifat Tahmid:</t>
        </r>
        <r>
          <rPr>
            <sz val="9"/>
            <color indexed="81"/>
            <rFont val="Tahoma"/>
            <charset val="1"/>
          </rPr>
          <t xml:space="preserve">
Source: SpaceX S-1, SEC EDGAR, Filed May 20 2026
Connectivity Revenue FY2023A: $3,869M
Page: F-59 (Note 19 — Segments, YE Dec 31 2023)
https://www.sec.gov/Archives/edgar/data/1181412/000162828026036936/spaceexplorationtechnologi.htm</t>
        </r>
      </text>
    </comment>
    <comment ref="C50" authorId="0" shapeId="0" xr:uid="{0488F870-761A-4CEF-8531-2E4F29B357E0}">
      <text>
        <r>
          <rPr>
            <b/>
            <sz val="9"/>
            <color indexed="81"/>
            <rFont val="Tahoma"/>
            <charset val="1"/>
          </rPr>
          <t>Rifat Tahmid:</t>
        </r>
        <r>
          <rPr>
            <sz val="9"/>
            <color indexed="81"/>
            <rFont val="Tahoma"/>
            <charset val="1"/>
          </rPr>
          <t xml:space="preserve">
Source: SpaceX S-1, SEC EDGAR, Filed May 20 2026
Connectivity Revenue FY2024A: $7,599M
Page: F-58 (Note 19 — Segments, YE Dec 31 2024)
https://www.sec.gov/Archives/edgar/data/1181412/000162828026036936/spaceexplorationtechnologi.htm</t>
        </r>
      </text>
    </comment>
    <comment ref="D50" authorId="0" shapeId="0" xr:uid="{FE6B87F6-1368-4417-B214-FB21A3C0C182}">
      <text>
        <r>
          <rPr>
            <b/>
            <sz val="9"/>
            <color indexed="81"/>
            <rFont val="Tahoma"/>
            <charset val="1"/>
          </rPr>
          <t>Rifat Tahmid:</t>
        </r>
        <r>
          <rPr>
            <sz val="9"/>
            <color indexed="81"/>
            <rFont val="Tahoma"/>
            <charset val="1"/>
          </rPr>
          <t xml:space="preserve">
Source: SpaceX S-1, SEC EDGAR, Filed May 20 2026
Connectivity Revenue FY2025A: $11,387M (Consumer $7,208M + Enterprise/Govt $4,179M)
Page: F-58 (Note 19 — Segments, YE Dec 31 2025)
https://www.sec.gov/Archives/edgar/data/1181412/000162828026036936/spaceexplorationtechnologi.htm</t>
        </r>
      </text>
    </comment>
    <comment ref="B52" authorId="0" shapeId="0" xr:uid="{BB3D36D8-FB50-4AF1-ABB5-72B3B2599582}">
      <text>
        <r>
          <rPr>
            <b/>
            <sz val="9"/>
            <color indexed="81"/>
            <rFont val="Tahoma"/>
            <charset val="1"/>
          </rPr>
          <t>Rifat Tahmid:
Source: S-1 Connectivity Segment Adjusted EBITDA FY2023 = $1,602M.
https://www.sec.gov/Archives/edgar/data/1181412/000162828026036936/spaceexplorationtechnologi.htm</t>
        </r>
      </text>
    </comment>
    <comment ref="C52" authorId="0" shapeId="0" xr:uid="{F5F4F5FC-E897-4F99-B6D2-F74F28B6BCD4}">
      <text>
        <r>
          <rPr>
            <b/>
            <sz val="9"/>
            <color indexed="81"/>
            <rFont val="Tahoma"/>
            <charset val="1"/>
          </rPr>
          <t>Rifat Tahmid:
Source: S-1 Connectivity Segment Adjusted EBITDA FY2024 = $3,849M.
https://www.sec.gov/Archives/edgar/data/1181412/000162828026036936/spaceexplorationtechnologi.htm</t>
        </r>
      </text>
    </comment>
    <comment ref="D52" authorId="0" shapeId="0" xr:uid="{3D82C2FC-7DF2-4C8C-9028-3FF0F70F78E4}">
      <text>
        <r>
          <rPr>
            <b/>
            <sz val="9"/>
            <color indexed="81"/>
            <rFont val="Tahoma"/>
            <charset val="1"/>
          </rPr>
          <t>Rifat Tahmid:</t>
        </r>
        <r>
          <rPr>
            <sz val="9"/>
            <color indexed="81"/>
            <rFont val="Tahoma"/>
            <charset val="1"/>
          </rPr>
          <t xml:space="preserve">
Source: SpaceX S-1, SEC EDGAR, Filed May 20 2026
Connectivity Adj EBITDA FY2025A: $7,168M (62.9% margin; +86% YoY)
Page: F-58 (Note 19 — Segments, YE Dec 31 2025)
https://www.sec.gov/Archives/edgar/data/1181412/000162828026036936/spaceexplorationtechnologi.htm</t>
        </r>
      </text>
    </comment>
    <comment ref="A54" authorId="0" shapeId="0" xr:uid="{2E7E744A-2E62-4BE4-A45A-FFAA9584EE87}">
      <text>
        <r>
          <rPr>
            <b/>
            <sz val="9"/>
            <color indexed="81"/>
            <rFont val="Tahoma"/>
            <family val="2"/>
          </rPr>
          <t>D&amp;A is driven entirely by the physical satellite fleet model (rows 143–162).
Physical D&amp;A = Satellite D&amp;A (steady-state replacement) + Ground/Facilities D&amp;A.
See Satellite Fleet Dynamics section for fleet size, cost/sat, useful life, and ground infra assumptions.</t>
        </r>
      </text>
    </comment>
    <comment ref="B54" authorId="0" shapeId="0" xr:uid="{C1916BAA-407E-4831-BFC5-587479508E5E}">
      <text>
        <r>
          <rPr>
            <b/>
            <sz val="9"/>
            <color indexed="81"/>
            <rFont val="Tahoma"/>
            <charset val="1"/>
          </rPr>
          <t>Rifat Tahmid:</t>
        </r>
        <r>
          <rPr>
            <sz val="9"/>
            <color indexed="81"/>
            <rFont val="Tahoma"/>
            <charset val="1"/>
          </rPr>
          <t xml:space="preserve">
Source: SpaceX S-1, SEC EDGAR, Filed May 20 2026
Connectivity D&amp;A FY2023A: $884M (Starlink satellite depreciation)
Page: F-59 (Note 19 — Segments, supplemental, YE Dec 31 2023)
https://www.sec.gov/Archives/edgar/data/1181412/000162828026036936/spaceexplorationtechnologi.htm</t>
        </r>
      </text>
    </comment>
    <comment ref="C54" authorId="0" shapeId="0" xr:uid="{ACF92831-F86B-42A7-9D3F-DEE98B0049AD}">
      <text>
        <r>
          <rPr>
            <b/>
            <sz val="9"/>
            <color indexed="81"/>
            <rFont val="Tahoma"/>
            <charset val="1"/>
          </rPr>
          <t>Rifat Tahmid:</t>
        </r>
        <r>
          <rPr>
            <sz val="9"/>
            <color indexed="81"/>
            <rFont val="Tahoma"/>
            <charset val="1"/>
          </rPr>
          <t xml:space="preserve">
Source: SpaceX S-1, SEC EDGAR, Filed May 20 2026
Connectivity D&amp;A FY2024A: $1,508M
Page: F-58 (Note 19 — Segments, supplemental, YE Dec 31 2024)
https://www.sec.gov/Archives/edgar/data/1181412/000162828026036936/spaceexplorationtechnologi.htm</t>
        </r>
      </text>
    </comment>
    <comment ref="D54" authorId="0" shapeId="0" xr:uid="{AD1580CA-64E5-43FA-8C4C-EB3F9954C1DF}">
      <text>
        <r>
          <rPr>
            <b/>
            <sz val="9"/>
            <color indexed="81"/>
            <rFont val="Tahoma"/>
            <charset val="1"/>
          </rPr>
          <t>Rifat Tahmid:</t>
        </r>
        <r>
          <rPr>
            <sz val="9"/>
            <color indexed="81"/>
            <rFont val="Tahoma"/>
            <charset val="1"/>
          </rPr>
          <t xml:space="preserve">
Source: SpaceX S-1, SEC EDGAR, Filed May 20 2026
Connectivity D&amp;A FY2025A: $2,376M (Starlink v2 constellation depreciation)
Page: F-58 (Note 19 — Segments, supplemental, YE Dec 31 2025)
https://www.sec.gov/Archives/edgar/data/1181412/000162828026036936/spaceexplorationtechnologi.htm</t>
        </r>
      </text>
    </comment>
    <comment ref="A57" authorId="0" shapeId="0" xr:uid="{02FA819B-96E0-408E-AD0B-33A118C178DB}">
      <text>
        <r>
          <rPr>
            <b/>
            <sz val="9"/>
            <color indexed="81"/>
            <rFont val="Tahoma"/>
            <charset val="1"/>
          </rPr>
          <t>No NOL schedule added — Connectivity segment has been consistently profitable since FY2023 ($1,051M → $2,006M → $4,792M EBIT). No accumulated losses to carry forward.
For Space and AI DCF tabs, a 3-row NOL carryforward schedule (Opening → Utilization → Closing) was inserted above this row, with the 80% IRC §172 limitation.
Consolidated federal NOLs = $9,728M (S-1 Note 15) — attributable to Space and AI segment losses.</t>
        </r>
      </text>
    </comment>
    <comment ref="B59" authorId="0" shapeId="0" xr:uid="{D5BFDF38-971A-454D-ADD6-520A475E3AC1}">
      <text>
        <r>
          <rPr>
            <b/>
            <sz val="9"/>
            <color indexed="81"/>
            <rFont val="Tahoma"/>
            <charset val="1"/>
          </rPr>
          <t>Rifat Tahmid:</t>
        </r>
        <r>
          <rPr>
            <sz val="9"/>
            <color indexed="81"/>
            <rFont val="Tahoma"/>
            <charset val="1"/>
          </rPr>
          <t xml:space="preserve">
SpaceX S-1 | Filed May 20, 2026
Connectivity Segment D&amp;A FY2023: $884M
Note 19 — Segments, Supplemental Info
Page F-59
https://www.sec.gov/Archives/edgar/data/1181412/000162828026036936/spaceexplorationtechnologi.htm</t>
        </r>
      </text>
    </comment>
    <comment ref="C59" authorId="0" shapeId="0" xr:uid="{D4363762-4145-490A-89EC-49EEFFB21496}">
      <text>
        <r>
          <rPr>
            <b/>
            <sz val="9"/>
            <color indexed="81"/>
            <rFont val="Tahoma"/>
            <charset val="1"/>
          </rPr>
          <t>Rifat Tahmid:</t>
        </r>
        <r>
          <rPr>
            <sz val="9"/>
            <color indexed="81"/>
            <rFont val="Tahoma"/>
            <charset val="1"/>
          </rPr>
          <t xml:space="preserve">
SpaceX S-1 | Filed May 20, 2026
Connectivity Segment D&amp;A FY2024: $1,508M
Note 19 — Segments, Supplemental Info
Page F-58
https://www.sec.gov/Archives/edgar/data/1181412/000162828026036936/spaceexplorationtechnologi.htm</t>
        </r>
      </text>
    </comment>
    <comment ref="D59" authorId="0" shapeId="0" xr:uid="{F3EAD545-AF34-4F04-935F-82FAEA4EFAB6}">
      <text>
        <r>
          <rPr>
            <b/>
            <sz val="9"/>
            <color indexed="81"/>
            <rFont val="Tahoma"/>
            <charset val="1"/>
          </rPr>
          <t>Rifat Tahmid:</t>
        </r>
        <r>
          <rPr>
            <sz val="9"/>
            <color indexed="81"/>
            <rFont val="Tahoma"/>
            <charset val="1"/>
          </rPr>
          <t xml:space="preserve">
SpaceX S-1 | Filed May 20, 2026
Connectivity Segment D&amp;A FY2025: $2,376M
Note 19 — Segments, Supplemental Info
Page F-58
https://www.sec.gov/Archives/edgar/data/1181412/000162828026036936/spaceexplorationtechnologi.htm</t>
        </r>
      </text>
    </comment>
    <comment ref="B60" authorId="0" shapeId="0" xr:uid="{F44F96D8-E3DF-412A-BB7C-0DEAE61DC759}">
      <text>
        <r>
          <rPr>
            <b/>
            <sz val="9"/>
            <color indexed="81"/>
            <rFont val="Tahoma"/>
            <charset val="1"/>
          </rPr>
          <t>Rifat Tahmid:</t>
        </r>
        <r>
          <rPr>
            <sz val="9"/>
            <color indexed="81"/>
            <rFont val="Tahoma"/>
            <charset val="1"/>
          </rPr>
          <t xml:space="preserve">
Source: SpaceX S-1, SEC EDGAR, Filed May 20 2026
Connectivity Capex FY2023A: $2,455M
Page: F-59 (Note 19 — Segments, supplemental, YE Dec 31 2023)
https://www.sec.gov/Archives/edgar/data/1181412/000162828026036936/spaceexplorationtechnologi.htm</t>
        </r>
      </text>
    </comment>
    <comment ref="C60" authorId="0" shapeId="0" xr:uid="{364683FC-60B7-4718-8B77-FE097D6082C4}">
      <text>
        <r>
          <rPr>
            <b/>
            <sz val="9"/>
            <color indexed="81"/>
            <rFont val="Tahoma"/>
            <charset val="1"/>
          </rPr>
          <t>Rifat Tahmid:</t>
        </r>
        <r>
          <rPr>
            <sz val="9"/>
            <color indexed="81"/>
            <rFont val="Tahoma"/>
            <charset val="1"/>
          </rPr>
          <t xml:space="preserve">
Source: SpaceX S-1, SEC EDGAR, Filed May 20 2026
Connectivity Capex FY2024A: $3,498M
Page: F-58 (Note 19 — Segments, supplemental, YE Dec 31 2024)
https://www.sec.gov/Archives/edgar/data/1181412/000162828026036936/spaceexplorationtechnologi.htm</t>
        </r>
      </text>
    </comment>
    <comment ref="D60" authorId="0" shapeId="0" xr:uid="{E0BE342A-DBEC-4F91-B88F-BDC91A2524B6}">
      <text>
        <r>
          <rPr>
            <b/>
            <sz val="9"/>
            <color indexed="81"/>
            <rFont val="Tahoma"/>
            <charset val="1"/>
          </rPr>
          <t>Rifat Tahmid:</t>
        </r>
        <r>
          <rPr>
            <sz val="9"/>
            <color indexed="81"/>
            <rFont val="Tahoma"/>
            <charset val="1"/>
          </rPr>
          <t xml:space="preserve">
Source: SpaceX S-1, SEC EDGAR, Filed May 20 2026
Connectivity Capex FY2025A: $4,178M (constellation build-out)
Page: F-58 (Note 19 — Segments, supplemental, YE Dec 31 2025)
https://www.sec.gov/Archives/edgar/data/1181412/000162828026036936/spaceexplorationtechnologi.htm</t>
        </r>
      </text>
    </comment>
    <comment ref="B61" authorId="0" shapeId="0" xr:uid="{49EE4766-35CF-4F1F-9002-7B2A9BC0746B}">
      <text>
        <r>
          <rPr>
            <b/>
            <sz val="9"/>
            <color indexed="81"/>
            <rFont val="Tahoma"/>
            <charset val="1"/>
          </rPr>
          <t>NWC = 0 for actuals: SpaceX S-1 does not disclose segment-level working capital. Consolidated NWC cannot be reliably allocated across Connectivity / Space / AI. Forecast NWC uses incremental revenue × NWC% assumption from row 40.</t>
        </r>
      </text>
    </comment>
    <comment ref="C61" authorId="0" shapeId="0" xr:uid="{715E5318-C0CD-4BAD-801D-6DDAF684C503}">
      <text>
        <r>
          <rPr>
            <b/>
            <sz val="9"/>
            <color indexed="81"/>
            <rFont val="Tahoma"/>
            <charset val="1"/>
          </rPr>
          <t>NWC = 0 for actuals: no segment-level working capital disclosure in S-1. See B56 note.</t>
        </r>
      </text>
    </comment>
    <comment ref="D61" authorId="0" shapeId="0" xr:uid="{88296CDA-2B45-41E1-A868-903BFC76E8B1}">
      <text>
        <r>
          <rPr>
            <b/>
            <sz val="9"/>
            <color indexed="81"/>
            <rFont val="Tahoma"/>
            <charset val="1"/>
          </rPr>
          <t>NWC = 0 for actuals: no segment-level working capital disclosure in S-1. See B56 note.</t>
        </r>
      </text>
    </comment>
    <comment ref="E62" authorId="0" shapeId="0" xr:uid="{EE909156-179F-4ABD-8DE8-D27F7F8BADB3}">
      <text>
        <r>
          <rPr>
            <b/>
            <sz val="9"/>
            <color indexed="81"/>
            <rFont val="Tahoma"/>
            <family val="2"/>
          </rPr>
          <t>UFCF = NOPAT + D&amp;A - Capex - ΔNWC - After-Tax SBC.
SBC deduction = Revenue × SBC% × (1 − tax rate).
SBC is tax-deductible → net economic cost is after-tax.
Tax rate from WACC!B8 (21%).</t>
        </r>
      </text>
    </comment>
    <comment ref="F62" authorId="0" shapeId="0" xr:uid="{62863445-EA85-4C9E-BD24-5FD5AF1CE62A}">
      <text>
        <r>
          <rPr>
            <b/>
            <sz val="9"/>
            <color indexed="81"/>
            <rFont val="Tahoma"/>
            <family val="2"/>
          </rPr>
          <t>UFCF = NOPAT + D&amp;A - Capex - ΔNWC - After-Tax SBC.
SBC deduction = Revenue × SBC% × (1 − tax rate).
SBC is tax-deductible → net economic cost is after-tax.
Tax rate from WACC!B8 (21%).</t>
        </r>
      </text>
    </comment>
    <comment ref="G62" authorId="0" shapeId="0" xr:uid="{0390B1FF-93FE-455D-85D1-884AEED32257}">
      <text>
        <r>
          <rPr>
            <b/>
            <sz val="9"/>
            <color indexed="81"/>
            <rFont val="Tahoma"/>
            <family val="2"/>
          </rPr>
          <t>UFCF = NOPAT + D&amp;A - Capex - ΔNWC - After-Tax SBC.
SBC deduction = Revenue × SBC% × (1 − tax rate).
SBC is tax-deductible → net economic cost is after-tax.
Tax rate from WACC!B8 (21%).</t>
        </r>
      </text>
    </comment>
    <comment ref="H62" authorId="0" shapeId="0" xr:uid="{99F81F7E-6AAD-4DF6-A44E-57FB20A39220}">
      <text>
        <r>
          <rPr>
            <b/>
            <sz val="9"/>
            <color indexed="81"/>
            <rFont val="Tahoma"/>
            <family val="2"/>
          </rPr>
          <t>UFCF = NOPAT + D&amp;A - Capex - ΔNWC - After-Tax SBC.
SBC deduction = Revenue × SBC% × (1 − tax rate).
SBC is tax-deductible → net economic cost is after-tax.
Tax rate from WACC!B8 (21%).</t>
        </r>
      </text>
    </comment>
    <comment ref="I62" authorId="0" shapeId="0" xr:uid="{6951B220-5E06-4E57-83D4-BCA47887D09A}">
      <text>
        <r>
          <rPr>
            <b/>
            <sz val="9"/>
            <color indexed="81"/>
            <rFont val="Tahoma"/>
            <family val="2"/>
          </rPr>
          <t>UFCF = NOPAT + D&amp;A - Capex - ΔNWC - After-Tax SBC.
SBC deduction = Revenue × SBC% × (1 − tax rate).
SBC is tax-deductible → net economic cost is after-tax.
Tax rate from WACC!B8 (21%).</t>
        </r>
      </text>
    </comment>
    <comment ref="J62" authorId="0" shapeId="0" xr:uid="{0F031EFC-6A92-4C7A-9641-BA05BB0E9E9A}">
      <text>
        <r>
          <rPr>
            <b/>
            <sz val="9"/>
            <color indexed="81"/>
            <rFont val="Tahoma"/>
            <family val="2"/>
          </rPr>
          <t>UFCF = NOPAT + D&amp;A - Capex - ΔNWC - After-Tax SBC.
SBC deduction = Revenue × SBC% × (1 − tax rate).
SBC is tax-deductible → net economic cost is after-tax.
Tax rate from WACC!B8 (21%).</t>
        </r>
      </text>
    </comment>
    <comment ref="K62" authorId="0" shapeId="0" xr:uid="{A51CB7A8-D540-4D13-87A6-BF9D40897E93}">
      <text>
        <r>
          <rPr>
            <b/>
            <sz val="9"/>
            <color indexed="81"/>
            <rFont val="Tahoma"/>
            <family val="2"/>
          </rPr>
          <t>UFCF = NOPAT + D&amp;A - Capex - ΔNWC - After-Tax SBC.
SBC deduction = Revenue × SBC% × (1 − tax rate).
SBC is tax-deductible → net economic cost is after-tax.
Tax rate from WACC!B8 (21%).</t>
        </r>
      </text>
    </comment>
    <comment ref="L62" authorId="0" shapeId="0" xr:uid="{308718D5-B347-4BC9-9818-C685BBC955EF}">
      <text>
        <r>
          <rPr>
            <b/>
            <sz val="9"/>
            <color indexed="81"/>
            <rFont val="Tahoma"/>
            <family val="2"/>
          </rPr>
          <t>UFCF = NOPAT + D&amp;A - Capex - ΔNWC - After-Tax SBC.
SBC deduction = Revenue × SBC% × (1 − tax rate).
SBC is tax-deductible → net economic cost is after-tax.
Tax rate from WACC!B8 (21%).</t>
        </r>
      </text>
    </comment>
    <comment ref="M62" authorId="0" shapeId="0" xr:uid="{E39F932F-B445-4AD4-BAA4-00C1EF629871}">
      <text>
        <r>
          <rPr>
            <b/>
            <sz val="9"/>
            <color indexed="81"/>
            <rFont val="Tahoma"/>
            <family val="2"/>
          </rPr>
          <t>UFCF = NOPAT + D&amp;A - Capex - ΔNWC - After-Tax SBC.
SBC deduction = Revenue × SBC% × (1 − tax rate).
SBC is tax-deductible → net economic cost is after-tax.
Tax rate from WACC!B8 (21%).</t>
        </r>
      </text>
    </comment>
    <comment ref="N62" authorId="0" shapeId="0" xr:uid="{2EF0F15E-5084-4BA8-AEC7-290FB1738256}">
      <text>
        <r>
          <rPr>
            <b/>
            <sz val="9"/>
            <color indexed="81"/>
            <rFont val="Tahoma"/>
            <family val="2"/>
          </rPr>
          <t>UFCF = NOPAT + D&amp;A - Capex - ΔNWC - After-Tax SBC.
SBC deduction = Revenue × SBC% × (1 − tax rate).
SBC is tax-deductible → net economic cost is after-tax.
Tax rate from WACC!B8 (21%).</t>
        </r>
      </text>
    </comment>
    <comment ref="O62" authorId="0" shapeId="0" xr:uid="{9F022D95-6C54-454A-B910-14342E0BBFC5}">
      <text>
        <r>
          <rPr>
            <b/>
            <sz val="9"/>
            <color indexed="81"/>
            <rFont val="Tahoma"/>
            <family val="2"/>
          </rPr>
          <t>UFCF = NOPAT + D&amp;A - Capex - ΔNWC - After-Tax SBC.
SBC deduction = Revenue × SBC% × (1 − tax rate).
SBC is tax-deductible → net economic cost is after-tax.
Tax rate from WACC!B8 (21%).</t>
        </r>
      </text>
    </comment>
    <comment ref="P62" authorId="0" shapeId="0" xr:uid="{CE6AD2A9-77E0-4190-829D-50236A45B4AD}">
      <text>
        <r>
          <rPr>
            <b/>
            <sz val="9"/>
            <color indexed="81"/>
            <rFont val="Tahoma"/>
            <family val="2"/>
          </rPr>
          <t>UFCF = NOPAT + D&amp;A - Capex - ΔNWC - After-Tax SBC.
SBC deduction = Revenue × SBC% × (1 − tax rate).
SBC is tax-deductible → net economic cost is after-tax.
Tax rate from WACC!B8 (21%).</t>
        </r>
      </text>
    </comment>
    <comment ref="Q62" authorId="0" shapeId="0" xr:uid="{280D7D81-0CA0-4825-8179-CC31A5C1EFFF}">
      <text>
        <r>
          <rPr>
            <b/>
            <sz val="9"/>
            <color indexed="81"/>
            <rFont val="Tahoma"/>
            <family val="2"/>
          </rPr>
          <t>UFCF = NOPAT + D&amp;A - Capex - ΔNWC - After-Tax SBC.
SBC deduction = Revenue × SBC% × (1 − tax rate).
SBC is tax-deductible → net economic cost is after-tax.
Tax rate from WACC!B8 (21%).</t>
        </r>
      </text>
    </comment>
    <comment ref="R62" authorId="0" shapeId="0" xr:uid="{0AF24679-779B-4727-A66F-DBD62EABA6D5}">
      <text>
        <r>
          <rPr>
            <b/>
            <sz val="9"/>
            <color indexed="81"/>
            <rFont val="Tahoma"/>
            <family val="2"/>
          </rPr>
          <t>UFCF = NOPAT + D&amp;A - Capex - ΔNWC - After-Tax SBC.
SBC deduction = Revenue × SBC% × (1 − tax rate).
SBC is tax-deductible → net economic cost is after-tax.
Tax rate from WACC!B8 (21%).</t>
        </r>
      </text>
    </comment>
    <comment ref="S62" authorId="0" shapeId="0" xr:uid="{6863DD13-4546-4425-8D30-1AE31F72274C}">
      <text>
        <r>
          <rPr>
            <b/>
            <sz val="9"/>
            <color indexed="81"/>
            <rFont val="Tahoma"/>
            <family val="2"/>
          </rPr>
          <t>UFCF = NOPAT + D&amp;A - Capex - ΔNWC - After-Tax SBC.
SBC deduction = Revenue × SBC% × (1 − tax rate).
SBC is tax-deductible → net economic cost is after-tax.
Tax rate from WACC!B8 (21%).</t>
        </r>
      </text>
    </comment>
    <comment ref="T62" authorId="0" shapeId="0" xr:uid="{36B04666-9E1F-4F15-9ED5-0A8C188D0009}">
      <text>
        <r>
          <rPr>
            <b/>
            <sz val="9"/>
            <color indexed="81"/>
            <rFont val="Tahoma"/>
            <family val="2"/>
          </rPr>
          <t>UFCF = NOPAT + D&amp;A - Capex - ΔNWC - After-Tax SBC.
SBC deduction = Revenue × SBC% × (1 − tax rate).
SBC is tax-deductible → net economic cost is after-tax.
Tax rate from WACC!B8 (21%).</t>
        </r>
      </text>
    </comment>
    <comment ref="U62" authorId="0" shapeId="0" xr:uid="{90268728-8CBB-4BDB-A5F1-4DC0CA7BF932}">
      <text>
        <r>
          <rPr>
            <b/>
            <sz val="9"/>
            <color indexed="81"/>
            <rFont val="Tahoma"/>
            <family val="2"/>
          </rPr>
          <t>UFCF = NOPAT + D&amp;A - Capex - ΔNWC - After-Tax SBC.
SBC deduction = Revenue × SBC% × (1 − tax rate).
SBC is tax-deductible → net economic cost is after-tax.
Tax rate from WACC!B8 (21%).</t>
        </r>
      </text>
    </comment>
    <comment ref="V62" authorId="0" shapeId="0" xr:uid="{A6B0A517-3457-41B3-A99E-AE2589AD34EA}">
      <text>
        <r>
          <rPr>
            <b/>
            <sz val="9"/>
            <color indexed="81"/>
            <rFont val="Tahoma"/>
            <family val="2"/>
          </rPr>
          <t>UFCF = NOPAT + D&amp;A - Capex - ΔNWC - After-Tax SBC.
SBC deduction = Revenue × SBC% × (1 − tax rate).
SBC is tax-deductible → net economic cost is after-tax.
Tax rate from WACC!B8 (21%).</t>
        </r>
      </text>
    </comment>
    <comment ref="W62" authorId="0" shapeId="0" xr:uid="{7EAD90AC-FD4B-483E-B625-AC9EED4D1787}">
      <text>
        <r>
          <rPr>
            <b/>
            <sz val="9"/>
            <color indexed="81"/>
            <rFont val="Tahoma"/>
            <family val="2"/>
          </rPr>
          <t>UFCF = NOPAT + D&amp;A - Capex - ΔNWC - After-Tax SBC.
SBC deduction = Revenue × SBC% × (1 − tax rate).
SBC is tax-deductible → net economic cost is after-tax.
Tax rate from WACC!B8 (21%).</t>
        </r>
      </text>
    </comment>
    <comment ref="X62" authorId="0" shapeId="0" xr:uid="{95CCA3C2-BDCB-4BF3-BEEB-F53A8B7C164A}">
      <text>
        <r>
          <rPr>
            <b/>
            <sz val="9"/>
            <color indexed="81"/>
            <rFont val="Tahoma"/>
            <family val="2"/>
          </rPr>
          <t>UFCF = NOPAT + D&amp;A - Capex - ΔNWC - After-Tax SBC.
SBC deduction = Revenue × SBC% × (1 − tax rate).
SBC is tax-deductible → net economic cost is after-tax.
Tax rate from WACC!B8 (21%).</t>
        </r>
      </text>
    </comment>
    <comment ref="B68" authorId="0" shapeId="0" xr:uid="{62B042E7-2FAF-4236-A020-8A4524903EE3}">
      <text>
        <r>
          <rPr>
            <b/>
            <sz val="9"/>
            <color indexed="81"/>
            <rFont val="Tahoma"/>
            <charset val="1"/>
          </rPr>
          <t>Rifat Tahmid:</t>
        </r>
        <r>
          <rPr>
            <sz val="9"/>
            <color indexed="81"/>
            <rFont val="Tahoma"/>
            <charset val="1"/>
          </rPr>
          <t xml:space="preserve">
Source: 'Conn Comps'!X19 — Tier 1 Satellite Operators median unlevered beta (SES, Eutelsat, Globalstar, ASTS, Iridium)</t>
        </r>
      </text>
    </comment>
    <comment ref="B69" authorId="0" shapeId="0" xr:uid="{A7989411-CF15-49C6-BAC5-ACC70C94767E}">
      <text>
        <r>
          <rPr>
            <b/>
            <sz val="9"/>
            <color indexed="81"/>
            <rFont val="Tahoma"/>
            <charset val="1"/>
          </rPr>
          <t>Rifat Tahmid:</t>
        </r>
        <r>
          <rPr>
            <sz val="9"/>
            <color indexed="81"/>
            <rFont val="Tahoma"/>
            <charset val="1"/>
          </rPr>
          <t xml:space="preserve">
Source: 'Conn Comps'!X38 — Tier 2 Emerging Market Telecom median unlevered beta (IDEA, VEON, ZAIN, SCOM, EXCL)</t>
        </r>
      </text>
    </comment>
    <comment ref="B70" authorId="0" shapeId="0" xr:uid="{9DEDBD78-1E9B-4DBC-869D-B1DAA54A7EDF}">
      <text>
        <r>
          <rPr>
            <b/>
            <sz val="9"/>
            <color indexed="81"/>
            <rFont val="Tahoma"/>
            <charset val="1"/>
          </rPr>
          <t>Rifat Tahmid:</t>
        </r>
        <r>
          <rPr>
            <sz val="9"/>
            <color indexed="81"/>
            <rFont val="Tahoma"/>
            <charset val="1"/>
          </rPr>
          <t xml:space="preserve">
Source: 'Conn Comps'!X57 — Tier 3 Mature Wireless median unlevered beta (T-Mobile, Vodafone, KDDI, Orange, Telstra)</t>
        </r>
      </text>
    </comment>
    <comment ref="B71" authorId="0" shapeId="0" xr:uid="{8CB67A17-31B1-49B8-8AC1-CCDCA5720426}">
      <text>
        <r>
          <rPr>
            <b/>
            <sz val="9"/>
            <color indexed="81"/>
            <rFont val="Tahoma"/>
            <charset val="1"/>
          </rPr>
          <t>Rifat Tahmid:</t>
        </r>
        <r>
          <rPr>
            <sz val="9"/>
            <color indexed="81"/>
            <rFont val="Tahoma"/>
            <charset val="1"/>
          </rPr>
          <t xml:space="preserve">
Bear: 60% | Base: 50% | Bull: 40%
Tier 1 (Satellite) Year 1 weight. Higher in Bear = slower maturation = more satellite risk retained early.</t>
        </r>
      </text>
    </comment>
    <comment ref="C71" authorId="0" shapeId="0" xr:uid="{E4D630C5-90E8-4880-A4E2-B868C2005AB1}">
      <text>
        <r>
          <rPr>
            <b/>
            <sz val="9"/>
            <color indexed="81"/>
            <rFont val="Tahoma"/>
            <charset val="1"/>
          </rPr>
          <t>Rifat Tahmid:</t>
        </r>
        <r>
          <rPr>
            <sz val="9"/>
            <color indexed="81"/>
            <rFont val="Tahoma"/>
            <charset val="1"/>
          </rPr>
          <t xml:space="preserve">
Bear: 15% | Base: 10% | Bull: 5%
Tier 1 (Satellite) Year 20 weight. Even at maturity, some satellite operator risk persists.</t>
        </r>
      </text>
    </comment>
    <comment ref="D71" authorId="0" shapeId="0" xr:uid="{9F2A1F70-2CF6-4A39-AA7B-74FFA5ACE8C3}">
      <text>
        <r>
          <rPr>
            <b/>
            <sz val="9"/>
            <color indexed="81"/>
            <rFont val="Tahoma"/>
            <charset val="1"/>
          </rPr>
          <t>Rifat Tahmid:</t>
        </r>
        <r>
          <rPr>
            <sz val="9"/>
            <color indexed="81"/>
            <rFont val="Tahoma"/>
            <charset val="1"/>
          </rPr>
          <t xml:space="preserve">
B column = starting weight (Year 1). C column = ending weight (Year 20).
Columns E–X contain the per-year weights, linearly interpolated between these two endpoints.
Example (Base): Tier 1 glides from 50% in Year 1 → 10% in Year 20.</t>
        </r>
      </text>
    </comment>
    <comment ref="B72" authorId="0" shapeId="0" xr:uid="{00310866-1E0F-4AA0-828F-EA7D0C59E6ED}">
      <text>
        <r>
          <rPr>
            <b/>
            <sz val="9"/>
            <color indexed="81"/>
            <rFont val="Tahoma"/>
            <charset val="1"/>
          </rPr>
          <t>Rifat Tahmid:</t>
        </r>
        <r>
          <rPr>
            <sz val="9"/>
            <color indexed="81"/>
            <rFont val="Tahoma"/>
            <charset val="1"/>
          </rPr>
          <t xml:space="preserve">
Bear: 25% | Base: 30% | Bull: 35%
Tier 2 (EM Telecom) Year 1 weight.</t>
        </r>
      </text>
    </comment>
    <comment ref="C72" authorId="0" shapeId="0" xr:uid="{1000305E-367A-4CD0-924B-353CFF939015}">
      <text>
        <r>
          <rPr>
            <b/>
            <sz val="9"/>
            <color indexed="81"/>
            <rFont val="Tahoma"/>
            <charset val="1"/>
          </rPr>
          <t>Rifat Tahmid:</t>
        </r>
        <r>
          <rPr>
            <sz val="9"/>
            <color indexed="81"/>
            <rFont val="Tahoma"/>
            <charset val="1"/>
          </rPr>
          <t xml:space="preserve">
Bear: 25% | Base: 20% | Bull: 15%
Tier 2 (EM Telecom) Year 20 weight.</t>
        </r>
      </text>
    </comment>
    <comment ref="B73" authorId="0" shapeId="0" xr:uid="{D2935E3B-108D-4FDA-9E67-640B213A902F}">
      <text>
        <r>
          <rPr>
            <b/>
            <sz val="9"/>
            <color indexed="81"/>
            <rFont val="Tahoma"/>
            <charset val="1"/>
          </rPr>
          <t>Rifat Tahmid:</t>
        </r>
        <r>
          <rPr>
            <sz val="9"/>
            <color indexed="81"/>
            <rFont val="Tahoma"/>
            <charset val="1"/>
          </rPr>
          <t xml:space="preserve">
Tier 3 (Mature Wireless) = 1 – T1 – T2.
Bear: 15%→60% | Base: 20%→70% | Bull: 30%→80%</t>
        </r>
      </text>
    </comment>
    <comment ref="B77" authorId="0" shapeId="0" xr:uid="{93A4611F-09D7-423D-8515-17C9EE6170AD}">
      <text>
        <r>
          <rPr>
            <b/>
            <sz val="9"/>
            <color indexed="81"/>
            <rFont val="Tahoma"/>
            <charset val="1"/>
          </rPr>
          <t>Rifat Tahmid:</t>
        </r>
        <r>
          <rPr>
            <sz val="9"/>
            <color indexed="81"/>
            <rFont val="Tahoma"/>
            <charset val="1"/>
          </rPr>
          <t xml:space="preserve">
Displays Year 1 WACC for quick reference. Full year-by-year values in columns E–X.</t>
        </r>
      </text>
    </comment>
    <comment ref="E77" authorId="0" shapeId="0" xr:uid="{EE790145-6F8F-446E-BDF3-EF96D414802E}">
      <text>
        <r>
          <rPr>
            <b/>
            <sz val="9"/>
            <color indexed="81"/>
            <rFont val="Tahoma"/>
            <charset val="1"/>
          </rPr>
          <t>Rifat Tahmid:</t>
        </r>
        <r>
          <rPr>
            <sz val="9"/>
            <color indexed="81"/>
            <rFont val="Tahoma"/>
            <charset val="1"/>
          </rPr>
          <t xml:space="preserve">
Year 1 WACC: weighted-average of tier-specific cost of capital, reflecting current risk profile as satellite/growth company.</t>
        </r>
      </text>
    </comment>
    <comment ref="X77" authorId="0" shapeId="0" xr:uid="{13628BE4-60DA-4139-A82A-1653B5D95994}">
      <text>
        <r>
          <rPr>
            <b/>
            <sz val="9"/>
            <color indexed="81"/>
            <rFont val="Tahoma"/>
            <charset val="1"/>
          </rPr>
          <t>Rifat Tahmid:</t>
        </r>
        <r>
          <rPr>
            <sz val="9"/>
            <color indexed="81"/>
            <rFont val="Tahoma"/>
            <charset val="1"/>
          </rPr>
          <t xml:space="preserve">
Terminal WACC: converged risk profile at Year 20, predominantly mature wireless characteristics.
Used for Gordon Growth terminal value and Year 20 discount factor.</t>
        </r>
      </text>
    </comment>
    <comment ref="B89" authorId="0" shapeId="0" xr:uid="{47AB383C-2CE8-4757-9944-D54DE74A7426}">
      <text>
        <r>
          <rPr>
            <b/>
            <sz val="9"/>
            <color indexed="81"/>
            <rFont val="Tahoma"/>
            <charset val="1"/>
          </rPr>
          <t>Rifat Tahmid:</t>
        </r>
        <r>
          <rPr>
            <sz val="9"/>
            <color indexed="81"/>
            <rFont val="Tahoma"/>
            <charset val="1"/>
          </rPr>
          <t xml:space="preserve">
TV discounted at end-of-year (period 20), not mid-year (period 19.5). JPM standard: mid-year convention applies to explicit FCFs only; terminal value placed at end of final projection year.</t>
        </r>
      </text>
    </comment>
    <comment ref="A90" authorId="0" shapeId="0" xr:uid="{58E902B4-CB4C-4302-B52C-BE60A7F97002}">
      <text>
        <r>
          <rPr>
            <b/>
            <sz val="9"/>
            <color indexed="81"/>
            <rFont val="Tahoma"/>
            <family val="2"/>
          </rPr>
          <t>Rifat Tahmid:</t>
        </r>
        <r>
          <rPr>
            <sz val="9"/>
            <color indexed="81"/>
            <rFont val="Tahoma"/>
            <family val="2"/>
          </rPr>
          <t xml:space="preserve">
Cross-check: what EV/EBITDA exit multiple is implied by the Gordon Growth terminal value? GG TV ($1.03T) ÷ Terminal EBITDA ($72B) = ~14.3x. This is 2.4x the comp-derived 5.9x exit, which explains the $125B gap between Gordon Growth EV ($431B) and Exit Multiple EV ($305B). The divergence suggests either (a) the perpetuity assumptions (Tg=3%, terminal WACC=8%) are generous for a mature telecom, or (b) the 5.9x comp exit materially undervalues a 70%-margin asset. A JPM fairness opinion would present this range as a football field, not pick one.</t>
        </r>
      </text>
    </comment>
    <comment ref="B93" authorId="0" shapeId="0" xr:uid="{E4C7E96E-5721-404C-A4E2-E444C1B7EDEF}">
      <text>
        <r>
          <rPr>
            <b/>
            <sz val="9"/>
            <color indexed="81"/>
            <rFont val="Tahoma"/>
            <family val="2"/>
          </rPr>
          <t xml:space="preserve">Rifat Tahmid:
</t>
        </r>
        <r>
          <rPr>
            <sz val="9"/>
            <color indexed="81"/>
            <rFont val="Tahoma"/>
            <family val="2"/>
          </rPr>
          <t>Exit EV/EBITDA anchored to mature-stage comp tier (Large Mature Wireless &gt;$10B) median TEV/EBITDA on 'Conn Comps'!K57. Falls back to 25x base until comp inputs are populated from terminal.</t>
        </r>
      </text>
    </comment>
    <comment ref="A107" authorId="0" shapeId="0" xr:uid="{5620FB07-D809-4B5B-8E23-2D6202F9F0C4}">
      <text>
        <r>
          <rPr>
            <b/>
            <sz val="9"/>
            <color indexed="81"/>
            <rFont val="Tahoma"/>
            <charset val="1"/>
          </rPr>
          <t>Sensitivity tables now use the BLENDED WACC (B43 = time-average of the 20-year time-varying WACC schedule in E72:X72). This centers the grid on the effective discount rate used by the primary DCF, so the center cell closely approximates the primary EV. Previously used the static mature-state WACC (B42 = 7.5%), which was the terminal-year rate and understated the effective discount rate.</t>
        </r>
      </text>
    </comment>
    <comment ref="B110" authorId="0" shapeId="0" xr:uid="{1003F0B7-DF98-48E3-A18A-0DE3DCF03B0C}">
      <text>
        <r>
          <rPr>
            <sz val="9"/>
            <color indexed="81"/>
            <rFont val="Tahoma"/>
            <family val="2"/>
          </rPr>
          <t>Center row = blended (time-averaged) WACC from B43 (~8.4%). This replaces the prior static WACC (B42 = 7.5%) center, which was the terminal-year mature-state rate. The primary EV above uses year-by-year time-varying WACCs — slight differences remain because averaging ≠ compounding, but the gap is now ~1-3% vs the prior ~19%.</t>
        </r>
      </text>
    </comment>
    <comment ref="A139" authorId="0" shapeId="0" xr:uid="{4D463E9E-2DDA-48FD-9DDE-EBD5FC6AD201}">
      <text>
        <r>
          <rPr>
            <b/>
            <sz val="9"/>
            <color indexed="81"/>
            <rFont val="Tahoma"/>
            <family val="2"/>
          </rPr>
          <t>Rifat Tahmid:</t>
        </r>
        <r>
          <rPr>
            <sz val="9"/>
            <color indexed="81"/>
            <rFont val="Tahoma"/>
            <family val="2"/>
          </rPr>
          <t xml:space="preserve">
BOTTOM-UP CROSS-CHECK INTERPRETATION
Pattern: Bottom-up revenue exceeds top-down by ~5% in FY2025, peaks at ~+25-27% around FY2031-2033, then collapses to ~-10-12% by FY2045.
Peak divergence (Years 6-8): Subscriber growth (8.5M → 85-90M) outpaces the top-down revenue growth assumptions. This suggests the top-down revenue path is conservative relative to the subscriber trajectory — or that ARPU hasn't declined enough yet.
Terminal crossover (Years 15-20): ARPU compression ($81 → $25) overwhelms further subscriber additions (which plateau as TAM saturates). Bottom-up revenue flattens and is overtaken by the top-down perpetuity growth. This is a structural feature, not an error — it confirms the top-down terminal growth rate (3.0%) outgrows an ARPU-compressed subscriber model at maturity.
Implication for the analyst: The crossover year is when you should START trusting the top-down model more than the bottom-up. Before that, bottom-up provides the more conservative (higher) check. After, the top-down growth assumption is the binding constraint.
Key sensitivity: ARPU floor. If long-run ARPU stabilizes at $35 instead of $25, the terminal crossover never happens. The $25 floor implies aggressive emerging-market penetration at very low price points.</t>
        </r>
      </text>
    </comment>
    <comment ref="A140" authorId="0" shapeId="0" xr:uid="{4F9815A9-2BA0-40C3-AD73-643BC6B6895F}">
      <text>
        <r>
          <rPr>
            <b/>
            <sz val="9"/>
            <color indexed="81"/>
            <rFont val="Tahoma"/>
            <charset val="1"/>
          </rPr>
          <t>Rifat Tahmid:</t>
        </r>
        <r>
          <rPr>
            <sz val="9"/>
            <color indexed="81"/>
            <rFont val="Tahoma"/>
            <charset val="1"/>
          </rPr>
          <t xml:space="preserve">
AUDIT NOTE: Bottom-up revenue exceeds top-down by 5% (FY2025A) → 25% (FY2031E). Gap is conservative direction (bottom-up &gt; top-down), meaning the top-down forecast used in the DCF is conservative relative to the physical capacity model. JPM standard: should be disclosed with a brief explanation of the divergence drivers (subscriber penetration assumptions × ARPU compression).</t>
        </r>
      </text>
    </comment>
    <comment ref="C159" authorId="0" shapeId="0" xr:uid="{794DE33E-43E2-411D-9F58-D259C1057EA8}">
      <text>
        <r>
          <rPr>
            <b/>
            <sz val="9"/>
            <color indexed="81"/>
            <rFont val="Tahoma"/>
            <charset val="1"/>
          </rPr>
          <t>Rifat Tahmid:</t>
        </r>
        <r>
          <rPr>
            <sz val="9"/>
            <color indexed="81"/>
            <rFont val="Tahoma"/>
            <charset val="1"/>
          </rPr>
          <t xml:space="preserve">
Set to 0% because the $1.0M blended satellite cost already includes allocated ground/launch capex (derived from total Conn segment capex ÷ satellites launched). Increase this to add incremental ground infrastructure D&amp;A above the per-unit allocation.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Rifat Tahmid</author>
  </authors>
  <commentList>
    <comment ref="E9" authorId="0" shapeId="0" xr:uid="{BA6DE7FB-3A23-40F1-939E-4A240AA4FDC8}">
      <text>
        <r>
          <rPr>
            <b/>
            <sz val="9"/>
            <color indexed="81"/>
            <rFont val="Tahoma"/>
            <charset val="1"/>
          </rPr>
          <t>Rifat Tahmid:</t>
        </r>
        <r>
          <rPr>
            <sz val="9"/>
            <color indexed="81"/>
            <rFont val="Tahoma"/>
            <charset val="1"/>
          </rPr>
          <t xml:space="preserve">
Source: SpaceX S-1, SEC EDGAR, Filed May 20 2026
Bear rev growth anchored to FY2025A Space: +7.6% YoY ($3,796M→$4,086M)
Page: F-58 (Note 19 — Segments, YE Dec 31 2025)
https://www.sec.gov/Archives/edgar/data/1181412/000162828026036936/spaceexplorationtechnologi.htm</t>
        </r>
      </text>
    </comment>
    <comment ref="E10" authorId="0" shapeId="0" xr:uid="{9158EDED-E534-42CF-B71E-205CB44F8B0C}">
      <text>
        <r>
          <rPr>
            <b/>
            <sz val="9"/>
            <color indexed="81"/>
            <rFont val="Tahoma"/>
            <charset val="1"/>
          </rPr>
          <t>Rifat Tahmid:</t>
        </r>
        <r>
          <rPr>
            <sz val="9"/>
            <color indexed="81"/>
            <rFont val="Tahoma"/>
            <charset val="1"/>
          </rPr>
          <t xml:space="preserve">
Source: SpaceX S-1, SEC EDGAR, Filed May 20 2026
EBITDA margin anchored to FY2025A: 16.0% ($653M / $4,086M); dragged by Starship R&amp;D $3B
Page: F-58 (Note 19 — Segments, YE Dec 31 2025)
https://www.sec.gov/Archives/edgar/data/1181412/000162828026036936/spaceexplorationtechnologi.htm</t>
        </r>
      </text>
    </comment>
    <comment ref="E11" authorId="0" shapeId="0" xr:uid="{540F6C8C-713D-4478-9AFD-4E72FF2E0A09}">
      <text>
        <r>
          <rPr>
            <b/>
            <sz val="9"/>
            <color indexed="81"/>
            <rFont val="Tahoma"/>
            <charset val="1"/>
          </rPr>
          <t>Rifat Tahmid:</t>
        </r>
        <r>
          <rPr>
            <sz val="9"/>
            <color indexed="81"/>
            <rFont val="Tahoma"/>
            <charset val="1"/>
          </rPr>
          <t xml:space="preserve">
Source: SpaceX S-1, SEC EDGAR, Filed May 20 2026
Capex % anchored to FY2025A: $3,832M / $4,086M = 93.8%
Page: F-58 (Note 19 — Segments, supplemental, YE Dec 31 2025)
https://www.sec.gov/Archives/edgar/data/1181412/000162828026036936/spaceexplorationtechnologi.htm</t>
        </r>
      </text>
    </comment>
    <comment ref="E14" authorId="0" shapeId="0" xr:uid="{D402FE1E-FEA0-437D-AFAA-A6CF69E4812B}">
      <text>
        <r>
          <rPr>
            <b/>
            <sz val="9"/>
            <color indexed="81"/>
            <rFont val="Tahoma"/>
            <charset val="1"/>
          </rPr>
          <t xml:space="preserve">Rifat Tahmid:
</t>
        </r>
        <r>
          <rPr>
            <sz val="9"/>
            <color indexed="81"/>
            <rFont val="Tahoma"/>
            <family val="2"/>
          </rPr>
          <t>Bear Scenario — Starship Launch Assumption
Total Starship Launches FY2026E: 5 (vs Base 10)
Slower development, delayed reusability | D&amp;A/launch $2.50 vs $2.00 Base
Terminal cadence ~470/yr
Ref: FAA approved 44 Starship launches/yr (Feb 2026)</t>
        </r>
      </text>
    </comment>
    <comment ref="E21" authorId="0" shapeId="0" xr:uid="{E3A50DC8-3536-4850-9DF0-5F1517D0EDB4}">
      <text>
        <r>
          <rPr>
            <b/>
            <sz val="9"/>
            <color indexed="81"/>
            <rFont val="Tahoma"/>
            <family val="2"/>
          </rPr>
          <t>Rifat Tahmid:</t>
        </r>
        <r>
          <rPr>
            <sz val="9"/>
            <color indexed="81"/>
            <rFont val="Tahoma"/>
            <family val="2"/>
          </rPr>
          <t xml:space="preserve">
Revised from 14% → 18%. Original Base case assumed continued margin compression in FY2026 (from 16% in FY2025). Adjusted upward on the thesis that Starship achieves operational cadence by mid-2026, allowing launch margin recovery. FY2025's margin trough (30% → 16%) was driven by Starship development costs peaking; FY2026 should be the inflection point, not a further decline. 18% is conservative recovery (below FY2024's 30%) while acknowledging reduced R&amp;D intensity.</t>
        </r>
      </text>
    </comment>
    <comment ref="E25" authorId="0" shapeId="0" xr:uid="{2B7E48FA-DCE5-4D58-A7E7-CF0D6490D679}">
      <text>
        <r>
          <rPr>
            <b/>
            <sz val="9"/>
            <color indexed="81"/>
            <rFont val="Tahoma"/>
            <charset val="1"/>
          </rPr>
          <t xml:space="preserve">Rifat Tahmid:
</t>
        </r>
        <r>
          <rPr>
            <sz val="9"/>
            <color indexed="81"/>
            <rFont val="Tahoma"/>
            <family val="2"/>
          </rPr>
          <t>Base Scenario — Starship Launch Assumption
Total Starship Launches FY2026E: 10 (updated from 5)
FAA approved 44 Starship-Super Heavy launches/yr from Starbase (Feb 2026)
Dual-pad capacity (Starbase + LC-39A) | 1-2/week/pad by 2027
Source: NextBigFuture (Apr 2026), FAA license data
https://www.nextbigfuture.com/2026/04/spacex-launch-rate-in-2026-after-reaching-orbital-operations-booster-and-starship-recovery.html</t>
        </r>
      </text>
    </comment>
    <comment ref="E36" authorId="0" shapeId="0" xr:uid="{0A6E461F-B5EE-4D1B-8E8A-24EB9E422634}">
      <text>
        <r>
          <rPr>
            <b/>
            <sz val="9"/>
            <color indexed="81"/>
            <rFont val="Tahoma"/>
            <charset val="1"/>
          </rPr>
          <t xml:space="preserve">Rifat Tahmid:
</t>
        </r>
        <r>
          <rPr>
            <sz val="9"/>
            <color indexed="81"/>
            <rFont val="Tahoma"/>
            <family val="2"/>
          </rPr>
          <t>Bull Scenario — Starship Launch Assumption
Total Starship Launches FY2026E: 15 (vs Base 10)
Faster reusability demo | D&amp;A/launch $1.80 vs $2.00 Base
Terminal cadence ~730/yr
Ref: FAA approved 44 Starship launches/yr (Feb 2026)</t>
        </r>
      </text>
    </comment>
    <comment ref="B51" authorId="0" shapeId="0" xr:uid="{DD2F59E5-5C26-4470-8129-49BE7649FE17}">
      <text>
        <r>
          <rPr>
            <b/>
            <sz val="9"/>
            <color indexed="81"/>
            <rFont val="Tahoma"/>
            <family val="2"/>
          </rPr>
          <t>Rifat Tahmid:</t>
        </r>
        <r>
          <rPr>
            <sz val="9"/>
            <color indexed="81"/>
            <rFont val="Tahoma"/>
            <family val="2"/>
          </rPr>
          <t xml:space="preserve">
Time-averaged WACC across the 20-year forecast. Used as the center of sensitivity tables so the grid brackets the primary time-varying DCF result. See WACC sheet for static (mature-state) WACC.</t>
        </r>
      </text>
    </comment>
    <comment ref="B54" authorId="0" shapeId="0" xr:uid="{B4954296-BCB2-4105-92FD-472A11423829}">
      <text>
        <r>
          <rPr>
            <b/>
            <sz val="9"/>
            <color indexed="81"/>
            <rFont val="Tahoma"/>
            <charset val="1"/>
          </rPr>
          <t>Rifat Tahmid:</t>
        </r>
        <r>
          <rPr>
            <sz val="9"/>
            <color indexed="81"/>
            <rFont val="Tahoma"/>
            <charset val="1"/>
          </rPr>
          <t xml:space="preserve">
Source: SpaceX S-1, SEC EDGAR, Filed May 20 2026
Space Revenue FY2023A: $3,557M (Launch Services $1,964M + Launch &amp; Dev $1,593M)
Page: F-59 (Note 19 — Segments, YE Dec 31 2023)
https://www.sec.gov/Archives/edgar/data/1181412/000162828026036936/spaceexplorationtechnologi.htm</t>
        </r>
      </text>
    </comment>
    <comment ref="C54" authorId="0" shapeId="0" xr:uid="{C35368F4-EC0E-4D17-8964-16A566ED7E94}">
      <text>
        <r>
          <rPr>
            <b/>
            <sz val="9"/>
            <color indexed="81"/>
            <rFont val="Tahoma"/>
            <charset val="1"/>
          </rPr>
          <t>Rifat Tahmid:</t>
        </r>
        <r>
          <rPr>
            <sz val="9"/>
            <color indexed="81"/>
            <rFont val="Tahoma"/>
            <charset val="1"/>
          </rPr>
          <t xml:space="preserve">
Source: SpaceX S-1, SEC EDGAR, Filed May 20 2026
Space Revenue FY2024A: $3,796M
Page: F-58 (Note 19 — Segments, YE Dec 31 2024)
https://www.sec.gov/Archives/edgar/data/1181412/000162828026036936/spaceexplorationtechnologi.htm</t>
        </r>
      </text>
    </comment>
    <comment ref="D54" authorId="0" shapeId="0" xr:uid="{08410FC1-032D-4ECD-9347-8FEF031F1855}">
      <text>
        <r>
          <rPr>
            <b/>
            <sz val="9"/>
            <color indexed="81"/>
            <rFont val="Tahoma"/>
            <charset val="1"/>
          </rPr>
          <t>Rifat Tahmid:</t>
        </r>
        <r>
          <rPr>
            <sz val="9"/>
            <color indexed="81"/>
            <rFont val="Tahoma"/>
            <charset val="1"/>
          </rPr>
          <t xml:space="preserve">
Source: SpaceX S-1, SEC EDGAR, Filed May 20 2026
Space Revenue FY2025A: $4,086M (Launch Services $2,576M + Launch &amp; Dev $1,510M)
Page: F-58 (Note 19 — Segments, YE Dec 31 2025)
https://www.sec.gov/Archives/edgar/data/1181412/000162828026036936/spaceexplorationtechnologi.htm</t>
        </r>
      </text>
    </comment>
    <comment ref="B56" authorId="0" shapeId="0" xr:uid="{E963BE9B-A5EF-41E5-940E-6333E9C1851A}">
      <text>
        <r>
          <rPr>
            <b/>
            <sz val="9"/>
            <color indexed="81"/>
            <rFont val="Tahoma"/>
            <charset val="1"/>
          </rPr>
          <t>Rifat Tahmid:
Source: S-1 Space Segment Adjusted EBITDA FY2023 = $997M.
https://www.sec.gov/Archives/edgar/data/1181412/000162828026036936/spaceexplorationtechnologi.htm</t>
        </r>
      </text>
    </comment>
    <comment ref="C56" authorId="0" shapeId="0" xr:uid="{2E190517-AAD0-4016-9132-4F37ADA1B921}">
      <text>
        <r>
          <rPr>
            <b/>
            <sz val="9"/>
            <color indexed="81"/>
            <rFont val="Tahoma"/>
            <charset val="1"/>
          </rPr>
          <t>Rifat Tahmid:
Source: S-1 Space Segment Adjusted EBITDA FY2024 = $1,154M.
https://www.sec.gov/Archives/edgar/data/1181412/000162828026036936/spaceexplorationtechnologi.htm</t>
        </r>
      </text>
    </comment>
    <comment ref="D56" authorId="0" shapeId="0" xr:uid="{1F4496B9-F04E-4486-81BC-BBA8A8F6B0AC}">
      <text>
        <r>
          <rPr>
            <b/>
            <sz val="9"/>
            <color indexed="81"/>
            <rFont val="Tahoma"/>
            <charset val="1"/>
          </rPr>
          <t>Rifat Tahmid:</t>
        </r>
        <r>
          <rPr>
            <sz val="9"/>
            <color indexed="81"/>
            <rFont val="Tahoma"/>
            <charset val="1"/>
          </rPr>
          <t xml:space="preserve">
Source: SpaceX S-1, SEC EDGAR, Filed May 20 2026
Space Adj EBITDA FY2025A: $653M per S-1 narrative
Page: F-58 (Note 19 — Segments, YE Dec 31 2025)
https://www.sec.gov/Archives/edgar/data/1181412/000162828026036936/spaceexplorationtechnologi.htm</t>
        </r>
      </text>
    </comment>
    <comment ref="B58" authorId="0" shapeId="0" xr:uid="{C77B5EB3-11DF-45FD-8AA3-A49049BC7460}">
      <text>
        <r>
          <rPr>
            <b/>
            <sz val="9"/>
            <color indexed="81"/>
            <rFont val="Tahoma"/>
            <charset val="1"/>
          </rPr>
          <t>Rifat Tahmid:</t>
        </r>
        <r>
          <rPr>
            <sz val="9"/>
            <color indexed="81"/>
            <rFont val="Tahoma"/>
            <charset val="1"/>
          </rPr>
          <t xml:space="preserve">
Source: SpaceX S-1, SEC EDGAR, Filed May 20 2026
Space D&amp;A FY2023A: $571M
Page: F-59 (Note 19 — Segments, supplemental, YE Dec 31 2023)
https://www.sec.gov/Archives/edgar/data/1181412/000162828026036936/spaceexplorationtechnologi.htm</t>
        </r>
      </text>
    </comment>
    <comment ref="C58" authorId="0" shapeId="0" xr:uid="{1B185336-9F4F-47CB-A648-9890121D7D1D}">
      <text>
        <r>
          <rPr>
            <b/>
            <sz val="9"/>
            <color indexed="81"/>
            <rFont val="Tahoma"/>
            <charset val="1"/>
          </rPr>
          <t>Rifat Tahmid:</t>
        </r>
        <r>
          <rPr>
            <sz val="9"/>
            <color indexed="81"/>
            <rFont val="Tahoma"/>
            <charset val="1"/>
          </rPr>
          <t xml:space="preserve">
Source: SpaceX S-1, SEC EDGAR, Filed May 20 2026
Space D&amp;A FY2024A: $637M
Page: F-58 (Note 19 — Segments, supplemental, YE Dec 31 2024)
https://www.sec.gov/Archives/edgar/data/1181412/000162828026036936/spaceexplorationtechnologi.htm</t>
        </r>
      </text>
    </comment>
    <comment ref="D58" authorId="0" shapeId="0" xr:uid="{52BF4F89-1127-4EB1-AD8C-5DCECED42FEB}">
      <text>
        <r>
          <rPr>
            <b/>
            <sz val="9"/>
            <color indexed="81"/>
            <rFont val="Tahoma"/>
            <charset val="1"/>
          </rPr>
          <t>Rifat Tahmid:</t>
        </r>
        <r>
          <rPr>
            <sz val="9"/>
            <color indexed="81"/>
            <rFont val="Tahoma"/>
            <charset val="1"/>
          </rPr>
          <t xml:space="preserve">
Source: SpaceX S-1, SEC EDGAR, Filed May 20 2026
Space D&amp;A FY2025A: $757M
Page: F-58 (Note 19 — Segments, supplemental, YE Dec 31 2025)
https://www.sec.gov/Archives/edgar/data/1181412/000162828026036936/spaceexplorationtechnologi.htm</t>
        </r>
      </text>
    </comment>
    <comment ref="E58" authorId="0" shapeId="0" xr:uid="{C27D18BD-4F79-4825-AC33-8A405BEF40CE}">
      <text>
        <r>
          <rPr>
            <b/>
            <sz val="9"/>
            <color indexed="81"/>
            <rFont val="Tahoma"/>
            <charset val="1"/>
          </rPr>
          <t>Rifat Tahmid:
D&amp;A driven by physical launch fleet model (rows 165-179). Scenario-driven inputs (F9/Starship launches, Starship D&amp;A/launch) now flow from scenario assumption sections (rows 14-16, 26-28, 38-40).
Components: Space-allocated vehicle fleet D&amp;A + Dragon capsule D&amp;A + Infrastructure &amp; facilities D&amp;A.
S-1: F9 booster $30M / 25-flight accounting life; 165 total F9 launches FY2025.</t>
        </r>
      </text>
    </comment>
    <comment ref="F58" authorId="0" shapeId="0" xr:uid="{D83AE69D-609C-46AE-AF7D-620DD2E3D17D}">
      <text>
        <r>
          <rPr>
            <b/>
            <sz val="9"/>
            <color indexed="81"/>
            <rFont val="Tahoma"/>
            <charset val="1"/>
          </rPr>
          <t>D&amp;A driven by physical launch fleet model (rows 153–168).</t>
        </r>
      </text>
    </comment>
    <comment ref="G58" authorId="0" shapeId="0" xr:uid="{0224481A-F0A3-4127-9340-8C7A051E9423}">
      <text>
        <r>
          <rPr>
            <b/>
            <sz val="9"/>
            <color indexed="81"/>
            <rFont val="Tahoma"/>
            <charset val="1"/>
          </rPr>
          <t>Rifat Tahmid:</t>
        </r>
        <r>
          <rPr>
            <sz val="9"/>
            <color indexed="81"/>
            <rFont val="Tahoma"/>
            <charset val="1"/>
          </rPr>
          <t xml:space="preserve">
D&amp;A now driven by physical fleet model (row 168) — NOT Revenue × D&amp;A%.
Components: Space-allocated vehicle fleet D&amp;A + Dragon capsule D&amp;A + Infrastructure &amp; facilities D&amp;A.
See rows 153–170 for full bottom-up build.</t>
        </r>
      </text>
    </comment>
    <comment ref="H58" authorId="0" shapeId="0" xr:uid="{241B154E-114C-4E9F-A603-3776BC0D6018}">
      <text>
        <r>
          <rPr>
            <b/>
            <sz val="9"/>
            <color indexed="81"/>
            <rFont val="Tahoma"/>
            <charset val="1"/>
          </rPr>
          <t>Rifat Tahmid:</t>
        </r>
        <r>
          <rPr>
            <sz val="9"/>
            <color indexed="81"/>
            <rFont val="Tahoma"/>
            <charset val="1"/>
          </rPr>
          <t xml:space="preserve">
D&amp;A now driven by physical fleet model (row 168) — NOT Revenue × D&amp;A%.
Components: Space-allocated vehicle fleet D&amp;A + Dragon capsule D&amp;A + Infrastructure &amp; facilities D&amp;A.
See rows 153–170 for full bottom-up build.</t>
        </r>
      </text>
    </comment>
    <comment ref="I58" authorId="0" shapeId="0" xr:uid="{4AF441DC-C5FF-41DA-A51D-613B9AF0BD00}">
      <text>
        <r>
          <rPr>
            <b/>
            <sz val="9"/>
            <color indexed="81"/>
            <rFont val="Tahoma"/>
            <charset val="1"/>
          </rPr>
          <t>Rifat Tahmid:</t>
        </r>
        <r>
          <rPr>
            <sz val="9"/>
            <color indexed="81"/>
            <rFont val="Tahoma"/>
            <charset val="1"/>
          </rPr>
          <t xml:space="preserve">
D&amp;A now driven by physical fleet model (row 168) — NOT Revenue × D&amp;A%.
Components: Space-allocated vehicle fleet D&amp;A + Dragon capsule D&amp;A + Infrastructure &amp; facilities D&amp;A.
See rows 153–170 for full bottom-up build.</t>
        </r>
      </text>
    </comment>
    <comment ref="J58" authorId="0" shapeId="0" xr:uid="{D090ACE8-5B4A-4403-8E06-F679781CAC47}">
      <text>
        <r>
          <rPr>
            <b/>
            <sz val="9"/>
            <color indexed="81"/>
            <rFont val="Tahoma"/>
            <charset val="1"/>
          </rPr>
          <t>Rifat Tahmid:</t>
        </r>
        <r>
          <rPr>
            <sz val="9"/>
            <color indexed="81"/>
            <rFont val="Tahoma"/>
            <charset val="1"/>
          </rPr>
          <t xml:space="preserve">
D&amp;A now driven by physical fleet model (row 168) — NOT Revenue × D&amp;A%.
Components: Space-allocated vehicle fleet D&amp;A + Dragon capsule D&amp;A + Infrastructure &amp; facilities D&amp;A.
See rows 153–170 for full bottom-up build.</t>
        </r>
      </text>
    </comment>
    <comment ref="K58" authorId="0" shapeId="0" xr:uid="{60F3E949-464B-4D42-907C-D93AA6BC7026}">
      <text>
        <r>
          <rPr>
            <b/>
            <sz val="9"/>
            <color indexed="81"/>
            <rFont val="Tahoma"/>
            <charset val="1"/>
          </rPr>
          <t>Rifat Tahmid:</t>
        </r>
        <r>
          <rPr>
            <sz val="9"/>
            <color indexed="81"/>
            <rFont val="Tahoma"/>
            <charset val="1"/>
          </rPr>
          <t xml:space="preserve">
D&amp;A now driven by physical fleet model (row 168) — NOT Revenue × D&amp;A%.
Components: Space-allocated vehicle fleet D&amp;A + Dragon capsule D&amp;A + Infrastructure &amp; facilities D&amp;A.
See rows 153–170 for full bottom-up build.</t>
        </r>
      </text>
    </comment>
    <comment ref="L58" authorId="0" shapeId="0" xr:uid="{08DA3DDC-F0CA-4276-B4CB-915DE444B539}">
      <text>
        <r>
          <rPr>
            <b/>
            <sz val="9"/>
            <color indexed="81"/>
            <rFont val="Tahoma"/>
            <charset val="1"/>
          </rPr>
          <t>Rifat Tahmid:</t>
        </r>
        <r>
          <rPr>
            <sz val="9"/>
            <color indexed="81"/>
            <rFont val="Tahoma"/>
            <charset val="1"/>
          </rPr>
          <t xml:space="preserve">
D&amp;A now driven by physical fleet model (row 168) — NOT Revenue × D&amp;A%.
Components: Space-allocated vehicle fleet D&amp;A + Dragon capsule D&amp;A + Infrastructure &amp; facilities D&amp;A.
See rows 153–170 for full bottom-up build.</t>
        </r>
      </text>
    </comment>
    <comment ref="M58" authorId="0" shapeId="0" xr:uid="{E0956409-035C-4D82-9FB2-BC223E5EDD23}">
      <text>
        <r>
          <rPr>
            <b/>
            <sz val="9"/>
            <color indexed="81"/>
            <rFont val="Tahoma"/>
            <charset val="1"/>
          </rPr>
          <t>Rifat Tahmid:</t>
        </r>
        <r>
          <rPr>
            <sz val="9"/>
            <color indexed="81"/>
            <rFont val="Tahoma"/>
            <charset val="1"/>
          </rPr>
          <t xml:space="preserve">
D&amp;A now driven by physical fleet model (row 168) — NOT Revenue × D&amp;A%.
Components: Space-allocated vehicle fleet D&amp;A + Dragon capsule D&amp;A + Infrastructure &amp; facilities D&amp;A.
See rows 153–170 for full bottom-up build.</t>
        </r>
      </text>
    </comment>
    <comment ref="N58" authorId="0" shapeId="0" xr:uid="{429A5F3F-83E3-49A4-9940-B1E43E4245FE}">
      <text>
        <r>
          <rPr>
            <b/>
            <sz val="9"/>
            <color indexed="81"/>
            <rFont val="Tahoma"/>
            <charset val="1"/>
          </rPr>
          <t>Rifat Tahmid:</t>
        </r>
        <r>
          <rPr>
            <sz val="9"/>
            <color indexed="81"/>
            <rFont val="Tahoma"/>
            <charset val="1"/>
          </rPr>
          <t xml:space="preserve">
D&amp;A now driven by physical fleet model (row 168) — NOT Revenue × D&amp;A%.
Components: Space-allocated vehicle fleet D&amp;A + Dragon capsule D&amp;A + Infrastructure &amp; facilities D&amp;A.
See rows 153–170 for full bottom-up build.</t>
        </r>
      </text>
    </comment>
    <comment ref="O58" authorId="0" shapeId="0" xr:uid="{F13869BD-3FCA-42AC-AC04-4A3790E85F97}">
      <text>
        <r>
          <rPr>
            <b/>
            <sz val="9"/>
            <color indexed="81"/>
            <rFont val="Tahoma"/>
            <charset val="1"/>
          </rPr>
          <t>Rifat Tahmid:</t>
        </r>
        <r>
          <rPr>
            <sz val="9"/>
            <color indexed="81"/>
            <rFont val="Tahoma"/>
            <charset val="1"/>
          </rPr>
          <t xml:space="preserve">
D&amp;A now driven by physical fleet model (row 168) — NOT Revenue × D&amp;A%.
Components: Space-allocated vehicle fleet D&amp;A + Dragon capsule D&amp;A + Infrastructure &amp; facilities D&amp;A.
See rows 153–170 for full bottom-up build.</t>
        </r>
      </text>
    </comment>
    <comment ref="P58" authorId="0" shapeId="0" xr:uid="{6470FBF1-F792-4510-B452-2FE9F78B14B6}">
      <text>
        <r>
          <rPr>
            <b/>
            <sz val="9"/>
            <color indexed="81"/>
            <rFont val="Tahoma"/>
            <charset val="1"/>
          </rPr>
          <t>Rifat Tahmid:</t>
        </r>
        <r>
          <rPr>
            <sz val="9"/>
            <color indexed="81"/>
            <rFont val="Tahoma"/>
            <charset val="1"/>
          </rPr>
          <t xml:space="preserve">
D&amp;A now driven by physical fleet model (row 168) — NOT Revenue × D&amp;A%.
Components: Space-allocated vehicle fleet D&amp;A + Dragon capsule D&amp;A + Infrastructure &amp; facilities D&amp;A.
See rows 153–170 for full bottom-up build.</t>
        </r>
      </text>
    </comment>
    <comment ref="Q58" authorId="0" shapeId="0" xr:uid="{B743EA4A-4E00-41D0-B31F-123CE9DD914E}">
      <text>
        <r>
          <rPr>
            <b/>
            <sz val="9"/>
            <color indexed="81"/>
            <rFont val="Tahoma"/>
            <charset val="1"/>
          </rPr>
          <t>Rifat Tahmid:</t>
        </r>
        <r>
          <rPr>
            <sz val="9"/>
            <color indexed="81"/>
            <rFont val="Tahoma"/>
            <charset val="1"/>
          </rPr>
          <t xml:space="preserve">
D&amp;A now driven by physical fleet model (row 168) — NOT Revenue × D&amp;A%.
Components: Space-allocated vehicle fleet D&amp;A + Dragon capsule D&amp;A + Infrastructure &amp; facilities D&amp;A.
See rows 153–170 for full bottom-up build.</t>
        </r>
      </text>
    </comment>
    <comment ref="R58" authorId="0" shapeId="0" xr:uid="{5E9D75A2-09D0-44E9-A617-AA2D2FCACF1C}">
      <text>
        <r>
          <rPr>
            <b/>
            <sz val="9"/>
            <color indexed="81"/>
            <rFont val="Tahoma"/>
            <charset val="1"/>
          </rPr>
          <t>Rifat Tahmid:</t>
        </r>
        <r>
          <rPr>
            <sz val="9"/>
            <color indexed="81"/>
            <rFont val="Tahoma"/>
            <charset val="1"/>
          </rPr>
          <t xml:space="preserve">
D&amp;A now driven by physical fleet model (row 168) — NOT Revenue × D&amp;A%.
Components: Space-allocated vehicle fleet D&amp;A + Dragon capsule D&amp;A + Infrastructure &amp; facilities D&amp;A.
See rows 153–170 for full bottom-up build.</t>
        </r>
      </text>
    </comment>
    <comment ref="S58" authorId="0" shapeId="0" xr:uid="{F8CE97A7-E815-43C9-BE2A-D38C3478739F}">
      <text>
        <r>
          <rPr>
            <b/>
            <sz val="9"/>
            <color indexed="81"/>
            <rFont val="Tahoma"/>
            <charset val="1"/>
          </rPr>
          <t>Rifat Tahmid:</t>
        </r>
        <r>
          <rPr>
            <sz val="9"/>
            <color indexed="81"/>
            <rFont val="Tahoma"/>
            <charset val="1"/>
          </rPr>
          <t xml:space="preserve">
D&amp;A now driven by physical fleet model (row 168) — NOT Revenue × D&amp;A%.
Components: Space-allocated vehicle fleet D&amp;A + Dragon capsule D&amp;A + Infrastructure &amp; facilities D&amp;A.
See rows 153–170 for full bottom-up build.</t>
        </r>
      </text>
    </comment>
    <comment ref="T58" authorId="0" shapeId="0" xr:uid="{90F04B15-B663-4178-B963-20EB98D0B20D}">
      <text>
        <r>
          <rPr>
            <b/>
            <sz val="9"/>
            <color indexed="81"/>
            <rFont val="Tahoma"/>
            <charset val="1"/>
          </rPr>
          <t>Rifat Tahmid:</t>
        </r>
        <r>
          <rPr>
            <sz val="9"/>
            <color indexed="81"/>
            <rFont val="Tahoma"/>
            <charset val="1"/>
          </rPr>
          <t xml:space="preserve">
D&amp;A now driven by physical fleet model (row 168) — NOT Revenue × D&amp;A%.
Components: Space-allocated vehicle fleet D&amp;A + Dragon capsule D&amp;A + Infrastructure &amp; facilities D&amp;A.
See rows 153–170 for full bottom-up build.</t>
        </r>
      </text>
    </comment>
    <comment ref="U58" authorId="0" shapeId="0" xr:uid="{C83BBD02-3FA3-4344-985B-0F3A6DD71BDF}">
      <text>
        <r>
          <rPr>
            <b/>
            <sz val="9"/>
            <color indexed="81"/>
            <rFont val="Tahoma"/>
            <charset val="1"/>
          </rPr>
          <t>Rifat Tahmid:</t>
        </r>
        <r>
          <rPr>
            <sz val="9"/>
            <color indexed="81"/>
            <rFont val="Tahoma"/>
            <charset val="1"/>
          </rPr>
          <t xml:space="preserve">
D&amp;A now driven by physical fleet model (row 168) — NOT Revenue × D&amp;A%.
Components: Space-allocated vehicle fleet D&amp;A + Dragon capsule D&amp;A + Infrastructure &amp; facilities D&amp;A.
See rows 153–170 for full bottom-up build.</t>
        </r>
      </text>
    </comment>
    <comment ref="V58" authorId="0" shapeId="0" xr:uid="{5754E0D3-C878-4634-A347-4476316E86DC}">
      <text>
        <r>
          <rPr>
            <b/>
            <sz val="9"/>
            <color indexed="81"/>
            <rFont val="Tahoma"/>
            <charset val="1"/>
          </rPr>
          <t>Rifat Tahmid:</t>
        </r>
        <r>
          <rPr>
            <sz val="9"/>
            <color indexed="81"/>
            <rFont val="Tahoma"/>
            <charset val="1"/>
          </rPr>
          <t xml:space="preserve">
D&amp;A now driven by physical fleet model (row 168) — NOT Revenue × D&amp;A%.
Components: Space-allocated vehicle fleet D&amp;A + Dragon capsule D&amp;A + Infrastructure &amp; facilities D&amp;A.
See rows 153–170 for full bottom-up build.</t>
        </r>
      </text>
    </comment>
    <comment ref="W58" authorId="0" shapeId="0" xr:uid="{34AD8D9D-2FF7-4C15-97AC-CE86A7A62621}">
      <text>
        <r>
          <rPr>
            <b/>
            <sz val="9"/>
            <color indexed="81"/>
            <rFont val="Tahoma"/>
            <charset val="1"/>
          </rPr>
          <t>Rifat Tahmid:</t>
        </r>
        <r>
          <rPr>
            <sz val="9"/>
            <color indexed="81"/>
            <rFont val="Tahoma"/>
            <charset val="1"/>
          </rPr>
          <t xml:space="preserve">
D&amp;A now driven by physical fleet model (row 168) — NOT Revenue × D&amp;A%.
Components: Space-allocated vehicle fleet D&amp;A + Dragon capsule D&amp;A + Infrastructure &amp; facilities D&amp;A.
See rows 153–170 for full bottom-up build.</t>
        </r>
      </text>
    </comment>
    <comment ref="X58" authorId="0" shapeId="0" xr:uid="{0A5B3F3E-C938-4BCF-8182-9D27528759CB}">
      <text>
        <r>
          <rPr>
            <b/>
            <sz val="9"/>
            <color indexed="81"/>
            <rFont val="Tahoma"/>
            <charset val="1"/>
          </rPr>
          <t>Rifat Tahmid:</t>
        </r>
        <r>
          <rPr>
            <sz val="9"/>
            <color indexed="81"/>
            <rFont val="Tahoma"/>
            <charset val="1"/>
          </rPr>
          <t xml:space="preserve">
D&amp;A now driven by physical fleet model (row 168) — NOT Revenue × D&amp;A%.
Components: Space-allocated vehicle fleet D&amp;A + Dragon capsule D&amp;A + Infrastructure &amp; facilities D&amp;A.
See rows 153–170 for full bottom-up build.</t>
        </r>
      </text>
    </comment>
    <comment ref="B61" authorId="0" shapeId="0" xr:uid="{C5DB3F66-4A4C-40A4-A912-1C5A04808D80}">
      <text>
        <r>
          <rPr>
            <b/>
            <sz val="9"/>
            <color indexed="81"/>
            <rFont val="Tahoma"/>
            <charset val="1"/>
          </rPr>
          <t>Rifat Tahmid:</t>
        </r>
        <r>
          <rPr>
            <sz val="9"/>
            <color indexed="81"/>
            <rFont val="Tahoma"/>
            <charset val="1"/>
          </rPr>
          <t xml:space="preserve">
Opening NOL = $0 for FY2023 (first model year).
Accumulates automatically from segment EBIT losses.
S-1 Reference: Consolidated federal NOLs = $9,728M (Note 15, p.F-51).
This schedule tracks segment-level NOLs using model EBIT, consistent with NOPAT calculation.
Source: SpaceX S-1, SEC EDGAR
https://www.sec.gov/Archives/edgar/data/1181412/000162828026036936/spaceexplorationtechnologi.htm</t>
        </r>
      </text>
    </comment>
    <comment ref="A62" authorId="0" shapeId="0" xr:uid="{9AFEBEBC-344B-406A-806B-CAF65DB555AD}">
      <text>
        <r>
          <rPr>
            <b/>
            <sz val="9"/>
            <color indexed="81"/>
            <rFont val="Tahoma"/>
            <charset val="1"/>
          </rPr>
          <t>Rifat Tahmid:</t>
        </r>
        <r>
          <rPr>
            <sz val="9"/>
            <color indexed="81"/>
            <rFont val="Tahoma"/>
            <charset val="1"/>
          </rPr>
          <t xml:space="preserve">
IRC §172(a)(2) as amended by TCJA:
Post-2017 federal NOLs may offset up to 80% of taxable income per year.
The remaining 20% is always subject to tax.
Formula: =MIN(Opening_NOL, MAX(EBIT,0) × 80%)
When EBIT &lt; 0: Utilization = 0 (NOL accumulates instead).
When EBIT &gt; 0: Utilization = lesser of available NOL or 80% of EBIT.</t>
        </r>
      </text>
    </comment>
    <comment ref="A64" authorId="0" shapeId="0" xr:uid="{2A1E9E07-28BE-4E6E-BD0E-6FF23446B77E}">
      <text>
        <r>
          <rPr>
            <b/>
            <sz val="9"/>
            <color indexed="81"/>
            <rFont val="Tahoma"/>
            <charset val="1"/>
          </rPr>
          <t>Rifat Tahmid:</t>
        </r>
        <r>
          <rPr>
            <sz val="9"/>
            <color indexed="81"/>
            <rFont val="Tahoma"/>
            <charset val="1"/>
          </rPr>
          <t xml:space="preserve">
AUDIT NOTE: Same NOL limitation as Conn DCF — =MAX(EBIT,0)*21% does not carry forward NOLs. Space segment has mixed profitability (loss in FY2023, FY2025, Q1 2026). Accumulated segment losses would create tax shields when profitability returns. Estimated impact: $2-5B PV. Enhancement deferred.</t>
        </r>
      </text>
    </comment>
    <comment ref="B66" authorId="0" shapeId="0" xr:uid="{B9C1EF38-20AB-4C21-8404-8D6A4B59EDEE}">
      <text>
        <r>
          <rPr>
            <b/>
            <sz val="9"/>
            <color indexed="81"/>
            <rFont val="Tahoma"/>
            <charset val="1"/>
          </rPr>
          <t>Rifat Tahmid:</t>
        </r>
        <r>
          <rPr>
            <sz val="9"/>
            <color indexed="81"/>
            <rFont val="Tahoma"/>
            <charset val="1"/>
          </rPr>
          <t xml:space="preserve">
SpaceX S-1 | Filed May 20, 2026
Space Segment D&amp;A FY2023: $571M
Note 19 — Segments, Supplemental Info
Page F-59
https://www.sec.gov/Archives/edgar/data/1181412/000162828026036936/spaceexplorationtechnologi.htm</t>
        </r>
      </text>
    </comment>
    <comment ref="C66" authorId="0" shapeId="0" xr:uid="{854346E9-57A7-4901-8AD0-6F2924718692}">
      <text>
        <r>
          <rPr>
            <b/>
            <sz val="9"/>
            <color indexed="81"/>
            <rFont val="Tahoma"/>
            <charset val="1"/>
          </rPr>
          <t>Rifat Tahmid:</t>
        </r>
        <r>
          <rPr>
            <sz val="9"/>
            <color indexed="81"/>
            <rFont val="Tahoma"/>
            <charset val="1"/>
          </rPr>
          <t xml:space="preserve">
SpaceX S-1 | Filed May 20, 2026
Space Segment D&amp;A FY2024: $637M
Note 19 — Segments, Supplemental Info
Pages F-58 to F-59
https://www.sec.gov/Archives/edgar/data/1181412/000162828026036936/spaceexplorationtechnologi.htm</t>
        </r>
      </text>
    </comment>
    <comment ref="D66" authorId="0" shapeId="0" xr:uid="{7D4828E3-53E3-4CA7-97FE-88D009ADE290}">
      <text>
        <r>
          <rPr>
            <b/>
            <sz val="9"/>
            <color indexed="81"/>
            <rFont val="Tahoma"/>
            <charset val="1"/>
          </rPr>
          <t>Rifat Tahmid:</t>
        </r>
        <r>
          <rPr>
            <sz val="9"/>
            <color indexed="81"/>
            <rFont val="Tahoma"/>
            <charset val="1"/>
          </rPr>
          <t xml:space="preserve">
SpaceX S-1 | Filed May 20, 2026
Space Segment D&amp;A FY2025: $757M
Note 19 — Segments, Supplemental Info
Page F-58
https://www.sec.gov/Archives/edgar/data/1181412/000162828026036936/spaceexplorationtechnologi.htm</t>
        </r>
      </text>
    </comment>
    <comment ref="B67" authorId="0" shapeId="0" xr:uid="{B0AEA2DB-043D-4EF8-8437-5AAFB461F1F8}">
      <text>
        <r>
          <rPr>
            <b/>
            <sz val="9"/>
            <color indexed="81"/>
            <rFont val="Tahoma"/>
            <charset val="1"/>
          </rPr>
          <t>Rifat Tahmid:</t>
        </r>
        <r>
          <rPr>
            <sz val="9"/>
            <color indexed="81"/>
            <rFont val="Tahoma"/>
            <charset val="1"/>
          </rPr>
          <t xml:space="preserve">
Source: SpaceX S-1, SEC EDGAR, Filed May 20 2026
Space Capex FY2023A: $1,497M
Page: F-59 (Note 19 — Segments, supplemental, YE Dec 31 2023)
https://www.sec.gov/Archives/edgar/data/1181412/000162828026036936/spaceexplorationtechnologi.htm</t>
        </r>
      </text>
    </comment>
    <comment ref="C67" authorId="0" shapeId="0" xr:uid="{63B62992-712E-480D-9434-FDC57A2CA119}">
      <text>
        <r>
          <rPr>
            <b/>
            <sz val="9"/>
            <color indexed="81"/>
            <rFont val="Tahoma"/>
            <charset val="1"/>
          </rPr>
          <t>Rifat Tahmid:</t>
        </r>
        <r>
          <rPr>
            <sz val="9"/>
            <color indexed="81"/>
            <rFont val="Tahoma"/>
            <charset val="1"/>
          </rPr>
          <t xml:space="preserve">
Source: SpaceX S-1, SEC EDGAR, Filed May 20 2026
Space Capex FY2024A: $2,032M
Page: F-58 (Note 19 — Segments, supplemental, YE Dec 31 2024)
https://www.sec.gov/Archives/edgar/data/1181412/000162828026036936/spaceexplorationtechnologi.htm</t>
        </r>
      </text>
    </comment>
    <comment ref="D67" authorId="0" shapeId="0" xr:uid="{0746D271-8042-498E-9360-A465391024E3}">
      <text>
        <r>
          <rPr>
            <b/>
            <sz val="9"/>
            <color indexed="81"/>
            <rFont val="Tahoma"/>
            <charset val="1"/>
          </rPr>
          <t>Rifat Tahmid:</t>
        </r>
        <r>
          <rPr>
            <sz val="9"/>
            <color indexed="81"/>
            <rFont val="Tahoma"/>
            <charset val="1"/>
          </rPr>
          <t xml:space="preserve">
Source: SpaceX S-1, SEC EDGAR, Filed May 20 2026
Space Capex FY2025A: $3,832M (Starship dev + launch infra)
Page: F-58 (Note 19 — Segments, supplemental, YE Dec 31 2025)
https://www.sec.gov/Archives/edgar/data/1181412/000162828026036936/spaceexplorationtechnologi.htm</t>
        </r>
      </text>
    </comment>
    <comment ref="B68" authorId="0" shapeId="0" xr:uid="{EFABB92D-C4D1-4C0A-9E65-CD4034DEFC90}">
      <text>
        <r>
          <rPr>
            <b/>
            <sz val="9"/>
            <color indexed="81"/>
            <rFont val="Tahoma"/>
            <charset val="1"/>
          </rPr>
          <t>Rifat Tahmid:</t>
        </r>
        <r>
          <rPr>
            <sz val="9"/>
            <color indexed="81"/>
            <rFont val="Tahoma"/>
            <charset val="1"/>
          </rPr>
          <t xml:space="preserve">
SpaceX S-1 | Filed May 20, 2026
Space Segment Capex FY2023: $1,497M
Note 19 — Segments, Supplemental Info
Page F-59
https://www.sec.gov/Archives/edgar/data/1181412/000162828026036936/spaceexplorationtechnologi.htm</t>
        </r>
      </text>
    </comment>
    <comment ref="C68" authorId="0" shapeId="0" xr:uid="{14DEFA2E-9BC3-4373-9BFC-97924CF5D769}">
      <text>
        <r>
          <rPr>
            <b/>
            <sz val="9"/>
            <color indexed="81"/>
            <rFont val="Tahoma"/>
            <charset val="1"/>
          </rPr>
          <t>Rifat Tahmid:</t>
        </r>
        <r>
          <rPr>
            <sz val="9"/>
            <color indexed="81"/>
            <rFont val="Tahoma"/>
            <charset val="1"/>
          </rPr>
          <t xml:space="preserve">
SpaceX S-1 | Filed May 20, 2026
Space Segment Capex FY2024: $2,032M
Note 19 — Segments, Supplemental Info
Pages F-58 to F-59
https://www.sec.gov/Archives/edgar/data/1181412/000162828026036936/spaceexplorationtechnologi.htm</t>
        </r>
      </text>
    </comment>
    <comment ref="D68" authorId="0" shapeId="0" xr:uid="{8D36F3D6-1AB5-486E-8BD8-097809618943}">
      <text>
        <r>
          <rPr>
            <b/>
            <sz val="9"/>
            <color indexed="81"/>
            <rFont val="Tahoma"/>
            <charset val="1"/>
          </rPr>
          <t>Rifat Tahmid:</t>
        </r>
        <r>
          <rPr>
            <sz val="9"/>
            <color indexed="81"/>
            <rFont val="Tahoma"/>
            <charset val="1"/>
          </rPr>
          <t xml:space="preserve">
SpaceX S-1 | Filed May 20, 2026
Space Segment Capex FY2025: $3,832M
Note 19 — Segments, Supplemental Info
Page F-58
https://www.sec.gov/Archives/edgar/data/1181412/000162828026036936/spaceexplorationtechnologi.htm</t>
        </r>
      </text>
    </comment>
    <comment ref="E69" authorId="0" shapeId="0" xr:uid="{A0135324-BF39-4BC7-B0FE-0A41671DDD68}">
      <text>
        <r>
          <rPr>
            <b/>
            <sz val="9"/>
            <color indexed="81"/>
            <rFont val="Tahoma"/>
            <family val="2"/>
          </rPr>
          <t>UFCF = NOPAT + D&amp;A - Capex - ΔNWC - After-Tax SBC.
SBC deduction = Revenue × SBC%(interpolated) × (1 − tax rate).
SBC is tax-deductible → net cost is after-tax.
Tax rate from WACC!B8 (21%).</t>
        </r>
      </text>
    </comment>
    <comment ref="F69" authorId="0" shapeId="0" xr:uid="{D25829C6-9365-400D-8161-0D7ED1848CB5}">
      <text>
        <r>
          <rPr>
            <b/>
            <sz val="9"/>
            <color indexed="81"/>
            <rFont val="Tahoma"/>
            <family val="2"/>
          </rPr>
          <t>UFCF = NOPAT + D&amp;A - Capex - ΔNWC - After-Tax SBC.
SBC deduction = Revenue × SBC%(interpolated) × (1 − tax rate).
SBC is tax-deductible → net cost is after-tax.
Tax rate from WACC!B8 (21%).</t>
        </r>
      </text>
    </comment>
    <comment ref="G69" authorId="0" shapeId="0" xr:uid="{8C2D32F1-813E-49AE-B787-794C017FC530}">
      <text>
        <r>
          <rPr>
            <b/>
            <sz val="9"/>
            <color indexed="81"/>
            <rFont val="Tahoma"/>
            <family val="2"/>
          </rPr>
          <t>UFCF = NOPAT + D&amp;A - Capex - ΔNWC - After-Tax SBC.
SBC deduction = Revenue × SBC%(interpolated) × (1 − tax rate).
SBC is tax-deductible → net cost is after-tax.
Tax rate from WACC!B8 (21%).</t>
        </r>
      </text>
    </comment>
    <comment ref="H69" authorId="0" shapeId="0" xr:uid="{806A93D1-138D-4C70-AF93-7922B2FB1F1F}">
      <text>
        <r>
          <rPr>
            <b/>
            <sz val="9"/>
            <color indexed="81"/>
            <rFont val="Tahoma"/>
            <family val="2"/>
          </rPr>
          <t>UFCF = NOPAT + D&amp;A - Capex - ΔNWC - After-Tax SBC.
SBC deduction = Revenue × SBC%(interpolated) × (1 − tax rate).
SBC is tax-deductible → net cost is after-tax.
Tax rate from WACC!B8 (21%).</t>
        </r>
      </text>
    </comment>
    <comment ref="I69" authorId="0" shapeId="0" xr:uid="{A426619E-9444-4515-BEA7-0F1AD568017C}">
      <text>
        <r>
          <rPr>
            <b/>
            <sz val="9"/>
            <color indexed="81"/>
            <rFont val="Tahoma"/>
            <family val="2"/>
          </rPr>
          <t>UFCF = NOPAT + D&amp;A - Capex - ΔNWC - After-Tax SBC.
SBC deduction = Revenue × SBC%(interpolated) × (1 − tax rate).
SBC is tax-deductible → net cost is after-tax.
Tax rate from WACC!B8 (21%).</t>
        </r>
      </text>
    </comment>
    <comment ref="J69" authorId="0" shapeId="0" xr:uid="{D5BEC551-90D7-4AE5-B635-81C10C0141C4}">
      <text>
        <r>
          <rPr>
            <b/>
            <sz val="9"/>
            <color indexed="81"/>
            <rFont val="Tahoma"/>
            <family val="2"/>
          </rPr>
          <t>UFCF = NOPAT + D&amp;A - Capex - ΔNWC - After-Tax SBC.
SBC deduction = Revenue × SBC%(interpolated) × (1 − tax rate).
SBC is tax-deductible → net cost is after-tax.
Tax rate from WACC!B8 (21%).</t>
        </r>
      </text>
    </comment>
    <comment ref="K69" authorId="0" shapeId="0" xr:uid="{A9579CE6-616D-4E14-91A9-9982C4D8FB62}">
      <text>
        <r>
          <rPr>
            <b/>
            <sz val="9"/>
            <color indexed="81"/>
            <rFont val="Tahoma"/>
            <family val="2"/>
          </rPr>
          <t>UFCF = NOPAT + D&amp;A - Capex - ΔNWC - After-Tax SBC.
SBC deduction = Revenue × SBC%(interpolated) × (1 − tax rate).
SBC is tax-deductible → net cost is after-tax.
Tax rate from WACC!B8 (21%).</t>
        </r>
      </text>
    </comment>
    <comment ref="L69" authorId="0" shapeId="0" xr:uid="{549F83B5-0AE1-4E6B-8518-33709856164F}">
      <text>
        <r>
          <rPr>
            <b/>
            <sz val="9"/>
            <color indexed="81"/>
            <rFont val="Tahoma"/>
            <family val="2"/>
          </rPr>
          <t>UFCF = NOPAT + D&amp;A - Capex - ΔNWC - After-Tax SBC.
SBC deduction = Revenue × SBC%(interpolated) × (1 − tax rate).
SBC is tax-deductible → net cost is after-tax.
Tax rate from WACC!B8 (21%).</t>
        </r>
      </text>
    </comment>
    <comment ref="M69" authorId="0" shapeId="0" xr:uid="{F472D74E-40F4-49D0-8F87-C0A9BC39B83D}">
      <text>
        <r>
          <rPr>
            <b/>
            <sz val="9"/>
            <color indexed="81"/>
            <rFont val="Tahoma"/>
            <family val="2"/>
          </rPr>
          <t>UFCF = NOPAT + D&amp;A - Capex - ΔNWC - After-Tax SBC.
SBC deduction = Revenue × SBC%(interpolated) × (1 − tax rate).
SBC is tax-deductible → net cost is after-tax.
Tax rate from WACC!B8 (21%).</t>
        </r>
      </text>
    </comment>
    <comment ref="N69" authorId="0" shapeId="0" xr:uid="{B80E9CBF-AE8F-4881-B6DC-1D5D6F7E79BA}">
      <text>
        <r>
          <rPr>
            <b/>
            <sz val="9"/>
            <color indexed="81"/>
            <rFont val="Tahoma"/>
            <family val="2"/>
          </rPr>
          <t>UFCF = NOPAT + D&amp;A - Capex - ΔNWC - After-Tax SBC.
SBC deduction = Revenue × SBC%(interpolated) × (1 − tax rate).
SBC is tax-deductible → net cost is after-tax.
Tax rate from WACC!B8 (21%).</t>
        </r>
      </text>
    </comment>
    <comment ref="O69" authorId="0" shapeId="0" xr:uid="{55DF34A2-C2A2-4206-958D-51CC87C7FD04}">
      <text>
        <r>
          <rPr>
            <b/>
            <sz val="9"/>
            <color indexed="81"/>
            <rFont val="Tahoma"/>
            <family val="2"/>
          </rPr>
          <t>UFCF = NOPAT + D&amp;A - Capex - ΔNWC - After-Tax SBC.
SBC deduction = Revenue × SBC%(interpolated) × (1 − tax rate).
SBC is tax-deductible → net cost is after-tax.
Tax rate from WACC!B8 (21%).</t>
        </r>
      </text>
    </comment>
    <comment ref="P69" authorId="0" shapeId="0" xr:uid="{83E5CBA2-D726-47DF-AC8F-6905F10A7FF0}">
      <text>
        <r>
          <rPr>
            <b/>
            <sz val="9"/>
            <color indexed="81"/>
            <rFont val="Tahoma"/>
            <family val="2"/>
          </rPr>
          <t>UFCF = NOPAT + D&amp;A - Capex - ΔNWC - After-Tax SBC.
SBC deduction = Revenue × SBC%(interpolated) × (1 − tax rate).
SBC is tax-deductible → net cost is after-tax.
Tax rate from WACC!B8 (21%).</t>
        </r>
      </text>
    </comment>
    <comment ref="Q69" authorId="0" shapeId="0" xr:uid="{E60E388C-B306-4647-8CC1-2F8F78B9977D}">
      <text>
        <r>
          <rPr>
            <b/>
            <sz val="9"/>
            <color indexed="81"/>
            <rFont val="Tahoma"/>
            <family val="2"/>
          </rPr>
          <t>UFCF = NOPAT + D&amp;A - Capex - ΔNWC - After-Tax SBC.
SBC deduction = Revenue × SBC%(interpolated) × (1 − tax rate).
SBC is tax-deductible → net cost is after-tax.
Tax rate from WACC!B8 (21%).</t>
        </r>
      </text>
    </comment>
    <comment ref="R69" authorId="0" shapeId="0" xr:uid="{929B3399-905B-4449-AF78-E2AD3B8ED5A5}">
      <text>
        <r>
          <rPr>
            <b/>
            <sz val="9"/>
            <color indexed="81"/>
            <rFont val="Tahoma"/>
            <family val="2"/>
          </rPr>
          <t>UFCF = NOPAT + D&amp;A - Capex - ΔNWC - After-Tax SBC.
SBC deduction = Revenue × SBC%(interpolated) × (1 − tax rate).
SBC is tax-deductible → net cost is after-tax.
Tax rate from WACC!B8 (21%).</t>
        </r>
      </text>
    </comment>
    <comment ref="S69" authorId="0" shapeId="0" xr:uid="{4DF59248-8301-4C4F-BF19-972B3FC4CFDB}">
      <text>
        <r>
          <rPr>
            <b/>
            <sz val="9"/>
            <color indexed="81"/>
            <rFont val="Tahoma"/>
            <family val="2"/>
          </rPr>
          <t>UFCF = NOPAT + D&amp;A - Capex - ΔNWC - After-Tax SBC.
SBC deduction = Revenue × SBC%(interpolated) × (1 − tax rate).
SBC is tax-deductible → net cost is after-tax.
Tax rate from WACC!B8 (21%).</t>
        </r>
      </text>
    </comment>
    <comment ref="T69" authorId="0" shapeId="0" xr:uid="{DA0923CB-3DAE-4DCC-90C4-A0F7CD5948F4}">
      <text>
        <r>
          <rPr>
            <b/>
            <sz val="9"/>
            <color indexed="81"/>
            <rFont val="Tahoma"/>
            <family val="2"/>
          </rPr>
          <t>UFCF = NOPAT + D&amp;A - Capex - ΔNWC - After-Tax SBC.
SBC deduction = Revenue × SBC%(interpolated) × (1 − tax rate).
SBC is tax-deductible → net cost is after-tax.
Tax rate from WACC!B8 (21%).</t>
        </r>
      </text>
    </comment>
    <comment ref="U69" authorId="0" shapeId="0" xr:uid="{07F046D2-7A3D-43D4-A898-B019488FAAA1}">
      <text>
        <r>
          <rPr>
            <b/>
            <sz val="9"/>
            <color indexed="81"/>
            <rFont val="Tahoma"/>
            <family val="2"/>
          </rPr>
          <t>UFCF = NOPAT + D&amp;A - Capex - ΔNWC - After-Tax SBC.
SBC deduction = Revenue × SBC%(interpolated) × (1 − tax rate).
SBC is tax-deductible → net cost is after-tax.
Tax rate from WACC!B8 (21%).</t>
        </r>
      </text>
    </comment>
    <comment ref="V69" authorId="0" shapeId="0" xr:uid="{C2E5DD3B-FE45-46D6-9CBC-E26F289CFFE6}">
      <text>
        <r>
          <rPr>
            <b/>
            <sz val="9"/>
            <color indexed="81"/>
            <rFont val="Tahoma"/>
            <family val="2"/>
          </rPr>
          <t>UFCF = NOPAT + D&amp;A - Capex - ΔNWC - After-Tax SBC.
SBC deduction = Revenue × SBC%(interpolated) × (1 − tax rate).
SBC is tax-deductible → net cost is after-tax.
Tax rate from WACC!B8 (21%).</t>
        </r>
      </text>
    </comment>
    <comment ref="W69" authorId="0" shapeId="0" xr:uid="{DB56FCC4-274E-47E0-9A78-8EDB2C24F36D}">
      <text>
        <r>
          <rPr>
            <b/>
            <sz val="9"/>
            <color indexed="81"/>
            <rFont val="Tahoma"/>
            <family val="2"/>
          </rPr>
          <t>UFCF = NOPAT + D&amp;A - Capex - ΔNWC - After-Tax SBC.
SBC deduction = Revenue × SBC%(interpolated) × (1 − tax rate).
SBC is tax-deductible → net cost is after-tax.
Tax rate from WACC!B8 (21%).</t>
        </r>
      </text>
    </comment>
    <comment ref="X69" authorId="0" shapeId="0" xr:uid="{52733F64-6E67-45BE-BB8F-14F5D11B5CFC}">
      <text>
        <r>
          <rPr>
            <b/>
            <sz val="9"/>
            <color indexed="81"/>
            <rFont val="Tahoma"/>
            <family val="2"/>
          </rPr>
          <t>UFCF = NOPAT + D&amp;A - Capex - ΔNWC - After-Tax SBC.
SBC deduction = Revenue × SBC%(interpolated) × (1 − tax rate).
SBC is tax-deductible → net cost is after-tax.
Tax rate from WACC!B8 (21%).</t>
        </r>
      </text>
    </comment>
    <comment ref="A71" authorId="0" shapeId="0" xr:uid="{2824477F-E294-40FA-9C62-2F3711E1481C}">
      <text>
        <r>
          <rPr>
            <b/>
            <sz val="9"/>
            <color indexed="81"/>
            <rFont val="Tahoma"/>
            <family val="2"/>
          </rPr>
          <t>Stock-Based Compensation as % of revenue, declining linearly from B67 (start, 3.5%) to C67 (end, 1.5%) over 20 years.
Estimated from S-1 disclosures and aerospace/defense benchmarks (Boeing ~2%, Northrop ~2%, RTX ~1.5%).
Space segment has higher engineering intensity → starts above defense average.
Declines as workforce matures and post-IPO equity grants normalize.</t>
        </r>
      </text>
    </comment>
    <comment ref="B76" authorId="0" shapeId="0" xr:uid="{4D1DAB22-4896-4F76-821A-28751F8D1DDD}">
      <text>
        <r>
          <rPr>
            <b/>
            <sz val="9"/>
            <color indexed="81"/>
            <rFont val="Tahoma"/>
            <charset val="1"/>
          </rPr>
          <t>Rifat Tahmid:</t>
        </r>
        <r>
          <rPr>
            <sz val="9"/>
            <color indexed="81"/>
            <rFont val="Tahoma"/>
            <charset val="1"/>
          </rPr>
          <t xml:space="preserve">
Source: 'Space Comps'!X20 — Tier 1 NewSpace / Launch median unlevered beta (Rocket Lab, Virgin Galactic, Momentus, etc.)</t>
        </r>
      </text>
    </comment>
    <comment ref="B77" authorId="0" shapeId="0" xr:uid="{DE9C54D1-EA5D-489E-906D-748E202B9473}">
      <text>
        <r>
          <rPr>
            <b/>
            <sz val="9"/>
            <color indexed="81"/>
            <rFont val="Tahoma"/>
            <charset val="1"/>
          </rPr>
          <t>Rifat Tahmid:</t>
        </r>
        <r>
          <rPr>
            <sz val="9"/>
            <color indexed="81"/>
            <rFont val="Tahoma"/>
            <charset val="1"/>
          </rPr>
          <t xml:space="preserve">
Source: 'Space Comps'!X37 — Tier 2 Big-5 Defense median unlevered beta (RTX, LMT, GD, NOC)</t>
        </r>
      </text>
    </comment>
    <comment ref="B78" authorId="0" shapeId="0" xr:uid="{098C4B3D-2D64-49E7-B92C-2B387A005E6D}">
      <text>
        <r>
          <rPr>
            <b/>
            <sz val="9"/>
            <color indexed="81"/>
            <rFont val="Tahoma"/>
            <charset val="1"/>
          </rPr>
          <t>Rifat Tahmid:</t>
        </r>
        <r>
          <rPr>
            <sz val="9"/>
            <color indexed="81"/>
            <rFont val="Tahoma"/>
            <charset val="1"/>
          </rPr>
          <t xml:space="preserve">
No Tier 3 for Space segment. Weight = 0.</t>
        </r>
      </text>
    </comment>
    <comment ref="B79" authorId="0" shapeId="0" xr:uid="{E448C776-C753-47C2-895F-64B3C3A49D04}">
      <text>
        <r>
          <rPr>
            <b/>
            <sz val="9"/>
            <color indexed="81"/>
            <rFont val="Tahoma"/>
            <charset val="1"/>
          </rPr>
          <t>Rifat Tahmid:</t>
        </r>
        <r>
          <rPr>
            <sz val="9"/>
            <color indexed="81"/>
            <rFont val="Tahoma"/>
            <charset val="1"/>
          </rPr>
          <t xml:space="preserve">
Bear: 70% | Base: 60% | Bull: 50%
Tier 1 (NewSpace) Year 1 weight. Higher = more launch/venture risk.</t>
        </r>
      </text>
    </comment>
    <comment ref="C79" authorId="0" shapeId="0" xr:uid="{4BAFE08B-ACD9-42DF-A6B0-1C5A5820E241}">
      <text>
        <r>
          <rPr>
            <b/>
            <sz val="9"/>
            <color indexed="81"/>
            <rFont val="Tahoma"/>
            <charset val="1"/>
          </rPr>
          <t>Rifat Tahmid:</t>
        </r>
        <r>
          <rPr>
            <sz val="9"/>
            <color indexed="81"/>
            <rFont val="Tahoma"/>
            <charset val="1"/>
          </rPr>
          <t xml:space="preserve">
Bear: 25% | Base: 15% | Bull: 10%
Tier 1 (NewSpace) Year 20 weight.</t>
        </r>
      </text>
    </comment>
    <comment ref="B80" authorId="0" shapeId="0" xr:uid="{FB179209-8C21-46A0-BA7B-312D0C6908AD}">
      <text>
        <r>
          <rPr>
            <b/>
            <sz val="9"/>
            <color indexed="81"/>
            <rFont val="Tahoma"/>
            <charset val="1"/>
          </rPr>
          <t>Rifat Tahmid:</t>
        </r>
        <r>
          <rPr>
            <sz val="9"/>
            <color indexed="81"/>
            <rFont val="Tahoma"/>
            <charset val="1"/>
          </rPr>
          <t xml:space="preserve">
Bear: 30% | Base: 40% | Bull: 50%
Tier 2 (Big-5 Defense) Year 1 weight.</t>
        </r>
      </text>
    </comment>
    <comment ref="C80" authorId="0" shapeId="0" xr:uid="{9CD779F5-8BD7-4B4D-82FB-2E3558F0BF52}">
      <text>
        <r>
          <rPr>
            <b/>
            <sz val="9"/>
            <color indexed="81"/>
            <rFont val="Tahoma"/>
            <charset val="1"/>
          </rPr>
          <t>Rifat Tahmid:</t>
        </r>
        <r>
          <rPr>
            <sz val="9"/>
            <color indexed="81"/>
            <rFont val="Tahoma"/>
            <charset val="1"/>
          </rPr>
          <t xml:space="preserve">
Bear: 75% | Base: 85% | Bull: 90%
Tier 2 (Big-5 Defense) Year 20 weight. At maturity, Space segment risk converges toward defense primes.</t>
        </r>
      </text>
    </comment>
    <comment ref="X85" authorId="0" shapeId="0" xr:uid="{7766F612-EF67-4607-9EB2-51F28450D71D}">
      <text>
        <r>
          <rPr>
            <b/>
            <sz val="9"/>
            <color indexed="81"/>
            <rFont val="Tahoma"/>
            <charset val="1"/>
          </rPr>
          <t>Rifat Tahmid:</t>
        </r>
        <r>
          <rPr>
            <sz val="9"/>
            <color indexed="81"/>
            <rFont val="Tahoma"/>
            <charset val="1"/>
          </rPr>
          <t xml:space="preserve">
Terminal WACC: converged risk profile at Year 20, predominantly defense contractor characteristics.
Used for Gordon Growth TV and Year 20 DF.</t>
        </r>
      </text>
    </comment>
    <comment ref="B97" authorId="0" shapeId="0" xr:uid="{4CB8D63E-1E47-4F40-A9F4-DC4C646B2AB1}">
      <text>
        <r>
          <rPr>
            <b/>
            <sz val="9"/>
            <color indexed="81"/>
            <rFont val="Tahoma"/>
            <charset val="1"/>
          </rPr>
          <t>Rifat Tahmid:</t>
        </r>
        <r>
          <rPr>
            <sz val="9"/>
            <color indexed="81"/>
            <rFont val="Tahoma"/>
            <charset val="1"/>
          </rPr>
          <t xml:space="preserve">
TV discounted at end-of-year (period 20). Same convention change as Conn DCF.</t>
        </r>
      </text>
    </comment>
    <comment ref="A98" authorId="0" shapeId="0" xr:uid="{B4FB5486-C32C-4E30-A942-3BD904CF0B3C}">
      <text>
        <r>
          <rPr>
            <b/>
            <sz val="9"/>
            <color indexed="81"/>
            <rFont val="Tahoma"/>
            <family val="2"/>
          </rPr>
          <t>Rifat Tahmid:</t>
        </r>
        <r>
          <rPr>
            <sz val="9"/>
            <color indexed="81"/>
            <rFont val="Tahoma"/>
            <family val="2"/>
          </rPr>
          <t xml:space="preserve">
Cross-check: Gordon Growth TV ($197B) ÷ Terminal EBITDA ($19.3B) = ~10.2x. This is BELOW the comp-derived 15.1x (Big-5 Defense), meaning the Gordon Growth method is actually more conservative than the exit multiple method for Space. The comp exit (15.1x) produces a higher EV ($54.5B) than Gordon Growth ($42.4B). The divergence suggests the terminal growth rate (2.5%) and/or terminal WACC (~9.2%) may be too conservative for Space relative to the defense comp multiples.</t>
        </r>
      </text>
    </comment>
    <comment ref="B101" authorId="0" shapeId="0" xr:uid="{6C480F5C-02A1-4E40-BFF1-600F0FE7BD4B}">
      <text>
        <r>
          <rPr>
            <b/>
            <sz val="9"/>
            <color indexed="81"/>
            <rFont val="Tahoma"/>
            <family val="2"/>
          </rPr>
          <t xml:space="preserve">Rifat Tahmid:
</t>
        </r>
        <r>
          <rPr>
            <sz val="9"/>
            <color indexed="81"/>
            <rFont val="Tahoma"/>
            <family val="2"/>
          </rPr>
          <t>Exit EV/EBITDA anchored to mature-stage comp tier (Big-5 Defense Contractors) median TEV/EBITDA on 'Space Comps'!K37 (currently 15.1x). Falls back to 18x base if comp inputs are cleared.</t>
        </r>
      </text>
    </comment>
    <comment ref="B113" authorId="0" shapeId="0" xr:uid="{B0F69942-F8F6-46B8-ABDD-B665485E6CFE}">
      <text>
        <r>
          <rPr>
            <b/>
            <sz val="9"/>
            <color indexed="81"/>
            <rFont val="Tahoma"/>
            <charset val="1"/>
          </rPr>
          <t>Rifat Tahmid:</t>
        </r>
        <r>
          <rPr>
            <sz val="9"/>
            <color indexed="81"/>
            <rFont val="Tahoma"/>
            <charset val="1"/>
          </rPr>
          <t xml:space="preserve">
⚠ TV = 62% of Space EV (above 60% yellow flag). Terminal value assumptions (Tg=2.5%, exit multiple=15.1x) are the primary valuation driver. Recommend stress-testing with wider Tg bands (±150bp) and alternate exit ranges.</t>
        </r>
      </text>
    </comment>
    <comment ref="A115" authorId="0" shapeId="0" xr:uid="{6F21571D-28FA-4140-B838-D91453782D27}">
      <text>
        <r>
          <rPr>
            <b/>
            <sz val="9"/>
            <color indexed="81"/>
            <rFont val="Tahoma"/>
            <charset val="1"/>
          </rPr>
          <t>Sensitivity tables now use the BLENDED WACC (B47 = time-average of the 20-year time-varying WACC schedule in E79:X79, ~11.1%). Previously centered on the static mature-state defense-tier WACC (B46 = 7.9%), which massively understated the effective discount rate for a company transitioning from NewSpace risk (β~1.9) to defense risk (β~0.27).</t>
        </r>
      </text>
    </comment>
    <comment ref="A153" authorId="0" shapeId="0" xr:uid="{D34E9D81-FA7C-4C3A-8444-98E7D86F049E}">
      <text>
        <r>
          <rPr>
            <b/>
            <sz val="9"/>
            <color indexed="81"/>
            <rFont val="Tahoma"/>
            <charset val="1"/>
          </rPr>
          <t>Rifat Tahmid:</t>
        </r>
        <r>
          <rPr>
            <sz val="9"/>
            <color indexed="81"/>
            <rFont val="Tahoma"/>
            <charset val="1"/>
          </rPr>
          <t xml:space="preserve">
Source: SpaceX S-1 (FY2025A = 165 missions). Forecast: declining as Starship takes over commercial and Starlink missions. Per S-1: booster build cost $30M, 25-flight accounting life, refurb ~$300K/flight.</t>
        </r>
      </text>
    </comment>
    <comment ref="A154" authorId="0" shapeId="0" xr:uid="{DC57CA09-AB94-459B-BC40-D03E93D5C20F}">
      <text>
        <r>
          <rPr>
            <b/>
            <sz val="9"/>
            <color indexed="81"/>
            <rFont val="Tahoma"/>
            <charset val="1"/>
          </rPr>
          <t>Rifat Tahmid:</t>
        </r>
        <r>
          <rPr>
            <sz val="9"/>
            <color indexed="81"/>
            <rFont val="Tahoma"/>
            <charset val="1"/>
          </rPr>
          <t xml:space="preserve">
Starship ramp from test flights to operational cadence. Vehicle cost declines from ~$100M initially to ~$30M at scale via manufacturing learning curve.</t>
        </r>
      </text>
    </comment>
    <comment ref="A156" authorId="0" shapeId="0" xr:uid="{4636C7AA-015F-4A51-890F-FA3E8FDA27FD}">
      <text>
        <r>
          <rPr>
            <b/>
            <sz val="9"/>
            <color indexed="81"/>
            <rFont val="Tahoma"/>
            <charset val="1"/>
          </rPr>
          <t>Rifat Tahmid:</t>
        </r>
        <r>
          <rPr>
            <sz val="9"/>
            <color indexed="81"/>
            <rFont val="Tahoma"/>
            <charset val="1"/>
          </rPr>
          <t xml:space="preserve">
= Booster build cost ($30M) ÷ S-1 accounting life (25 flights) = $1.2M per flight.</t>
        </r>
      </text>
    </comment>
    <comment ref="C156" authorId="0" shapeId="0" xr:uid="{A9A1C868-F192-4899-8479-E71D1B926578}">
      <text>
        <r>
          <rPr>
            <b/>
            <sz val="9"/>
            <color indexed="81"/>
            <rFont val="Tahoma"/>
            <charset val="1"/>
          </rPr>
          <t>Rifat Tahmid:</t>
        </r>
        <r>
          <rPr>
            <sz val="9"/>
            <color indexed="81"/>
            <rFont val="Tahoma"/>
            <charset val="1"/>
          </rPr>
          <t xml:space="preserve">
= F9 booster build cost ($30M) ÷ S-1 accounting life (25 flights) = $1.2M/flight.
Source: SpaceX S-1, SEC EDGAR.</t>
        </r>
      </text>
    </comment>
    <comment ref="A157" authorId="0" shapeId="0" xr:uid="{50DAAEFB-BAF2-4071-939D-E7CBCA97C32D}">
      <text>
        <r>
          <rPr>
            <b/>
            <sz val="9"/>
            <color indexed="81"/>
            <rFont val="Tahoma"/>
            <charset val="1"/>
          </rPr>
          <t>Rifat Tahmid:</t>
        </r>
        <r>
          <rPr>
            <sz val="9"/>
            <color indexed="81"/>
            <rFont val="Tahoma"/>
            <charset val="1"/>
          </rPr>
          <t xml:space="preserve">
= Starship vehicle cost ÷ accounting life (50 flights). Vehicle cost declines with manufacturing scale.</t>
        </r>
      </text>
    </comment>
    <comment ref="A161" authorId="0" shapeId="0" xr:uid="{4F325E13-C767-4487-97F5-9C33BC3623AA}">
      <text>
        <r>
          <rPr>
            <b/>
            <sz val="9"/>
            <color indexed="81"/>
            <rFont val="Tahoma"/>
            <charset val="1"/>
          </rPr>
          <t>Rifat Tahmid:</t>
        </r>
        <r>
          <rPr>
            <sz val="9"/>
            <color indexed="81"/>
            <rFont val="Tahoma"/>
            <charset val="1"/>
          </rPr>
          <t xml:space="preserve">
= External launches (row 143) ÷ Total launches (row 157). Space segment receives vehicle D&amp;A proportional to its share of total launches.</t>
        </r>
      </text>
    </comment>
    <comment ref="A163" authorId="0" shapeId="0" xr:uid="{9D438359-9355-441F-A97D-C10B4EB7E548}">
      <text>
        <r>
          <rPr>
            <b/>
            <sz val="9"/>
            <color indexed="81"/>
            <rFont val="Tahoma"/>
            <charset val="1"/>
          </rPr>
          <t>Rifat Tahmid:</t>
        </r>
        <r>
          <rPr>
            <sz val="9"/>
            <color indexed="81"/>
            <rFont val="Tahoma"/>
            <charset val="1"/>
          </rPr>
          <t xml:space="preserve">
Dragon capsules: ~$100M build cost, 5-mission life per S-1. Growing as crew missions increase (Axiom, Polaris, NASA CRS). 100% Space segment.</t>
        </r>
      </text>
    </comment>
    <comment ref="A164" authorId="0" shapeId="0" xr:uid="{47C38946-3138-4767-A466-66AAD304BF82}">
      <text>
        <r>
          <rPr>
            <b/>
            <sz val="9"/>
            <color indexed="81"/>
            <rFont val="Tahoma"/>
            <charset val="1"/>
          </rPr>
          <t>Rifat Tahmid:</t>
        </r>
        <r>
          <rPr>
            <sz val="9"/>
            <color indexed="81"/>
            <rFont val="Tahoma"/>
            <charset val="1"/>
          </rPr>
          <t xml:space="preserve">
Launch pads (LC-39A, SLC-40, Starbase, SLC-4E), manufacturing (Hawthorne), test facilities (McGregor), Starshield assets, ground stations. Growing at ~5%/yr with Starship pad buildout.</t>
        </r>
      </text>
    </comment>
    <comment ref="D164" authorId="0" shapeId="0" xr:uid="{FDDCC1B5-8D97-43AC-BEA0-385C07808A33}">
      <text>
        <r>
          <rPr>
            <b/>
            <sz val="9"/>
            <color indexed="81"/>
            <rFont val="Tahoma"/>
            <charset val="1"/>
          </rPr>
          <t>FY2025A calibration: $757M actual − $44M vehicle (Space-allocated) − $200M Dragon = $513M. Covers launch pads, Hawthorne/McGregor manufacturing, Starship dev (Starbase), Starshield constellation assets. Growing 5%/yr with Starship infrastructure buildout.</t>
        </r>
      </text>
    </comment>
    <comment ref="E164" authorId="0" shapeId="0" xr:uid="{F5F82C47-09D8-48DC-BDFD-D5D941439DA3}">
      <text>
        <r>
          <rPr>
            <b/>
            <sz val="9"/>
            <color indexed="81"/>
            <rFont val="Tahoma"/>
            <charset val="1"/>
          </rPr>
          <t>Rifat Tahmid:</t>
        </r>
        <r>
          <rPr>
            <sz val="9"/>
            <color indexed="81"/>
            <rFont val="Tahoma"/>
            <charset val="1"/>
          </rPr>
          <t xml:space="preserve">
FY2025A calibration: $757M actual D&amp;A − $44M vehicle − $200M Dragon − $156M residual → $357M. Covers launch pads, Hawthorne/McGregor facilities, Starship dev, Starshield assets.</t>
        </r>
      </text>
    </comment>
    <comment ref="F164" authorId="0" shapeId="0" xr:uid="{E6F97715-B440-4B6C-AB3B-09CB90288787}">
      <text>
        <r>
          <rPr>
            <b/>
            <sz val="9"/>
            <color indexed="81"/>
            <rFont val="Tahoma"/>
            <charset val="1"/>
          </rPr>
          <t>FY2025A calibration: $757M actual − $44M vehicle (Space-allocated) − $200M Dragon = $513M. Covers launch pads, Hawthorne/McGregor manufacturing, Starship dev (Starbase), Starshield constellation assets. Growing 5%/yr with Starship infrastructure buildout.</t>
        </r>
      </text>
    </comment>
    <comment ref="G164" authorId="0" shapeId="0" xr:uid="{0A8B6D00-DE56-4A45-9CE5-AB8A4FCC6628}">
      <text>
        <r>
          <rPr>
            <b/>
            <sz val="9"/>
            <color indexed="81"/>
            <rFont val="Tahoma"/>
            <charset val="1"/>
          </rPr>
          <t>FY2025A calibration: $757M actual − $44M vehicle (Space-allocated) − $200M Dragon = $513M. Covers launch pads, Hawthorne/McGregor manufacturing, Starship dev (Starbase), Starshield constellation assets. Growing 5%/yr with Starship infrastructure buildout.</t>
        </r>
      </text>
    </comment>
    <comment ref="H164" authorId="0" shapeId="0" xr:uid="{0C39076D-3642-4AA1-B8B2-D33346014168}">
      <text>
        <r>
          <rPr>
            <b/>
            <sz val="9"/>
            <color indexed="81"/>
            <rFont val="Tahoma"/>
            <charset val="1"/>
          </rPr>
          <t>FY2025A calibration: $757M actual − $44M vehicle (Space-allocated) − $200M Dragon = $513M. Covers launch pads, Hawthorne/McGregor manufacturing, Starship dev (Starbase), Starshield constellation assets. Growing 5%/yr with Starship infrastructure buildout.</t>
        </r>
      </text>
    </comment>
    <comment ref="I164" authorId="0" shapeId="0" xr:uid="{D915E4E9-DDB4-40B3-9000-89F0F66F88E7}">
      <text>
        <r>
          <rPr>
            <b/>
            <sz val="9"/>
            <color indexed="81"/>
            <rFont val="Tahoma"/>
            <charset val="1"/>
          </rPr>
          <t>FY2025A calibration: $757M actual − $44M vehicle (Space-allocated) − $200M Dragon = $513M. Covers launch pads, Hawthorne/McGregor manufacturing, Starship dev (Starbase), Starshield constellation assets. Growing 5%/yr with Starship infrastructure buildout.</t>
        </r>
      </text>
    </comment>
    <comment ref="J164" authorId="0" shapeId="0" xr:uid="{4F50B105-DD43-4296-846E-44463DC44E12}">
      <text>
        <r>
          <rPr>
            <b/>
            <sz val="9"/>
            <color indexed="81"/>
            <rFont val="Tahoma"/>
            <charset val="1"/>
          </rPr>
          <t>FY2025A calibration: $757M actual − $44M vehicle (Space-allocated) − $200M Dragon = $513M. Covers launch pads, Hawthorne/McGregor manufacturing, Starship dev (Starbase), Starshield constellation assets. Growing 5%/yr with Starship infrastructure buildout.</t>
        </r>
      </text>
    </comment>
    <comment ref="K164" authorId="0" shapeId="0" xr:uid="{BE8347BD-9E10-4EBD-8C40-C8F8641359B8}">
      <text>
        <r>
          <rPr>
            <b/>
            <sz val="9"/>
            <color indexed="81"/>
            <rFont val="Tahoma"/>
            <charset val="1"/>
          </rPr>
          <t>FY2025A calibration: $757M actual − $44M vehicle (Space-allocated) − $200M Dragon = $513M. Covers launch pads, Hawthorne/McGregor manufacturing, Starship dev (Starbase), Starshield constellation assets. Growing 5%/yr with Starship infrastructure buildout.</t>
        </r>
      </text>
    </comment>
    <comment ref="L164" authorId="0" shapeId="0" xr:uid="{49BDAB8F-9102-400E-B28B-A1C2BE2F3EC0}">
      <text>
        <r>
          <rPr>
            <b/>
            <sz val="9"/>
            <color indexed="81"/>
            <rFont val="Tahoma"/>
            <charset val="1"/>
          </rPr>
          <t>FY2025A calibration: $757M actual − $44M vehicle (Space-allocated) − $200M Dragon = $513M. Covers launch pads, Hawthorne/McGregor manufacturing, Starship dev (Starbase), Starshield constellation assets. Growing 5%/yr with Starship infrastructure buildout.</t>
        </r>
      </text>
    </comment>
    <comment ref="M164" authorId="0" shapeId="0" xr:uid="{FD11D58C-7F9F-4F80-8FCE-7DA92F378DB5}">
      <text>
        <r>
          <rPr>
            <b/>
            <sz val="9"/>
            <color indexed="81"/>
            <rFont val="Tahoma"/>
            <charset val="1"/>
          </rPr>
          <t>FY2025A calibration: $757M actual − $44M vehicle (Space-allocated) − $200M Dragon = $513M. Covers launch pads, Hawthorne/McGregor manufacturing, Starship dev (Starbase), Starshield constellation assets. Growing 5%/yr with Starship infrastructure buildout.</t>
        </r>
      </text>
    </comment>
    <comment ref="N164" authorId="0" shapeId="0" xr:uid="{74C1B31B-296F-4F78-940C-320EF8E20551}">
      <text>
        <r>
          <rPr>
            <b/>
            <sz val="9"/>
            <color indexed="81"/>
            <rFont val="Tahoma"/>
            <charset val="1"/>
          </rPr>
          <t>FY2025A calibration: $757M actual − $44M vehicle (Space-allocated) − $200M Dragon = $513M. Covers launch pads, Hawthorne/McGregor manufacturing, Starship dev (Starbase), Starshield constellation assets. Growing 5%/yr with Starship infrastructure buildout.</t>
        </r>
      </text>
    </comment>
    <comment ref="O164" authorId="0" shapeId="0" xr:uid="{D297096F-6CB1-48EE-BD19-A4E9A367D689}">
      <text>
        <r>
          <rPr>
            <b/>
            <sz val="9"/>
            <color indexed="81"/>
            <rFont val="Tahoma"/>
            <charset val="1"/>
          </rPr>
          <t>FY2025A calibration: $757M actual − $44M vehicle (Space-allocated) − $200M Dragon = $513M. Covers launch pads, Hawthorne/McGregor manufacturing, Starship dev (Starbase), Starshield constellation assets. Growing 5%/yr with Starship infrastructure buildout.</t>
        </r>
      </text>
    </comment>
    <comment ref="P164" authorId="0" shapeId="0" xr:uid="{1E177297-EB3C-45B6-8C88-18138B4869EA}">
      <text>
        <r>
          <rPr>
            <b/>
            <sz val="9"/>
            <color indexed="81"/>
            <rFont val="Tahoma"/>
            <charset val="1"/>
          </rPr>
          <t>FY2025A calibration: $757M actual − $44M vehicle (Space-allocated) − $200M Dragon = $513M. Covers launch pads, Hawthorne/McGregor manufacturing, Starship dev (Starbase), Starshield constellation assets. Growing 5%/yr with Starship infrastructure buildout.</t>
        </r>
      </text>
    </comment>
    <comment ref="Q164" authorId="0" shapeId="0" xr:uid="{F61597DB-A1A4-4B30-952A-DF81C98D2A33}">
      <text>
        <r>
          <rPr>
            <b/>
            <sz val="9"/>
            <color indexed="81"/>
            <rFont val="Tahoma"/>
            <charset val="1"/>
          </rPr>
          <t>FY2025A calibration: $757M actual − $44M vehicle (Space-allocated) − $200M Dragon = $513M. Covers launch pads, Hawthorne/McGregor manufacturing, Starship dev (Starbase), Starshield constellation assets. Growing 5%/yr with Starship infrastructure buildout.</t>
        </r>
      </text>
    </comment>
    <comment ref="R164" authorId="0" shapeId="0" xr:uid="{9CF61EE1-EFA7-4AD6-9851-B09C08D66B28}">
      <text>
        <r>
          <rPr>
            <b/>
            <sz val="9"/>
            <color indexed="81"/>
            <rFont val="Tahoma"/>
            <charset val="1"/>
          </rPr>
          <t>FY2025A calibration: $757M actual − $44M vehicle (Space-allocated) − $200M Dragon = $513M. Covers launch pads, Hawthorne/McGregor manufacturing, Starship dev (Starbase), Starshield constellation assets. Growing 5%/yr with Starship infrastructure buildout.</t>
        </r>
      </text>
    </comment>
    <comment ref="S164" authorId="0" shapeId="0" xr:uid="{7DFE0D2B-F276-43AD-A3D8-008342206F59}">
      <text>
        <r>
          <rPr>
            <b/>
            <sz val="9"/>
            <color indexed="81"/>
            <rFont val="Tahoma"/>
            <charset val="1"/>
          </rPr>
          <t>FY2025A calibration: $757M actual − $44M vehicle (Space-allocated) − $200M Dragon = $513M. Covers launch pads, Hawthorne/McGregor manufacturing, Starship dev (Starbase), Starshield constellation assets. Growing 5%/yr with Starship infrastructure buildout.</t>
        </r>
      </text>
    </comment>
    <comment ref="T164" authorId="0" shapeId="0" xr:uid="{2011CD66-66B3-435E-8733-CBE38EBA7147}">
      <text>
        <r>
          <rPr>
            <b/>
            <sz val="9"/>
            <color indexed="81"/>
            <rFont val="Tahoma"/>
            <charset val="1"/>
          </rPr>
          <t>FY2025A calibration: $757M actual − $44M vehicle (Space-allocated) − $200M Dragon = $513M. Covers launch pads, Hawthorne/McGregor manufacturing, Starship dev (Starbase), Starshield constellation assets. Growing 5%/yr with Starship infrastructure buildout.</t>
        </r>
      </text>
    </comment>
    <comment ref="U164" authorId="0" shapeId="0" xr:uid="{16E13AB1-64D5-449C-9BCE-526CF0C07F0B}">
      <text>
        <r>
          <rPr>
            <b/>
            <sz val="9"/>
            <color indexed="81"/>
            <rFont val="Tahoma"/>
            <charset val="1"/>
          </rPr>
          <t>FY2025A calibration: $757M actual − $44M vehicle (Space-allocated) − $200M Dragon = $513M. Covers launch pads, Hawthorne/McGregor manufacturing, Starship dev (Starbase), Starshield constellation assets. Growing 5%/yr with Starship infrastructure buildout.</t>
        </r>
      </text>
    </comment>
    <comment ref="V164" authorId="0" shapeId="0" xr:uid="{3FCF0DCC-D71B-4D35-8F8C-8A83ACB8D4E2}">
      <text>
        <r>
          <rPr>
            <b/>
            <sz val="9"/>
            <color indexed="81"/>
            <rFont val="Tahoma"/>
            <charset val="1"/>
          </rPr>
          <t>FY2025A calibration: $757M actual − $44M vehicle (Space-allocated) − $200M Dragon = $513M. Covers launch pads, Hawthorne/McGregor manufacturing, Starship dev (Starbase), Starshield constellation assets. Growing 5%/yr with Starship infrastructure buildout.</t>
        </r>
      </text>
    </comment>
    <comment ref="W164" authorId="0" shapeId="0" xr:uid="{54EC5213-331D-46BF-8C4E-784A1A929F7E}">
      <text>
        <r>
          <rPr>
            <b/>
            <sz val="9"/>
            <color indexed="81"/>
            <rFont val="Tahoma"/>
            <charset val="1"/>
          </rPr>
          <t>FY2025A calibration: $757M actual − $44M vehicle (Space-allocated) − $200M Dragon = $513M. Covers launch pads, Hawthorne/McGregor manufacturing, Starship dev (Starbase), Starshield constellation assets. Growing 5%/yr with Starship infrastructure buildout.</t>
        </r>
      </text>
    </comment>
    <comment ref="X164" authorId="0" shapeId="0" xr:uid="{04BC1A78-9D67-49F0-BD91-F3B089A3B272}">
      <text>
        <r>
          <rPr>
            <b/>
            <sz val="9"/>
            <color indexed="81"/>
            <rFont val="Tahoma"/>
            <charset val="1"/>
          </rPr>
          <t>FY2025A calibration: $757M actual − $44M vehicle (Space-allocated) − $200M Dragon = $513M. Covers launch pads, Hawthorne/McGregor manufacturing, Starship dev (Starbase), Starshield constellation assets. Growing 5%/yr with Starship infrastructure buildout.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Rifat Tahmid</author>
  </authors>
  <commentList>
    <comment ref="E9" authorId="0" shapeId="0" xr:uid="{A1A66606-DD0E-4EF2-8AAF-BB735A5FCD9E}">
      <text>
        <r>
          <rPr>
            <b/>
            <sz val="9"/>
            <color indexed="81"/>
            <rFont val="Tahoma"/>
            <charset val="1"/>
          </rPr>
          <t>Rifat Tahmid:</t>
        </r>
        <r>
          <rPr>
            <sz val="9"/>
            <color indexed="81"/>
            <rFont val="Tahoma"/>
            <charset val="1"/>
          </rPr>
          <t xml:space="preserve">
Source: SpaceX S-1, SEC EDGAR, Filed May 20 2026
Bear rev growth anchored to FY2025A AI: +22.2% YoY ($2,620M→$3,201M)
Page: F-58 (Note 19 — Segments, YE Dec 31 2025)
https://www.sec.gov/Archives/edgar/data/1181412/000162828026036936/spaceexplorationtechnologi.htm</t>
        </r>
      </text>
    </comment>
    <comment ref="E10" authorId="0" shapeId="0" xr:uid="{006AFCE0-E0DA-4B3A-A368-C8F33C7D8AC1}">
      <text>
        <r>
          <rPr>
            <b/>
            <sz val="9"/>
            <color indexed="81"/>
            <rFont val="Tahoma"/>
            <charset val="1"/>
          </rPr>
          <t>Rifat Tahmid:</t>
        </r>
        <r>
          <rPr>
            <sz val="9"/>
            <color indexed="81"/>
            <rFont val="Tahoma"/>
            <charset val="1"/>
          </rPr>
          <t xml:space="preserve">
Source: SpaceX S-1, SEC EDGAR, Filed May 20 2026
EBITDA margin anchored to FY2025A: -38.6% — heavy R&amp;D/compute investment
Page: F-58 (Note 19 — Segments, YE Dec 31 2025)
https://www.sec.gov/Archives/edgar/data/1181412/000162828026036936/spaceexplorationtechnologi.htm</t>
        </r>
      </text>
    </comment>
    <comment ref="E11" authorId="0" shapeId="0" xr:uid="{1D767160-B2FD-4FB8-B797-B137EFB47ABD}">
      <text>
        <r>
          <rPr>
            <b/>
            <sz val="9"/>
            <color indexed="81"/>
            <rFont val="Tahoma"/>
            <charset val="1"/>
          </rPr>
          <t xml:space="preserve">Rifat Tahmid:
</t>
        </r>
        <r>
          <rPr>
            <sz val="9"/>
            <color indexed="81"/>
            <rFont val="Tahoma"/>
            <family val="2"/>
          </rPr>
          <t>Bear Scenario — D&amp;A % of Revenue
FY2025A D&amp;A %: 111.5% ($3,568M / $3,201M)
Bear set ~10pts higher than Base — lower revenue absorbs less capex
Hyperscaler D&amp;A ~20%/yr depreciation rate (IEEE ComSoc, Dec 2025)
Source: SpaceX S-1, Page F-58 (Note 19 — Segments)
https://www.sec.gov/Archives/edgar/data/1181412/000162828026036936/spaceexplorationtechnologi.htm</t>
        </r>
      </text>
    </comment>
    <comment ref="E12" authorId="0" shapeId="0" xr:uid="{186F8A79-260A-42D5-9F3E-929F92138DC1}">
      <text>
        <r>
          <rPr>
            <b/>
            <sz val="9"/>
            <color indexed="81"/>
            <rFont val="Tahoma"/>
            <charset val="1"/>
          </rPr>
          <t>Rifat Tahmid:</t>
        </r>
        <r>
          <rPr>
            <sz val="9"/>
            <color indexed="81"/>
            <rFont val="Tahoma"/>
            <charset val="1"/>
          </rPr>
          <t xml:space="preserve">
Source: SpaceX S-1, SEC EDGAR, Filed May 20 2026
Capex % anchored to FY2025A: $12,727M / $3,201M = 397.6%
Page: F-58 (Note 19 — Segments, supplemental, YE Dec 31 2025)
https://www.sec.gov/Archives/edgar/data/1181412/000162828026036936/spaceexplorationtechnologi.htm</t>
        </r>
      </text>
    </comment>
    <comment ref="E20" authorId="0" shapeId="0" xr:uid="{E5A4F199-5E43-4BBB-B2CC-073B52807BFF}">
      <text>
        <r>
          <rPr>
            <b/>
            <sz val="9"/>
            <color indexed="81"/>
            <rFont val="Tahoma"/>
            <charset val="1"/>
          </rPr>
          <t xml:space="preserve">Rifat Tahmid:
</t>
        </r>
        <r>
          <rPr>
            <sz val="9"/>
            <color indexed="81"/>
            <rFont val="Tahoma"/>
            <family val="2"/>
          </rPr>
          <t>Base Scenario — D&amp;A % of Revenue
FY2025A D&amp;A %: 111.5% ($3,568M / $3,201M)
Declining path reflects revenue scaling faster than fixed depreciation
Base terminal D&amp;A %: 15% of Revenue
Source: SpaceX S-1, Page F-58 (Note 19 — Segments)
https://www.sec.gov/Archives/edgar/data/1181412/000162828026036936/spaceexplorationtechnologi.htm</t>
        </r>
      </text>
    </comment>
    <comment ref="E29" authorId="0" shapeId="0" xr:uid="{20066544-0853-44B3-873A-C655F39C25C8}">
      <text>
        <r>
          <rPr>
            <b/>
            <sz val="9"/>
            <color indexed="81"/>
            <rFont val="Tahoma"/>
            <charset val="1"/>
          </rPr>
          <t xml:space="preserve">Rifat Tahmid:
</t>
        </r>
        <r>
          <rPr>
            <sz val="9"/>
            <color indexed="81"/>
            <rFont val="Tahoma"/>
            <family val="2"/>
          </rPr>
          <t>Bull Scenario — D&amp;A % of Revenue
Bull D&amp;A % set ~10pts lower than Base near-term
Higher revenue growth absorbs depreciation more efficiently
Terminal D&amp;A %: ~10% vs 15% Base
Industry ref: Google Cloud D&amp;A +41% YoY but revenue +48% (DCD, Feb 2026)
https://www.datacenterdynamics.com/en/news/google-raises-2025-capex-estimate-again-to-91-93bn-significant-increase-in-data-center-spend-for-2026/</t>
        </r>
      </text>
    </comment>
    <comment ref="B43" authorId="0" shapeId="0" xr:uid="{E8D8CDFE-4A98-46FE-BC55-14E253CC382F}">
      <text>
        <r>
          <rPr>
            <b/>
            <sz val="9"/>
            <color indexed="81"/>
            <rFont val="Tahoma"/>
            <family val="2"/>
          </rPr>
          <t>Rifat Tahmid:</t>
        </r>
        <r>
          <rPr>
            <sz val="9"/>
            <color indexed="81"/>
            <rFont val="Tahoma"/>
            <family val="2"/>
          </rPr>
          <t xml:space="preserve">
Time-averaged WACC across the 20-year forecast. Used as the center of sensitivity tables so the grid brackets the primary time-varying DCF result. See WACC sheet for static (mature-state) WACC.</t>
        </r>
      </text>
    </comment>
    <comment ref="B46" authorId="0" shapeId="0" xr:uid="{1125C9AF-3421-4C86-801B-4480CA1333A1}">
      <text>
        <r>
          <rPr>
            <b/>
            <sz val="9"/>
            <color indexed="81"/>
            <rFont val="Tahoma"/>
            <charset val="1"/>
          </rPr>
          <t>Rifat Tahmid:</t>
        </r>
        <r>
          <rPr>
            <sz val="9"/>
            <color indexed="81"/>
            <rFont val="Tahoma"/>
            <charset val="1"/>
          </rPr>
          <t xml:space="preserve">
Source: SpaceX S-1, SEC EDGAR, Filed May 20 2026
AI Revenue FY2023A: $2,961M (Advertising $2,323M + AI Solutions $638M)
Page: F-59 (Note 19 — Segments, YE Dec 31 2023)
https://www.sec.gov/Archives/edgar/data/1181412/000162828026036936/spaceexplorationtechnologi.htm</t>
        </r>
      </text>
    </comment>
    <comment ref="C46" authorId="0" shapeId="0" xr:uid="{B8F68533-8D0E-42FE-9044-13861077F80E}">
      <text>
        <r>
          <rPr>
            <b/>
            <sz val="9"/>
            <color indexed="81"/>
            <rFont val="Tahoma"/>
            <charset val="1"/>
          </rPr>
          <t>Rifat Tahmid:</t>
        </r>
        <r>
          <rPr>
            <sz val="9"/>
            <color indexed="81"/>
            <rFont val="Tahoma"/>
            <charset val="1"/>
          </rPr>
          <t xml:space="preserve">
Source: SpaceX S-1, SEC EDGAR, Filed May 20 2026
AI Revenue FY2024A: $2,620M (Advertising $1,728M + AI Solutions $892M)
Page: F-58 (Note 19 — Segments, YE Dec 31 2024)
https://www.sec.gov/Archives/edgar/data/1181412/000162828026036936/spaceexplorationtechnologi.htm</t>
        </r>
      </text>
    </comment>
    <comment ref="D46" authorId="0" shapeId="0" xr:uid="{BB93394E-54E8-4C46-823B-946100BD25A6}">
      <text>
        <r>
          <rPr>
            <b/>
            <sz val="9"/>
            <color indexed="81"/>
            <rFont val="Tahoma"/>
            <charset val="1"/>
          </rPr>
          <t>Rifat Tahmid:</t>
        </r>
        <r>
          <rPr>
            <sz val="9"/>
            <color indexed="81"/>
            <rFont val="Tahoma"/>
            <charset val="1"/>
          </rPr>
          <t xml:space="preserve">
Source: SpaceX S-1, SEC EDGAR, Filed May 20 2026
AI Revenue FY2025A: $3,201M (Advertising $1,844M + AI Solutions $1,357M)
Page: F-58 (Note 19 — Segments, YE Dec 31 2025)
https://www.sec.gov/Archives/edgar/data/1181412/000162828026036936/spaceexplorationtechnologi.htm</t>
        </r>
      </text>
    </comment>
    <comment ref="B48" authorId="0" shapeId="0" xr:uid="{168AE469-D327-49DC-8EAC-BB543443AA2E}">
      <text>
        <r>
          <rPr>
            <b/>
            <sz val="9"/>
            <color indexed="81"/>
            <rFont val="Tahoma"/>
            <charset val="1"/>
          </rPr>
          <t>Rifat Tahmid:
Source: S-1 AI Segment Adjusted EBITDA FY2023 = $1,222M.
https://www.sec.gov/Archives/edgar/data/1181412/000162828026036936/spaceexplorationtechnologi.htm</t>
        </r>
      </text>
    </comment>
    <comment ref="C48" authorId="0" shapeId="0" xr:uid="{4BED4CC3-388C-4DB4-A01F-001CC3D04427}">
      <text>
        <r>
          <rPr>
            <b/>
            <sz val="9"/>
            <color indexed="81"/>
            <rFont val="Tahoma"/>
            <charset val="1"/>
          </rPr>
          <t>Rifat Tahmid:
Source: S-1 AI Segment Adjusted EBITDA FY2024 = $347M.
https://www.sec.gov/Archives/edgar/data/1181412/000162828026036936/spaceexplorationtechnologi.htm</t>
        </r>
      </text>
    </comment>
    <comment ref="D48" authorId="0" shapeId="0" xr:uid="{44353D79-F0E9-4942-A1D0-6D021648D603}">
      <text>
        <r>
          <rPr>
            <b/>
            <sz val="9"/>
            <color indexed="81"/>
            <rFont val="Tahoma"/>
            <charset val="1"/>
          </rPr>
          <t>Rifat Tahmid:</t>
        </r>
        <r>
          <rPr>
            <sz val="9"/>
            <color indexed="81"/>
            <rFont val="Tahoma"/>
            <charset val="1"/>
          </rPr>
          <t xml:space="preserve">
Source: SpaceX S-1, SEC EDGAR, Filed May 20 2026
AI Adj EBITDA FY2025A: $(1,237)M — xAI compute investment phase
Page: F-58 (Note 19 — Segments, YE Dec 31 2025)
https://www.sec.gov/Archives/edgar/data/1181412/000162828026036936/spaceexplorationtechnologi.htm</t>
        </r>
      </text>
    </comment>
    <comment ref="A50" authorId="0" shapeId="0" xr:uid="{E118E65D-2DD3-47AE-8771-AD8049AB7B14}">
      <text>
        <r>
          <rPr>
            <b/>
            <sz val="9"/>
            <color indexed="81"/>
            <rFont val="Tahoma"/>
            <charset val="1"/>
          </rPr>
          <t>D&amp;A assumption: AI/compute infrastructure (GPU clusters, networking equipment, data center fit-out) typically has 3-5 year useful lives. Depreciation driven by rapid hardware refresh cycles as next-gen accelerators replace prior generation.</t>
        </r>
      </text>
    </comment>
    <comment ref="B50" authorId="0" shapeId="0" xr:uid="{44392455-C24C-4A7D-A066-7060C736B681}">
      <text>
        <r>
          <rPr>
            <b/>
            <sz val="9"/>
            <color indexed="81"/>
            <rFont val="Tahoma"/>
            <charset val="1"/>
          </rPr>
          <t>Rifat Tahmid:</t>
        </r>
        <r>
          <rPr>
            <sz val="9"/>
            <color indexed="81"/>
            <rFont val="Tahoma"/>
            <charset val="1"/>
          </rPr>
          <t xml:space="preserve">
Source: SpaceX S-1, SEC EDGAR, Filed May 20 2026
AI D&amp;A FY2023A: $1,180M
Page: F-59 (Note 19 — Segments, supplemental, YE Dec 31 2023)
https://www.sec.gov/Archives/edgar/data/1181412/000162828026036936/spaceexplorationtechnologi.htm</t>
        </r>
      </text>
    </comment>
    <comment ref="C50" authorId="0" shapeId="0" xr:uid="{9D1195FA-E8EF-4007-BEC5-1F7A6F3459BA}">
      <text>
        <r>
          <rPr>
            <b/>
            <sz val="9"/>
            <color indexed="81"/>
            <rFont val="Tahoma"/>
            <charset val="1"/>
          </rPr>
          <t>Rifat Tahmid:</t>
        </r>
        <r>
          <rPr>
            <sz val="9"/>
            <color indexed="81"/>
            <rFont val="Tahoma"/>
            <charset val="1"/>
          </rPr>
          <t xml:space="preserve">
Source: SpaceX S-1, SEC EDGAR, Filed May 20 2026
AI D&amp;A FY2024A: $1,679M
Page: F-58 (Note 19 — Segments, supplemental, YE Dec 31 2024)
https://www.sec.gov/Archives/edgar/data/1181412/000162828026036936/spaceexplorationtechnologi.htm</t>
        </r>
      </text>
    </comment>
    <comment ref="D50" authorId="0" shapeId="0" xr:uid="{28A42760-275E-4138-AB7E-1EA921BE8158}">
      <text>
        <r>
          <rPr>
            <b/>
            <sz val="9"/>
            <color indexed="81"/>
            <rFont val="Tahoma"/>
            <charset val="1"/>
          </rPr>
          <t>Rifat Tahmid:</t>
        </r>
        <r>
          <rPr>
            <sz val="9"/>
            <color indexed="81"/>
            <rFont val="Tahoma"/>
            <charset val="1"/>
          </rPr>
          <t xml:space="preserve">
Source: SpaceX S-1, SEC EDGAR, Filed May 20 2026
AI D&amp;A FY2025A: $3,568M (xAI GPU cluster accelerated depreciation)
Page: F-58 (Note 19 — Segments, supplemental, YE Dec 31 2025)
https://www.sec.gov/Archives/edgar/data/1181412/000162828026036936/spaceexplorationtechnologi.htm</t>
        </r>
      </text>
    </comment>
    <comment ref="B53" authorId="0" shapeId="0" xr:uid="{4C649D8F-1CFC-40FA-B193-C1DA7AD972DD}">
      <text>
        <r>
          <rPr>
            <b/>
            <sz val="9"/>
            <color indexed="81"/>
            <rFont val="Tahoma"/>
            <charset val="1"/>
          </rPr>
          <t>Opening NOL = $0 for FY2023 (first model year).
S-1 Reference: Consolidated federal NOLs = $9,728M (Note 15, p.F-51). Segment allocation based on cumulative segment operating losses.
⚠ Reconciliation: Model-computed cumulative EBIT losses (FY23–FY25) = $6,137M (E53), vs. S-1 disclosed segment losses of $8,339M ($1,973+$1,561+$4,805). Gap arises from model D&amp;A assumptions vs. S-1 reported figures. Model uses its own EBIT build as NOL basis.
Source: SpaceX S-1, SEC EDGAR
https://www.sec.gov/Archives/edgar/data/1181412/000162828026036936/spaceexplorationtechnologi.htm</t>
        </r>
      </text>
    </comment>
    <comment ref="A54" authorId="0" shapeId="0" xr:uid="{1B73C76D-00F7-4337-A4DF-01F7A7790386}">
      <text>
        <r>
          <rPr>
            <b/>
            <sz val="9"/>
            <color indexed="81"/>
            <rFont val="Tahoma"/>
            <charset val="1"/>
          </rPr>
          <t>Rifat Tahmid:</t>
        </r>
        <r>
          <rPr>
            <sz val="9"/>
            <color indexed="81"/>
            <rFont val="Tahoma"/>
            <charset val="1"/>
          </rPr>
          <t xml:space="preserve">
IRC §172(a)(2) as amended by TCJA:
Post-2017 federal NOLs may offset up to 80% of taxable income per year.
Formula: =MIN(Opening_NOL, MAX(EBIT,0) × 80%)
AI is currently loss-making → Utilization = $0, NOL continues to accumulate.
When AI turns EBIT-positive, accumulated NOL will shield ~80% of taxable income.</t>
        </r>
      </text>
    </comment>
    <comment ref="A56" authorId="0" shapeId="0" xr:uid="{7952321A-4BEF-442F-8E7A-DB4BB2028291}">
      <text>
        <r>
          <rPr>
            <b/>
            <sz val="9"/>
            <color indexed="81"/>
            <rFont val="Tahoma"/>
            <charset val="1"/>
          </rPr>
          <t>Rifat Tahmid:</t>
        </r>
        <r>
          <rPr>
            <sz val="9"/>
            <color indexed="81"/>
            <rFont val="Tahoma"/>
            <charset val="1"/>
          </rPr>
          <t xml:space="preserve">
AUDIT NOTE: Same NOL limitation as other DCFs — =MAX(EBIT,0)*21% does not carry forward NOLs. AI segment has deep losses (–$6,355M FY2025) creating significant accumulated NOLs. These would shield several years of future profits when AI turns EBIT-positive. Estimated impact: $5-10B PV. Enhancement deferred.</t>
        </r>
      </text>
    </comment>
    <comment ref="B58" authorId="0" shapeId="0" xr:uid="{73D367D2-155F-413F-86BD-C1817F1543E2}">
      <text>
        <r>
          <rPr>
            <b/>
            <sz val="9"/>
            <color indexed="81"/>
            <rFont val="Tahoma"/>
            <charset val="1"/>
          </rPr>
          <t>Rifat Tahmid:</t>
        </r>
        <r>
          <rPr>
            <sz val="9"/>
            <color indexed="81"/>
            <rFont val="Tahoma"/>
            <charset val="1"/>
          </rPr>
          <t xml:space="preserve">
SpaceX S-1 | Filed May 20, 2026
AI Segment D&amp;A FY2023: $1,180M
Note 19 — Segments, Supplemental Info
Page F-59
https://www.sec.gov/Archives/edgar/data/1181412/000162828026036936/spaceexplorationtechnologi.htm</t>
        </r>
      </text>
    </comment>
    <comment ref="C58" authorId="0" shapeId="0" xr:uid="{8E436368-59F0-4933-9182-C16F5F0B3764}">
      <text>
        <r>
          <rPr>
            <b/>
            <sz val="9"/>
            <color indexed="81"/>
            <rFont val="Tahoma"/>
            <charset val="1"/>
          </rPr>
          <t>Rifat Tahmid:</t>
        </r>
        <r>
          <rPr>
            <sz val="9"/>
            <color indexed="81"/>
            <rFont val="Tahoma"/>
            <charset val="1"/>
          </rPr>
          <t xml:space="preserve">
SpaceX S-1 | Filed May 20, 2026
AI Segment D&amp;A FY2024: $1,679M
Note 19 — Segments, Supplemental Info
Pages F-58 to F-59
https://www.sec.gov/Archives/edgar/data/1181412/000162828026036936/spaceexplorationtechnologi.htm</t>
        </r>
      </text>
    </comment>
    <comment ref="D58" authorId="0" shapeId="0" xr:uid="{19755EE0-BBB2-4020-A7CE-57C663FAF763}">
      <text>
        <r>
          <rPr>
            <b/>
            <sz val="9"/>
            <color indexed="81"/>
            <rFont val="Tahoma"/>
            <charset val="1"/>
          </rPr>
          <t>Rifat Tahmid:</t>
        </r>
        <r>
          <rPr>
            <sz val="9"/>
            <color indexed="81"/>
            <rFont val="Tahoma"/>
            <charset val="1"/>
          </rPr>
          <t xml:space="preserve">
SpaceX S-1 | Filed May 20, 2026
AI Segment D&amp;A FY2025: $3,568M
Note 19 — Segments, Supplemental Info
Page F-58
https://www.sec.gov/Archives/edgar/data/1181412/000162828026036936/spaceexplorationtechnologi.htm</t>
        </r>
      </text>
    </comment>
    <comment ref="B59" authorId="0" shapeId="0" xr:uid="{5E2C36CA-7103-4EFE-9CD5-2623C98DBA4B}">
      <text>
        <r>
          <rPr>
            <b/>
            <sz val="9"/>
            <color indexed="81"/>
            <rFont val="Tahoma"/>
            <charset val="1"/>
          </rPr>
          <t>Rifat Tahmid:</t>
        </r>
        <r>
          <rPr>
            <sz val="9"/>
            <color indexed="81"/>
            <rFont val="Tahoma"/>
            <charset val="1"/>
          </rPr>
          <t xml:space="preserve">
Source: SpaceX S-1, SEC EDGAR, Filed May 20 2026
AI Capex FY2023A: $463M
Page: F-59 (Note 19 — Segments, supplemental, YE Dec 31 2023)
https://www.sec.gov/Archives/edgar/data/1181412/000162828026036936/spaceexplorationtechnologi.htm</t>
        </r>
      </text>
    </comment>
    <comment ref="C59" authorId="0" shapeId="0" xr:uid="{61D3B2F0-EC84-4BBE-8117-CC65A7A2148F}">
      <text>
        <r>
          <rPr>
            <b/>
            <sz val="9"/>
            <color indexed="81"/>
            <rFont val="Tahoma"/>
            <charset val="1"/>
          </rPr>
          <t>Rifat Tahmid:</t>
        </r>
        <r>
          <rPr>
            <sz val="9"/>
            <color indexed="81"/>
            <rFont val="Tahoma"/>
            <charset val="1"/>
          </rPr>
          <t xml:space="preserve">
Source: SpaceX S-1, SEC EDGAR, Filed May 20 2026
AI Capex FY2024A: $5,633M
Page: F-58 (Note 19 — Segments, supplemental, YE Dec 31 2024)
https://www.sec.gov/Archives/edgar/data/1181412/000162828026036936/spaceexplorationtechnologi.htm</t>
        </r>
      </text>
    </comment>
    <comment ref="D59" authorId="0" shapeId="0" xr:uid="{6EE91832-D67B-4224-ACC8-BA083E356CB6}">
      <text>
        <r>
          <rPr>
            <b/>
            <sz val="9"/>
            <color indexed="81"/>
            <rFont val="Tahoma"/>
            <charset val="1"/>
          </rPr>
          <t>Rifat Tahmid:</t>
        </r>
        <r>
          <rPr>
            <sz val="9"/>
            <color indexed="81"/>
            <rFont val="Tahoma"/>
            <charset val="1"/>
          </rPr>
          <t xml:space="preserve">
Source: SpaceX S-1, SEC EDGAR, Filed May 20 2026
AI Capex FY2025A: $12,727M (xAI data centers; GPU clusters for Grok training)
Page: F-58 (Note 19 — Segments, supplemental, YE Dec 31 2025)
https://www.sec.gov/Archives/edgar/data/1181412/000162828026036936/spaceexplorationtechnologi.htm</t>
        </r>
      </text>
    </comment>
    <comment ref="B60" authorId="0" shapeId="0" xr:uid="{FB3DE81B-A2E8-4AEF-B461-0334092C9B21}">
      <text>
        <r>
          <rPr>
            <b/>
            <sz val="9"/>
            <color indexed="81"/>
            <rFont val="Tahoma"/>
            <charset val="1"/>
          </rPr>
          <t>Rifat Tahmid:</t>
        </r>
        <r>
          <rPr>
            <sz val="9"/>
            <color indexed="81"/>
            <rFont val="Tahoma"/>
            <charset val="1"/>
          </rPr>
          <t xml:space="preserve">
SpaceX S-1 | Filed May 20, 2026
AI Segment Capex FY2023: $463M
Note 19 — Segments, Supplemental Info
Page F-59
https://www.sec.gov/Archives/edgar/data/1181412/000162828026036936/spaceexplorationtechnologi.htm</t>
        </r>
      </text>
    </comment>
    <comment ref="C60" authorId="0" shapeId="0" xr:uid="{A4D9DCCD-DF64-4E4C-A6C3-42C7C31DE1DC}">
      <text>
        <r>
          <rPr>
            <b/>
            <sz val="9"/>
            <color indexed="81"/>
            <rFont val="Tahoma"/>
            <charset val="1"/>
          </rPr>
          <t>Rifat Tahmid:</t>
        </r>
        <r>
          <rPr>
            <sz val="9"/>
            <color indexed="81"/>
            <rFont val="Tahoma"/>
            <charset val="1"/>
          </rPr>
          <t xml:space="preserve">
SpaceX S-1 | Filed May 20, 2026
AI Segment Capex FY2024: $5,633M
Note 19 — Segments, Supplemental Info
Pages F-58 to F-59
https://www.sec.gov/Archives/edgar/data/1181412/000162828026036936/spaceexplorationtechnologi.htm</t>
        </r>
      </text>
    </comment>
    <comment ref="D60" authorId="0" shapeId="0" xr:uid="{5BC25138-F65A-4709-A181-49C06266C1A4}">
      <text>
        <r>
          <rPr>
            <b/>
            <sz val="9"/>
            <color indexed="81"/>
            <rFont val="Tahoma"/>
            <charset val="1"/>
          </rPr>
          <t>Rifat Tahmid:</t>
        </r>
        <r>
          <rPr>
            <sz val="9"/>
            <color indexed="81"/>
            <rFont val="Tahoma"/>
            <charset val="1"/>
          </rPr>
          <t xml:space="preserve">
SpaceX S-1 | Filed May 20, 2026
AI Segment Capex FY2025: $12,727M
Note 19 — Segments, Supplemental Info
Page F-58
https://www.sec.gov/Archives/edgar/data/1181412/000162828026036936/spaceexplorationtechnologi.htm</t>
        </r>
      </text>
    </comment>
    <comment ref="E61" authorId="0" shapeId="0" xr:uid="{762E6817-BBB3-4764-BEAB-559A40D5C801}">
      <text>
        <r>
          <rPr>
            <b/>
            <sz val="9"/>
            <color indexed="81"/>
            <rFont val="Tahoma"/>
            <family val="2"/>
          </rPr>
          <t>UFCF = NOPAT + D&amp;A - Capex - ΔNWC - After-Tax SBC.
SBC deduction = Revenue × SBC%(interpolated) × (1 − tax rate).
SBC is tax-deductible → net cost is after-tax.
Tax rate from WACC!B8 (21%).</t>
        </r>
      </text>
    </comment>
    <comment ref="F61" authorId="0" shapeId="0" xr:uid="{15289FBE-34B5-411D-8C80-C255D83FC88A}">
      <text>
        <r>
          <rPr>
            <b/>
            <sz val="9"/>
            <color indexed="81"/>
            <rFont val="Tahoma"/>
            <family val="2"/>
          </rPr>
          <t>UFCF = NOPAT + D&amp;A - Capex - ΔNWC - After-Tax SBC.
SBC deduction = Revenue × SBC%(interpolated) × (1 − tax rate).
SBC is tax-deductible → net cost is after-tax.
Tax rate from WACC!B8 (21%).</t>
        </r>
      </text>
    </comment>
    <comment ref="G61" authorId="0" shapeId="0" xr:uid="{2D01D6D7-8425-45A0-A7EB-867BE8AFE404}">
      <text>
        <r>
          <rPr>
            <b/>
            <sz val="9"/>
            <color indexed="81"/>
            <rFont val="Tahoma"/>
            <family val="2"/>
          </rPr>
          <t>UFCF = NOPAT + D&amp;A - Capex - ΔNWC - After-Tax SBC.
SBC deduction = Revenue × SBC%(interpolated) × (1 − tax rate).
SBC is tax-deductible → net cost is after-tax.
Tax rate from WACC!B8 (21%).</t>
        </r>
      </text>
    </comment>
    <comment ref="H61" authorId="0" shapeId="0" xr:uid="{A775AA60-D0FE-4D7F-BA0F-93E0270FA775}">
      <text>
        <r>
          <rPr>
            <b/>
            <sz val="9"/>
            <color indexed="81"/>
            <rFont val="Tahoma"/>
            <family val="2"/>
          </rPr>
          <t>UFCF = NOPAT + D&amp;A - Capex - ΔNWC - After-Tax SBC.
SBC deduction = Revenue × SBC%(interpolated) × (1 − tax rate).
SBC is tax-deductible → net cost is after-tax.
Tax rate from WACC!B8 (21%).</t>
        </r>
      </text>
    </comment>
    <comment ref="I61" authorId="0" shapeId="0" xr:uid="{E378B302-537D-4DD4-9FAC-C37B130197CC}">
      <text>
        <r>
          <rPr>
            <b/>
            <sz val="9"/>
            <color indexed="81"/>
            <rFont val="Tahoma"/>
            <family val="2"/>
          </rPr>
          <t>UFCF = NOPAT + D&amp;A - Capex - ΔNWC - After-Tax SBC.
SBC deduction = Revenue × SBC%(interpolated) × (1 − tax rate).
SBC is tax-deductible → net cost is after-tax.
Tax rate from WACC!B8 (21%).</t>
        </r>
      </text>
    </comment>
    <comment ref="J61" authorId="0" shapeId="0" xr:uid="{335B7F13-2B47-4ACE-9E24-56DF6ABE401B}">
      <text>
        <r>
          <rPr>
            <b/>
            <sz val="9"/>
            <color indexed="81"/>
            <rFont val="Tahoma"/>
            <family val="2"/>
          </rPr>
          <t>UFCF = NOPAT + D&amp;A - Capex - ΔNWC - After-Tax SBC.
SBC deduction = Revenue × SBC%(interpolated) × (1 − tax rate).
SBC is tax-deductible → net cost is after-tax.
Tax rate from WACC!B8 (21%).</t>
        </r>
      </text>
    </comment>
    <comment ref="K61" authorId="0" shapeId="0" xr:uid="{186E8C34-DDFC-44BD-8EF9-6850C2883AB3}">
      <text>
        <r>
          <rPr>
            <b/>
            <sz val="9"/>
            <color indexed="81"/>
            <rFont val="Tahoma"/>
            <family val="2"/>
          </rPr>
          <t>UFCF = NOPAT + D&amp;A - Capex - ΔNWC - After-Tax SBC.
SBC deduction = Revenue × SBC%(interpolated) × (1 − tax rate).
SBC is tax-deductible → net cost is after-tax.
Tax rate from WACC!B8 (21%).</t>
        </r>
      </text>
    </comment>
    <comment ref="L61" authorId="0" shapeId="0" xr:uid="{53F65962-3DEC-4D48-8759-FB4E7678A9A5}">
      <text>
        <r>
          <rPr>
            <b/>
            <sz val="9"/>
            <color indexed="81"/>
            <rFont val="Tahoma"/>
            <family val="2"/>
          </rPr>
          <t>UFCF = NOPAT + D&amp;A - Capex - ΔNWC - After-Tax SBC.
SBC deduction = Revenue × SBC%(interpolated) × (1 − tax rate).
SBC is tax-deductible → net cost is after-tax.
Tax rate from WACC!B8 (21%).</t>
        </r>
      </text>
    </comment>
    <comment ref="M61" authorId="0" shapeId="0" xr:uid="{26B1ED8D-20D2-4A83-8C06-516CEA9217D9}">
      <text>
        <r>
          <rPr>
            <b/>
            <sz val="9"/>
            <color indexed="81"/>
            <rFont val="Tahoma"/>
            <family val="2"/>
          </rPr>
          <t>UFCF = NOPAT + D&amp;A - Capex - ΔNWC - After-Tax SBC.
SBC deduction = Revenue × SBC%(interpolated) × (1 − tax rate).
SBC is tax-deductible → net cost is after-tax.
Tax rate from WACC!B8 (21%).</t>
        </r>
      </text>
    </comment>
    <comment ref="N61" authorId="0" shapeId="0" xr:uid="{77EA433A-2CFD-4856-88D2-5176DFEFEA48}">
      <text>
        <r>
          <rPr>
            <b/>
            <sz val="9"/>
            <color indexed="81"/>
            <rFont val="Tahoma"/>
            <family val="2"/>
          </rPr>
          <t>UFCF = NOPAT + D&amp;A - Capex - ΔNWC - After-Tax SBC.
SBC deduction = Revenue × SBC%(interpolated) × (1 − tax rate).
SBC is tax-deductible → net cost is after-tax.
Tax rate from WACC!B8 (21%).</t>
        </r>
      </text>
    </comment>
    <comment ref="O61" authorId="0" shapeId="0" xr:uid="{15DC6143-FB0C-43FD-A339-D5179E018E31}">
      <text>
        <r>
          <rPr>
            <b/>
            <sz val="9"/>
            <color indexed="81"/>
            <rFont val="Tahoma"/>
            <family val="2"/>
          </rPr>
          <t>UFCF = NOPAT + D&amp;A - Capex - ΔNWC - After-Tax SBC.
SBC deduction = Revenue × SBC%(interpolated) × (1 − tax rate).
SBC is tax-deductible → net cost is after-tax.
Tax rate from WACC!B8 (21%).</t>
        </r>
      </text>
    </comment>
    <comment ref="P61" authorId="0" shapeId="0" xr:uid="{E526A8CC-2FD9-4ADF-AE1F-1F674BB48EE4}">
      <text>
        <r>
          <rPr>
            <b/>
            <sz val="9"/>
            <color indexed="81"/>
            <rFont val="Tahoma"/>
            <family val="2"/>
          </rPr>
          <t>UFCF = NOPAT + D&amp;A - Capex - ΔNWC - After-Tax SBC.
SBC deduction = Revenue × SBC%(interpolated) × (1 − tax rate).
SBC is tax-deductible → net cost is after-tax.
Tax rate from WACC!B8 (21%).</t>
        </r>
      </text>
    </comment>
    <comment ref="Q61" authorId="0" shapeId="0" xr:uid="{BA5CCFDD-8FA0-4234-BD93-83331CC7C4A8}">
      <text>
        <r>
          <rPr>
            <b/>
            <sz val="9"/>
            <color indexed="81"/>
            <rFont val="Tahoma"/>
            <family val="2"/>
          </rPr>
          <t>UFCF = NOPAT + D&amp;A - Capex - ΔNWC - After-Tax SBC.
SBC deduction = Revenue × SBC%(interpolated) × (1 − tax rate).
SBC is tax-deductible → net cost is after-tax.
Tax rate from WACC!B8 (21%).</t>
        </r>
      </text>
    </comment>
    <comment ref="R61" authorId="0" shapeId="0" xr:uid="{56F5D120-DDF1-46DA-8081-7B4CB68E99FA}">
      <text>
        <r>
          <rPr>
            <b/>
            <sz val="9"/>
            <color indexed="81"/>
            <rFont val="Tahoma"/>
            <family val="2"/>
          </rPr>
          <t>UFCF = NOPAT + D&amp;A - Capex - ΔNWC - After-Tax SBC.
SBC deduction = Revenue × SBC%(interpolated) × (1 − tax rate).
SBC is tax-deductible → net cost is after-tax.
Tax rate from WACC!B8 (21%).</t>
        </r>
      </text>
    </comment>
    <comment ref="S61" authorId="0" shapeId="0" xr:uid="{D5C0A3A2-BE1F-4E0D-9CB9-EFDA8F6CEA54}">
      <text>
        <r>
          <rPr>
            <b/>
            <sz val="9"/>
            <color indexed="81"/>
            <rFont val="Tahoma"/>
            <family val="2"/>
          </rPr>
          <t>UFCF = NOPAT + D&amp;A - Capex - ΔNWC - After-Tax SBC.
SBC deduction = Revenue × SBC%(interpolated) × (1 − tax rate).
SBC is tax-deductible → net cost is after-tax.
Tax rate from WACC!B8 (21%).</t>
        </r>
      </text>
    </comment>
    <comment ref="T61" authorId="0" shapeId="0" xr:uid="{C0AD56D0-1891-4F36-A210-208C14475299}">
      <text>
        <r>
          <rPr>
            <b/>
            <sz val="9"/>
            <color indexed="81"/>
            <rFont val="Tahoma"/>
            <family val="2"/>
          </rPr>
          <t>UFCF = NOPAT + D&amp;A - Capex - ΔNWC - After-Tax SBC.
SBC deduction = Revenue × SBC%(interpolated) × (1 − tax rate).
SBC is tax-deductible → net cost is after-tax.
Tax rate from WACC!B8 (21%).</t>
        </r>
      </text>
    </comment>
    <comment ref="U61" authorId="0" shapeId="0" xr:uid="{D50CD712-3370-4062-9D4D-E6BD46AAC302}">
      <text>
        <r>
          <rPr>
            <b/>
            <sz val="9"/>
            <color indexed="81"/>
            <rFont val="Tahoma"/>
            <family val="2"/>
          </rPr>
          <t>UFCF = NOPAT + D&amp;A - Capex - ΔNWC - After-Tax SBC.
SBC deduction = Revenue × SBC%(interpolated) × (1 − tax rate).
SBC is tax-deductible → net cost is after-tax.
Tax rate from WACC!B8 (21%).</t>
        </r>
      </text>
    </comment>
    <comment ref="V61" authorId="0" shapeId="0" xr:uid="{E4E2D708-8F47-42ED-8678-60687C6ED845}">
      <text>
        <r>
          <rPr>
            <b/>
            <sz val="9"/>
            <color indexed="81"/>
            <rFont val="Tahoma"/>
            <family val="2"/>
          </rPr>
          <t>UFCF = NOPAT + D&amp;A - Capex - ΔNWC - After-Tax SBC.
SBC deduction = Revenue × SBC%(interpolated) × (1 − tax rate).
SBC is tax-deductible → net cost is after-tax.
Tax rate from WACC!B8 (21%).</t>
        </r>
      </text>
    </comment>
    <comment ref="W61" authorId="0" shapeId="0" xr:uid="{BF9B6C0B-1A16-46AB-952C-8D4C8568A127}">
      <text>
        <r>
          <rPr>
            <b/>
            <sz val="9"/>
            <color indexed="81"/>
            <rFont val="Tahoma"/>
            <family val="2"/>
          </rPr>
          <t>UFCF = NOPAT + D&amp;A - Capex - ΔNWC - After-Tax SBC.
SBC deduction = Revenue × SBC%(interpolated) × (1 − tax rate).
SBC is tax-deductible → net cost is after-tax.
Tax rate from WACC!B8 (21%).</t>
        </r>
      </text>
    </comment>
    <comment ref="X61" authorId="0" shapeId="0" xr:uid="{A4C848EB-5ED8-4B3C-B4DC-37D8935FB7FE}">
      <text>
        <r>
          <rPr>
            <b/>
            <sz val="9"/>
            <color indexed="81"/>
            <rFont val="Tahoma"/>
            <family val="2"/>
          </rPr>
          <t>UFCF = NOPAT + D&amp;A - Capex - ΔNWC - After-Tax SBC.
SBC deduction = Revenue × SBC%(interpolated) × (1 − tax rate).
SBC is tax-deductible → net cost is after-tax.
Tax rate from WACC!B8 (21%).</t>
        </r>
      </text>
    </comment>
    <comment ref="A63" authorId="0" shapeId="0" xr:uid="{BEDE2276-0D40-43AB-BE65-8963DC096521}">
      <text>
        <r>
          <rPr>
            <b/>
            <sz val="9"/>
            <color indexed="81"/>
            <rFont val="Tahoma"/>
            <family val="2"/>
          </rPr>
          <t>Stock-Based Compensation as % of revenue, declining linearly from B66 (start, 8.0%) to C66 (end, 2.0%) over 20 years.
Starting rate benchmarked to high-growth AI/tech peers (Meta ~10%, Google ~9%, Palantir ~20%). SpaceX AI (xAI/Grok) is competing for scarce ML talent.
Declines toward mature tech levels (~2-3%) as AI segment scales and SBC per-unit normalizes.</t>
        </r>
      </text>
    </comment>
    <comment ref="B68" authorId="0" shapeId="0" xr:uid="{C04322FB-73E2-40D2-9EF8-E9039D78EEA8}">
      <text>
        <r>
          <rPr>
            <b/>
            <sz val="9"/>
            <color indexed="81"/>
            <rFont val="Tahoma"/>
            <charset val="1"/>
          </rPr>
          <t>Rifat Tahmid:</t>
        </r>
        <r>
          <rPr>
            <sz val="9"/>
            <color indexed="81"/>
            <rFont val="Tahoma"/>
            <charset val="1"/>
          </rPr>
          <t xml:space="preserve">
Source: 'AI Comps'!X13 — Tier 1 GPU Neoclouds median unlevered beta (CoreWeave, Lambda)</t>
        </r>
      </text>
    </comment>
    <comment ref="B69" authorId="0" shapeId="0" xr:uid="{D3069913-6CA2-4D7B-9FD0-B97853DFFC59}">
      <text>
        <r>
          <rPr>
            <b/>
            <sz val="9"/>
            <color indexed="81"/>
            <rFont val="Tahoma"/>
            <charset val="1"/>
          </rPr>
          <t>Rifat Tahmid:</t>
        </r>
        <r>
          <rPr>
            <sz val="9"/>
            <color indexed="81"/>
            <rFont val="Tahoma"/>
            <charset val="1"/>
          </rPr>
          <t xml:space="preserve">
Source: 'AI Comps'!X30 — Tier 2 Infra Hosting median unlevered beta. Excluded from blend (weight = 0%) due to extreme small-cap volatility.</t>
        </r>
      </text>
    </comment>
    <comment ref="B70" authorId="0" shapeId="0" xr:uid="{E118596D-8381-497C-AE72-FF79939A0B7A}">
      <text>
        <r>
          <rPr>
            <b/>
            <sz val="9"/>
            <color indexed="81"/>
            <rFont val="Tahoma"/>
            <charset val="1"/>
          </rPr>
          <t>Rifat Tahmid:</t>
        </r>
        <r>
          <rPr>
            <sz val="9"/>
            <color indexed="81"/>
            <rFont val="Tahoma"/>
            <charset val="1"/>
          </rPr>
          <t xml:space="preserve">
Source: 'AI Comps'!X47 — Tier 3 Social Media median unlevered beta (Meta, Alphabet, Snap, Pinterest, Reddit)</t>
        </r>
      </text>
    </comment>
    <comment ref="B71" authorId="0" shapeId="0" xr:uid="{3D7335FC-454D-4177-A248-E3024FF7D642}">
      <text>
        <r>
          <rPr>
            <b/>
            <sz val="9"/>
            <color indexed="81"/>
            <rFont val="Tahoma"/>
            <charset val="1"/>
          </rPr>
          <t>Rifat Tahmid:</t>
        </r>
        <r>
          <rPr>
            <sz val="9"/>
            <color indexed="81"/>
            <rFont val="Tahoma"/>
            <charset val="1"/>
          </rPr>
          <t xml:space="preserve">
Bear: 70% | Base: 60% | Bull: 50%
Tier 1 (GPU Neoclouds) Year 1 weight. Higher = more pre-profit tech risk.</t>
        </r>
      </text>
    </comment>
    <comment ref="C71" authorId="0" shapeId="0" xr:uid="{C9BDEC9E-BE00-4C0E-8392-0419B39793E9}">
      <text>
        <r>
          <rPr>
            <b/>
            <sz val="9"/>
            <color indexed="81"/>
            <rFont val="Tahoma"/>
            <charset val="1"/>
          </rPr>
          <t>Rifat Tahmid:</t>
        </r>
        <r>
          <rPr>
            <sz val="9"/>
            <color indexed="81"/>
            <rFont val="Tahoma"/>
            <charset val="1"/>
          </rPr>
          <t xml:space="preserve">
Bear: 30% | Base: 20% | Bull: 15%
Tier 1 (GPU Neoclouds) Year 20 weight.</t>
        </r>
      </text>
    </comment>
    <comment ref="B72" authorId="0" shapeId="0" xr:uid="{08176071-B27D-4493-ABE9-1E2BA2A3C9A9}">
      <text>
        <r>
          <rPr>
            <b/>
            <sz val="9"/>
            <color indexed="81"/>
            <rFont val="Tahoma"/>
            <charset val="1"/>
          </rPr>
          <t>Rifat Tahmid:</t>
        </r>
        <r>
          <rPr>
            <sz val="9"/>
            <color indexed="81"/>
            <rFont val="Tahoma"/>
            <charset val="1"/>
          </rPr>
          <t xml:space="preserve">
Weight = 0% in all scenarios.
Tier 2 (Infra Hosting, β = 3.1x) excluded — extreme small-cap volatility distorts the blend. Retained for reference only.</t>
        </r>
      </text>
    </comment>
    <comment ref="C72" authorId="0" shapeId="0" xr:uid="{9D37C840-54DC-4E40-9264-17C481DC766E}">
      <text>
        <r>
          <rPr>
            <b/>
            <sz val="9"/>
            <color indexed="81"/>
            <rFont val="Tahoma"/>
            <charset val="1"/>
          </rPr>
          <t>Rifat Tahmid:</t>
        </r>
        <r>
          <rPr>
            <sz val="9"/>
            <color indexed="81"/>
            <rFont val="Tahoma"/>
            <charset val="1"/>
          </rPr>
          <t xml:space="preserve">
Weight = 0% in all scenarios. Tier 2 excluded from blend.</t>
        </r>
      </text>
    </comment>
    <comment ref="X77" authorId="0" shapeId="0" xr:uid="{EC45D3D9-FE67-4E7F-A7B4-328480FB4E37}">
      <text>
        <r>
          <rPr>
            <b/>
            <sz val="9"/>
            <color indexed="81"/>
            <rFont val="Tahoma"/>
            <charset val="1"/>
          </rPr>
          <t>Rifat Tahmid:</t>
        </r>
        <r>
          <rPr>
            <sz val="9"/>
            <color indexed="81"/>
            <rFont val="Tahoma"/>
            <charset val="1"/>
          </rPr>
          <t xml:space="preserve">
Terminal WACC: converged risk profile at Year 20, predominantly social media/platform characteristics.
Used for Gordon Growth TV and Year 20 DF.</t>
        </r>
      </text>
    </comment>
    <comment ref="B89" authorId="0" shapeId="0" xr:uid="{C74C446A-F763-4562-8806-33E08904D22A}">
      <text>
        <r>
          <rPr>
            <b/>
            <sz val="9"/>
            <color indexed="81"/>
            <rFont val="Tahoma"/>
            <charset val="1"/>
          </rPr>
          <t>Rifat Tahmid:</t>
        </r>
        <r>
          <rPr>
            <sz val="9"/>
            <color indexed="81"/>
            <rFont val="Tahoma"/>
            <charset val="1"/>
          </rPr>
          <t xml:space="preserve">
TV discounted at end-of-year (period 20). Same convention change as Conn DCF.</t>
        </r>
      </text>
    </comment>
    <comment ref="A90" authorId="0" shapeId="0" xr:uid="{464255BA-4EBE-4281-BBD5-D08489B8BE75}">
      <text>
        <r>
          <rPr>
            <b/>
            <sz val="9"/>
            <color indexed="81"/>
            <rFont val="Tahoma"/>
            <family val="2"/>
          </rPr>
          <t>Rifat Tahmid:</t>
        </r>
        <r>
          <rPr>
            <sz val="9"/>
            <color indexed="81"/>
            <rFont val="Tahoma"/>
            <family val="2"/>
          </rPr>
          <t xml:space="preserve">
Cross-check: Gordon Growth TV ($588B) ÷ Terminal Revenue ($153B) = ~3.9x EV/Revenue. This is close to the Tier 3 Social Media comp exit (3.2x), showing reasonable convergence between the two methods. The Gordon Growth method produces a modestly higher valuation because its perpetuity assumptions (Tg=3.5%, terminal WACC=12.6%) imply slightly more value than the comp multiple.</t>
        </r>
      </text>
    </comment>
    <comment ref="B93" authorId="0" shapeId="0" xr:uid="{C75583F8-6A03-4193-938C-9381620DCF15}">
      <text>
        <r>
          <rPr>
            <b/>
            <sz val="9"/>
            <color indexed="81"/>
            <rFont val="Tahoma"/>
            <family val="2"/>
          </rPr>
          <t xml:space="preserve">Rifat Tahmid:
</t>
        </r>
        <r>
          <rPr>
            <sz val="9"/>
            <color indexed="81"/>
            <rFont val="Tahoma"/>
            <family val="2"/>
          </rPr>
          <t>Exit EV/REVENUE now anchored to Tier 3 Social Media mature-stage median TEV/Revenue ('AI Comps'!J47, currently 3.2x with Meta included).
Methodology aligned with Conn and Space: each segment uses its mature-tier comp median for BOTH beta and exit multiple.
• Beta → Tier 3 Social Media (WACC sheet) — unchanged
• Exit multiple → Tier 3 Social Media (this cell) — CHANGED from Tier 2 Infra Hosting (46.6x)
Falls back to 6.0x if comp inputs are cleared.
Rationale: Terminal-year AI monetization profile resembles social media (ad/subscription revenue at scale) more than current-stage GPU neocloud infrastructure.</t>
        </r>
      </text>
    </comment>
    <comment ref="B105" authorId="0" shapeId="0" xr:uid="{CEC7E10A-4E3A-4981-8EC8-B1940EEA0A71}">
      <text>
        <r>
          <rPr>
            <b/>
            <sz val="9"/>
            <color indexed="81"/>
            <rFont val="Tahoma"/>
            <charset val="1"/>
          </rPr>
          <t>Rifat Tahmid:</t>
        </r>
        <r>
          <rPr>
            <sz val="9"/>
            <color indexed="81"/>
            <rFont val="Tahoma"/>
            <charset val="1"/>
          </rPr>
          <t xml:space="preserve">
TV % of EV exceeds 100% because the sum of explicit-period PV of FCFs is negative (–$32.3B). This is structural for a pre-profit segment — the terminal value must more than offset cumulative investment-phase losses. Not indicative of a formula error.</t>
        </r>
      </text>
    </comment>
    <comment ref="A107" authorId="0" shapeId="0" xr:uid="{AA1000DA-4E8F-47F8-9433-6966C1C1309B}">
      <text>
        <r>
          <rPr>
            <b/>
            <sz val="9"/>
            <color indexed="81"/>
            <rFont val="Tahoma"/>
            <charset val="1"/>
          </rPr>
          <t>Sensitivity tables now use the BLENDED WACC (B46 = time-average of the 20-year time-varying WACC schedule in E78:X78, ~13.6%). Previously centered on the static mature-state social-media-tier WACC (B45 = 11.6%), which understated the effective discount rate for a segment transitioning from GPU neocloud risk (β~1.9) to social media risk (β~0.9).</t>
        </r>
      </text>
    </comment>
    <comment ref="A141" authorId="0" shapeId="0" xr:uid="{D772890D-DD34-4BA9-86D4-A80BAB13B08B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FLAG: Bottom-up (capacity-based) AI revenue is ~48% below top-down by FY45 ($80B vs $153B).
This means our top-down AI growth path is more aggressive than a $/MW capacity build supports. Since AI is valued on EV/Revenue, consider moderating top-down AI growth toward the bottom-up path, OR treat the gap as upside optionality (orbital data centers / Terafab not in capacity base).
Bottom-up basis: global capacity 31GW-&gt;312GW (M&amp;I), SpaceX share 0.5%-&gt;8%, ~$2M/MW/yr, anchored to Anthropic $1.25B/mo / 500MW deal.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Rifat Tahmid</author>
  </authors>
  <commentList>
    <comment ref="B7" authorId="0" shapeId="0" xr:uid="{DD4D9375-27BE-4C97-9583-DAB953F7F0C6}">
      <text>
        <r>
          <rPr>
            <b/>
            <sz val="9"/>
            <color indexed="81"/>
            <rFont val="Tahoma"/>
            <charset val="1"/>
          </rPr>
          <t>Rifat Tahmid:</t>
        </r>
        <r>
          <rPr>
            <sz val="9"/>
            <color indexed="81"/>
            <rFont val="Tahoma"/>
            <charset val="1"/>
          </rPr>
          <t xml:space="preserve">
Source: SpaceX S-1, SEC EDGAR, Filed May 20 2026
10Y US Treasury yield (risk-free rate at filing date)
Page: N/A — market data
https://www.sec.gov/Archives/edgar/data/1181412/000162828026036936/spaceexplorationtechnologi.htm</t>
        </r>
      </text>
    </comment>
    <comment ref="B8" authorId="0" shapeId="0" xr:uid="{21DF4D98-212E-4185-923D-D87306896B9D}">
      <text>
        <r>
          <rPr>
            <b/>
            <sz val="9"/>
            <color indexed="81"/>
            <rFont val="Tahoma"/>
            <charset val="1"/>
          </rPr>
          <t>Rifat Tahmid:</t>
        </r>
        <r>
          <rPr>
            <sz val="9"/>
            <color indexed="81"/>
            <rFont val="Tahoma"/>
            <charset val="1"/>
          </rPr>
          <t xml:space="preserve">
Source: SpaceX S-1, SEC EDGAR, Filed May 20 2026
Equity Risk Premium: Damodaran implied ERP, Jan 2026
Page: N/A — market data
https://www.sec.gov/Archives/edgar/data/1181412/000162828026036936/spaceexplorationtechnologi.htm</t>
        </r>
      </text>
    </comment>
    <comment ref="B9" authorId="0" shapeId="0" xr:uid="{05B7DFD0-3F17-4801-BADD-463F9D77959D}">
      <text>
        <r>
          <rPr>
            <b/>
            <sz val="9"/>
            <color indexed="81"/>
            <rFont val="Tahoma"/>
            <charset val="1"/>
          </rPr>
          <t>Rifat Tahmid:</t>
        </r>
        <r>
          <rPr>
            <sz val="9"/>
            <color indexed="81"/>
            <rFont val="Tahoma"/>
            <charset val="1"/>
          </rPr>
          <t xml:space="preserve">
Source: SpaceX S-1, SEC EDGAR, Filed May 20 2026
Tax rate 21% (statutory; SpaceX in NOL regime, 2025 effective tax distorted)
Page: F-5 (Consolidated Statements of Operations, YE Dec 31 2025)
https://www.sec.gov/Archives/edgar/data/1181412/000162828026036936/spaceexplorationtechnologi.htm</t>
        </r>
      </text>
    </comment>
    <comment ref="B10" authorId="0" shapeId="0" xr:uid="{B18E86D3-240B-4CFD-9C97-8B7E5A62C9C3}">
      <text>
        <r>
          <rPr>
            <b/>
            <sz val="9"/>
            <color indexed="81"/>
            <rFont val="Tahoma"/>
            <family val="2"/>
          </rPr>
          <t>Rifat Tahmid:</t>
        </r>
        <r>
          <rPr>
            <sz val="9"/>
            <color indexed="81"/>
            <rFont val="Tahoma"/>
            <family val="2"/>
          </rPr>
          <t xml:space="preserve">
Specific Risk Premium reduced from 2.5% to 1.0% post-IPO. Pre-IPO illiquidity discount no longer applicable; residual 1.0% reflects remaining execution risk for a newly-public, multi-segment business with limited trading history. JPM standard: 0–1.5% for large-cap IPOs.</t>
        </r>
      </text>
    </comment>
    <comment ref="B15" authorId="0" shapeId="0" xr:uid="{9AE4ADE9-3FA7-4C32-82A7-8B82B4D4A1B9}">
      <text>
        <r>
          <rPr>
            <b/>
            <sz val="9"/>
            <color indexed="81"/>
            <rFont val="Tahoma"/>
            <charset val="1"/>
          </rPr>
          <t xml:space="preserve">Rifat Tahmid:
</t>
        </r>
        <r>
          <rPr>
            <sz val="9"/>
            <color indexed="81"/>
            <rFont val="Tahoma"/>
            <family val="2"/>
          </rPr>
          <t>Comp-driven: mature-stage tier (Large Mature Wireless) median UNLEVERED beta on 'Conn Comps'!X57. Falls back to 0.85 until comp betas are populated from terminal.</t>
        </r>
      </text>
    </comment>
    <comment ref="B16" authorId="0" shapeId="0" xr:uid="{AF6B406F-485D-4C38-84AB-85953E609533}">
      <text>
        <r>
          <rPr>
            <b/>
            <sz val="9"/>
            <color indexed="81"/>
            <rFont val="Tahoma"/>
            <charset val="1"/>
          </rPr>
          <t xml:space="preserve">Rifat Tahmid:
</t>
        </r>
        <r>
          <rPr>
            <sz val="9"/>
            <color indexed="81"/>
            <rFont val="Tahoma"/>
            <family val="2"/>
          </rPr>
          <t>Comp-driven: mature-stage tier (Big-5 Defense) median UNLEVERED beta on 'Space Comps'!X37. Falls back to 1.10 until comp betas are populated.</t>
        </r>
      </text>
    </comment>
    <comment ref="B17" authorId="0" shapeId="0" xr:uid="{04F9CEAE-F868-4419-937E-A1AA9337F4E8}">
      <text>
        <r>
          <rPr>
            <b/>
            <sz val="9"/>
            <color indexed="81"/>
            <rFont val="Tahoma"/>
            <charset val="1"/>
          </rPr>
          <t>Comp-driven: mature-stage tier (Social Media) median UNLEVERED beta on 'AI Comps'!X46. NB: early-stage AI infra peers carry betas of 4–6; using mature Social Media tier as terminal anchor deliberately avoids importing that noise into a 20-yr discount rate.
Beta and exit multiple now both sourced from Tier 3 Social Media — no cross-tier mismatch. Exit multiple on 'AI DCF'!B93 = Tier 3 median EV/Revenue ('AI Comps'!J44).</t>
        </r>
      </text>
    </comment>
    <comment ref="B22" authorId="0" shapeId="0" xr:uid="{9CD05139-EBBB-4726-ACB8-F3F3406483B9}">
      <text>
        <r>
          <rPr>
            <b/>
            <sz val="9"/>
            <color indexed="81"/>
            <rFont val="Tahoma"/>
            <charset val="1"/>
          </rPr>
          <t>Rifat Tahmid:</t>
        </r>
        <r>
          <rPr>
            <sz val="9"/>
            <color indexed="81"/>
            <rFont val="Tahoma"/>
            <charset val="1"/>
          </rPr>
          <t xml:space="preserve">
Source: SpaceX S-1, SEC EDGAR, Filed May 20 2026
Target D/E 30%: post-IPO est. (Debt $23,286M / Equity ~$41B pro forma)
Page: F-4 (Annual Balance Sheet, Dec 31 2025)
https://www.sec.gov/Archives/edgar/data/1181412/000162828026036936/spaceexplorationtechnologi.htm</t>
        </r>
      </text>
    </comment>
    <comment ref="C22" authorId="0" shapeId="0" xr:uid="{175774AE-2249-4578-B856-D44DE2C6325B}">
      <text>
        <r>
          <rPr>
            <b/>
            <sz val="9"/>
            <color indexed="81"/>
            <rFont val="Tahoma"/>
            <charset val="1"/>
          </rPr>
          <t>Rifat Tahmid:</t>
        </r>
        <r>
          <rPr>
            <sz val="9"/>
            <color indexed="81"/>
            <rFont val="Tahoma"/>
            <charset val="1"/>
          </rPr>
          <t xml:space="preserve">
SpaceX S-1 | Filed May 20, 2026
Space target D/E ~0.45 — higher leverage reflecting Starship capex financing
Total Debt detail — Page F-4
https://www.sec.gov/Archives/edgar/data/1181412/000162828026036936/spaceexplorationtechnologi.htm</t>
        </r>
      </text>
    </comment>
    <comment ref="D22" authorId="0" shapeId="0" xr:uid="{5C1CF2F0-40DE-4AA4-A9C1-B07E7C54017A}">
      <text>
        <r>
          <rPr>
            <b/>
            <sz val="9"/>
            <color indexed="81"/>
            <rFont val="Tahoma"/>
            <charset val="1"/>
          </rPr>
          <t>Rifat Tahmid:</t>
        </r>
        <r>
          <rPr>
            <sz val="9"/>
            <color indexed="81"/>
            <rFont val="Tahoma"/>
            <charset val="1"/>
          </rPr>
          <t xml:space="preserve">
SpaceX S-1 | Filed May 20, 2026
AI target D/E ~0.25 — AI capex ~$12.7B in 2025, partially equity funded
Total Capex detail — Note 19, Pages F-58 to F-59
https://www.sec.gov/Archives/edgar/data/1181412/000162828026036936/spaceexplorationtechnologi.htm</t>
        </r>
      </text>
    </comment>
    <comment ref="B29" authorId="0" shapeId="0" xr:uid="{E53C8700-6853-4C21-81C6-D5C3D394D84E}">
      <text>
        <r>
          <rPr>
            <b/>
            <sz val="9"/>
            <color indexed="81"/>
            <rFont val="Tahoma"/>
            <charset val="1"/>
          </rPr>
          <t>Rifat Tahmid:</t>
        </r>
        <r>
          <rPr>
            <sz val="9"/>
            <color indexed="81"/>
            <rFont val="Tahoma"/>
            <charset val="1"/>
          </rPr>
          <t xml:space="preserve">
Source: SpaceX S-1, SEC EDGAR, Filed May 20 2026
Pre-tax cost of debt: weighted avg yield on SpaceX + X credit facilities &amp; term loans
Page: Note 7 — Debt (Annual Notes, F-10 onwards)
https://www.sec.gov/Archives/edgar/data/1181412/000162828026036936/spaceexplorationtechnologi.htm</t>
        </r>
      </text>
    </comment>
    <comment ref="C29" authorId="0" shapeId="0" xr:uid="{A23DA224-226E-40A3-A2A9-4C8E83789C95}">
      <text>
        <r>
          <rPr>
            <b/>
            <sz val="9"/>
            <color indexed="81"/>
            <rFont val="Tahoma"/>
            <charset val="1"/>
          </rPr>
          <t>Rifat Tahmid:</t>
        </r>
        <r>
          <rPr>
            <sz val="9"/>
            <color indexed="81"/>
            <rFont val="Tahoma"/>
            <charset val="1"/>
          </rPr>
          <t xml:space="preserve">
Source: SpaceX S-1 | Filed May 20, 2026
Space segment cost of debt estimated at 7.5% (higher risk, Starship dev stage)
Total debt mix from Balance Sheets: Page F-4
https://www.sec.gov/Archives/edgar/data/1181412/000162828026036936/spaceexplorationtechnologi.htm</t>
        </r>
      </text>
    </comment>
    <comment ref="D29" authorId="0" shapeId="0" xr:uid="{68F5B268-A7CD-454F-908D-B6AFC9B9D166}">
      <text>
        <r>
          <rPr>
            <b/>
            <sz val="9"/>
            <color indexed="81"/>
            <rFont val="Tahoma"/>
            <charset val="1"/>
          </rPr>
          <t>Rifat Tahmid:</t>
        </r>
        <r>
          <rPr>
            <sz val="9"/>
            <color indexed="81"/>
            <rFont val="Tahoma"/>
            <charset val="1"/>
          </rPr>
          <t xml:space="preserve">
Source: SpaceX S-1 | Filed May 20, 2026
AI segment cost of debt estimated at 8.5% (early-stage, high capex burden)
AI capex $12,727M in FY2025 largely debt-funded per filing
Page F-8, F-58
https://www.sec.gov/Archives/edgar/data/1181412/000162828026036936/spaceexplorationtechnologi.htm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Rifat Tahmid</author>
  </authors>
  <commentList>
    <comment ref="A1" authorId="0" shapeId="0" xr:uid="{90B7B25A-620D-4421-ACF6-A1B5AF3F67CE}">
      <text>
        <r>
          <rPr>
            <b/>
            <sz val="9"/>
            <color indexed="81"/>
            <rFont val="Tahoma"/>
            <charset val="1"/>
          </rPr>
          <t>Rifat Tahmid:</t>
        </r>
        <r>
          <rPr>
            <sz val="9"/>
            <color indexed="81"/>
            <rFont val="Tahoma"/>
            <charset val="1"/>
          </rPr>
          <t xml:space="preserve">
⚠ DATA SOURCE: Comp inputs currently sourced from third-party aggregators (stockanalysis.com, macrotrends.net, etc.). JPM standard requires terminal-sourced data (CapIQ/Bloomberg). Refresh all comp financials from terminal before external circulation.</t>
        </r>
      </text>
    </comment>
    <comment ref="C9" authorId="0" shapeId="0" xr:uid="{7ED1C462-E11D-43A4-BE0E-63B719118727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Iridium Communications (IRDM) mkt cap $5,390M (~104.9M shares × $51.31). Source: stockanalysis.com/stocks/irdm/market-cap/. Jun 2026.</t>
        </r>
      </text>
    </comment>
    <comment ref="D9" authorId="0" shapeId="0" xr:uid="{ED3473E3-0F7C-4872-AAA6-2AE680C90D63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Iridium Communications (IRDM) EV $6,720M = mkt cap $5,390 + debt $1,810 – cash $88. Source: stockanalysis.com/stocks/irdm/statistics/. Jun 2026.</t>
        </r>
      </text>
    </comment>
    <comment ref="F9" authorId="0" shapeId="0" xr:uid="{5BE8F506-3C0C-46F6-9617-6FF54C79FC04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Iridium (IRDM) gross margin 71.95% (service revenue $158.9M / total revenue $220.9M). Source: Iridium Q1 2026 10-Q (SEC). Jun 2026.</t>
        </r>
      </text>
    </comment>
    <comment ref="H9" authorId="0" shapeId="0" xr:uid="{CB07E92F-9B97-4AC3-8B72-CC10B12704D2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Iridium (IRDM) CapEx % 11.5% ($100.3M / $871M revenue). Source: Iridium 2025 Annual Results. investor.iridium.com, Feb 2026.</t>
        </r>
      </text>
    </comment>
    <comment ref="M9" authorId="0" shapeId="0" xr:uid="{8BD13890-204F-4C37-AAC1-C2CEA850F224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Iridium (IRDM) 2.555M total billable subscribers as of Mar 31, 2026. Source: Iridium Q1 2026 10-Q (SEC). investor.iridium.com, Apr 2026.</t>
        </r>
      </text>
    </comment>
    <comment ref="N9" authorId="0" shapeId="0" xr:uid="{3DF9EB5B-B146-424D-887C-E8B259B2716D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Iridium (IRDM) blended ARPU ~$27/mo (IoT $7.70; Voice/Data ~$49; Broadband ~$254). Source: Iridium Q1 2026 10-Q (SEC), Apr 2026.</t>
        </r>
      </text>
    </comment>
    <comment ref="S9" authorId="0" shapeId="0" xr:uid="{6F9C7ECF-5971-4079-842B-3F6AC4795D31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No preferred equity outstanding. Source: IRDM Q1 2026 10-Q (SEC).</t>
        </r>
      </text>
    </comment>
    <comment ref="W9" authorId="0" shapeId="0" xr:uid="{A3FD0DE3-6570-4802-8C56-9C89DAD85667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US federal statutory tax rate 21%. Paid $13.4M taxes LTM. Source: stockanalysis.com/stocks/irdm/statistics/. Jun 2026.</t>
        </r>
      </text>
    </comment>
    <comment ref="C10" authorId="0" shapeId="0" xr:uid="{9A979DB0-C22D-4EB9-974E-8628BDA9771A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EchoStar (SATS) mkt cap $32,800M. Source: stockanalysis.com/stocks/sats/. Jun 2026.</t>
        </r>
      </text>
    </comment>
    <comment ref="D10" authorId="0" shapeId="0" xr:uid="{9F246A6F-CEBA-48EC-9F9C-BE4008FF25FD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EchoStar (SATS) EV $61,430M = mkt cap $32,800 + debt $29,240 – cash $1,520. Source: stockanalysis.com/stocks/sats/statistics/. Jun 2026.</t>
        </r>
      </text>
    </comment>
    <comment ref="F10" authorId="0" shapeId="0" xr:uid="{A65CCA61-D8D8-48EE-B254-B7574E30DF50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EchoStar (SATS) gross margin ~37% (blended across DISH TV, Boost Mobile, HughesNet, Sling). Source: EchoStar Q1 2026 8-K (SEC). May 2026.</t>
        </r>
      </text>
    </comment>
    <comment ref="G10" authorId="0" shapeId="0" xr:uid="{28B77DA7-5A97-4C9C-B56F-639AA11027DF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EchoStar (SATS) EBITDA margin ~11.5% (Adj. EBITDA $172M / revenue $1,490M, Q1 2026). Source: EchoStar Q1 2026 earnings press release (SEC). May 2026.</t>
        </r>
      </text>
    </comment>
    <comment ref="H10" authorId="0" shapeId="0" xr:uid="{B29FAA08-706B-44AE-88CA-ACE2023214EE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EchoStar (SATS) CapEx % est. ~80% (satellite + 5G Boost network buildout). Source: EchoStar Q1 2026 10-Q (SEC).</t>
        </r>
      </text>
    </comment>
    <comment ref="I10" authorId="0" shapeId="0" xr:uid="{86E2DD12-F667-4E8D-8449-A454640AFBA4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EchoStar (SATS) 3-yr revenue growth est. ~11.5% CAGR. Source: EchoStar annual filings (SEC). Terminal/IR data preferred.</t>
        </r>
      </text>
    </comment>
    <comment ref="M10" authorId="0" shapeId="0" xr:uid="{BE66290C-4EDC-4782-AA4A-1DE4F02E34FF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EchoStar (SATS) total subs ~29.2M (DISH TV ~8M + Boost Mobile ~7.5M + HughesNet ~1.2M + Sling ~2.5M + broadband ~10M). Source: EchoStar Q1 2026 10-Q (SEC). Hybrid operator — not pure mobile comps.</t>
        </r>
      </text>
    </comment>
    <comment ref="N10" authorId="0" shapeId="0" xr:uid="{10C6CCF0-F02C-4137-9ACF-5E0C75170362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EchoStar (SATS) blended ARPU est. ~$40/mo (Boost ~$30; HughesNet ~$75; DISH TV ~$85). Source: EchoStar Q1 2026 earnings. Terminal data preferred.</t>
        </r>
      </text>
    </comment>
    <comment ref="P10" authorId="0" shapeId="0" xr:uid="{B6D40ED9-7B10-431D-B63B-DD19BDC21A29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EchoStar (SATS) levered beta 0.96. Source: stockanalysis.com/stocks/sats/statistics/. Jun 2026.</t>
        </r>
      </text>
    </comment>
    <comment ref="S10" authorId="0" shapeId="0" xr:uid="{C6B536F8-BFA2-4A83-BA76-79D37E3EEC6B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No preferred equity outstanding (small convertible series exist but immaterial). Source: SATS Q1 2026 10-Q (SEC).</t>
        </r>
      </text>
    </comment>
    <comment ref="W10" authorId="0" shapeId="0" xr:uid="{6244DA7C-61F7-41A9-BD16-0069AAFA4046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US federal statutory tax rate 21%. Source: EchoStar Q1 2026 10-Q (SEC).</t>
        </r>
      </text>
    </comment>
    <comment ref="C11" authorId="0" shapeId="0" xr:uid="{E71D1251-60CE-4B2F-A84F-971607BC2280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Globalstar (GSAT) mkt cap $11,600M (Amazon acquisition at $11.6B, Apr 2026). Source: Bloomberg/CNBC, Apr 14 2026.</t>
        </r>
      </text>
    </comment>
    <comment ref="D11" authorId="0" shapeId="0" xr:uid="{4ADE194C-475C-4FA5-AB06-5DFB34A6ED10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Globalstar (GSAT) EV $3,500M = mkt cap $11,600 – cash $447 + debt $546. Source: stockanalysis.com/stocks/gsat/statistics/. Jun 2026.</t>
        </r>
      </text>
    </comment>
    <comment ref="F11" authorId="0" shapeId="0" xr:uid="{631D6B79-D6DA-47CD-B9B6-9F7CA1724235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Globalstar (GSAT) gross margin 63.81%. Source: stockanalysis.com/stocks/gsat/statistics/. Jun 2026.</t>
        </r>
      </text>
    </comment>
    <comment ref="H11" authorId="0" shapeId="0" xr:uid="{F0F89F5B-1CFA-4333-A6C3-FF2EA04284D7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Globalstar (GSAT) CapEx % ~194% ($545M capex / $280M revenue). Satellite replenishment cycle. Source: GSAT Q1 2026 10-Q (SEC).</t>
        </r>
      </text>
    </comment>
    <comment ref="M11" authorId="0" shapeId="0" xr:uid="{124F2227-2482-4634-8AB4-1B4856F0504F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Globalstar (GSAT): No retail sub count. Wholesale B2B operator (Apple iPhone Emergency SOS capacity contract ~$900M/yr). NM for sub/ARPU comps.</t>
        </r>
      </text>
    </comment>
    <comment ref="N11" authorId="0" shapeId="0" xr:uid="{4072C9A0-AF2A-4D39-98C3-D85A29E1841E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Globalstar (GSAT): ARPU N/A — revenue from wholesale capacity fees to Apple. Not a retail mobile ARPU.</t>
        </r>
      </text>
    </comment>
    <comment ref="S11" authorId="0" shapeId="0" xr:uid="{ABE87002-3418-4D02-8018-03706D2A3497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No preferred equity outstanding. Source: GSAT Q1 2026 10-Q (SEC).</t>
        </r>
      </text>
    </comment>
    <comment ref="W11" authorId="0" shapeId="0" xr:uid="{213F6BF1-1440-4BF4-AF2A-D546F3AAC918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US federal statutory tax rate 21%. Paid $5.88M taxes LTM. Source: stockanalysis.com/stocks/gsat/statistics/. Jun 2026.</t>
        </r>
      </text>
    </comment>
    <comment ref="C12" authorId="0" shapeId="0" xr:uid="{ACFA74D0-895A-40F5-800C-0CDA9C9433B4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AST SpaceMobile (ASTS) mkt cap $27,960M. Source: tradingview.com ASTS mkt cap ~$27.96B. Jun 2026.</t>
        </r>
      </text>
    </comment>
    <comment ref="D12" authorId="0" shapeId="0" xr:uid="{837A3172-3506-4205-9C54-491C358BEAC7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AST SpaceMobile (ASTS) EV $15,100M. Source: stockanalysis.com/stocks/asts/statistics/. Jun 2026.</t>
        </r>
      </text>
    </comment>
    <comment ref="F12" authorId="0" shapeId="0" xr:uid="{140DE391-A1F9-44FC-A8D9-ECB25DA2D9D5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AST SpaceMobile (ASTS) gross margin 44.82% (Q1 2026). Source: Yahoo Finance ASTS key statistics. Jun 2026.</t>
        </r>
      </text>
    </comment>
    <comment ref="H12" authorId="0" shapeId="0" xr:uid="{717B0973-A2E8-42B5-BFE0-1811BCCE9B6A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AST SpaceMobile (ASTS) CapEx % &gt;500% ($640M capex / $85M LTM revenue). Satellite constellation buildout. Source: ASTS Q1 2026 10-Q (SEC).</t>
        </r>
      </text>
    </comment>
    <comment ref="M12" authorId="0" shapeId="0" xr:uid="{B09F9906-ADB1-49A0-9782-E85FBBAB4F32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AST SpaceMobile (ASTS): Pre-scale. &lt;1M activated users as of Q1 2026. Not meaningful for comps. Source: ASTS Q1 2026 8-K (SEC).</t>
        </r>
      </text>
    </comment>
    <comment ref="N12" authorId="0" shapeId="0" xr:uid="{23F8BC60-4679-41CF-8D1B-DE026F844723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AST SpaceMobile (ASTS): ARPU NM at current scale (Q1 revenue $85M, &lt;1M users). Source: ASTS Q1 2026 8-K (SEC).</t>
        </r>
      </text>
    </comment>
    <comment ref="S12" authorId="0" shapeId="0" xr:uid="{FF165522-1E06-4BC1-86C8-012C9FFE5ACE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Series A Preferred ~$6.8M liquidation value. Source: ASTS Q1 2026 10-Q (SEC).</t>
        </r>
      </text>
    </comment>
    <comment ref="W12" authorId="0" shapeId="0" xr:uid="{6E07FA78-9381-4728-9CD0-5A4C7CB68913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US federal statutory tax rate 21%. Paid $4.90M taxes LTM. Source: stockanalysis.com/stocks/asts/statistics/. Jun 2026.</t>
        </r>
      </text>
    </comment>
    <comment ref="C13" authorId="0" shapeId="0" xr:uid="{1F9DE493-706C-4207-A480-20DAE76A8474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Viasat (VSAT) mkt cap $9,070M (~135M shares × ~$67). Source: stockanalysis.com/stocks/vsat/. Jun 2026.</t>
        </r>
      </text>
    </comment>
    <comment ref="D13" authorId="0" shapeId="0" xr:uid="{86912503-30F1-4318-9237-2C46F9E8EC6F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Viasat (VSAT) EV $12,000M = mkt cap $9,070 + debt $7,080 – cash $1,230. Source: stockanalysis.com/stocks/vsat/statistics/. Jun 2026.</t>
        </r>
      </text>
    </comment>
    <comment ref="F13" authorId="0" shapeId="0" xr:uid="{E28D2CBB-7A86-4C41-A5E5-666B9AE36533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Viasat (VSAT) gross margin 33.20%. Source: stockanalysis.com/stocks/vsat/statistics/. Jun 2026.</t>
        </r>
      </text>
    </comment>
    <comment ref="H13" authorId="0" shapeId="0" xr:uid="{5025FCBE-A82B-4867-8EE9-22EE122DEEAE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Viasat (VSAT) CapEx % 19.9% ($912M / $4,580M revenue). Source: stockanalysis.com/stocks/vsat/statistics/. Jun 2026.</t>
        </r>
      </text>
    </comment>
    <comment ref="M13" authorId="0" shapeId="0" xr:uid="{4BBB26C4-36DD-497F-8323-40961D1EF5CC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Viasat (VSAT): Heterogeneous sub base (~1,000 aircraft + ~0.5M residential + govt/enterprise). Not comparable to mobile subs. Terminal/IR preferred.</t>
        </r>
      </text>
    </comment>
    <comment ref="N13" authorId="0" shapeId="0" xr:uid="{9ACD44C9-510C-496E-A11C-A788E0B85F5D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Viasat (VSAT): Blended ARPU ~$80-120/mo (in-flight + residential satellite). Aviation ARPU skews average. Not comparable to mobile ARPU.</t>
        </r>
      </text>
    </comment>
    <comment ref="S13" authorId="0" shapeId="0" xr:uid="{A9D3BAE9-3545-46C5-AFED-B59CBC46F09C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No preferred equity outstanding. Source: VSAT Q4 FY2026 annual report (SEC).</t>
        </r>
      </text>
    </comment>
    <comment ref="W13" authorId="0" shapeId="0" xr:uid="{2BE7F0D9-9A1B-477E-8560-52F2E268E685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US federal statutory tax rate 21%. Paid $9.43M taxes LTM. Source: stockanalysis.com/stocks/vsat/statistics/. Jun 2026.</t>
        </r>
      </text>
    </comment>
    <comment ref="C14" authorId="0" shapeId="0" xr:uid="{46AA83AC-2E4E-4C85-8B03-67EEFA4BBE31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SES Group (ENXTPA:SESG) mkt cap ~$2,500M USD (€2.3B at EUR/USD ~1.09). Source: SESG.PA Euronext Paris. Jun 2026.</t>
        </r>
      </text>
    </comment>
    <comment ref="D14" authorId="0" shapeId="0" xr:uid="{ED09C959-C2F6-423C-A4D6-EFE17E28B797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SES Group (SESG) EV $12,560M est. Source: SES 2025 Annual Report. Terminal data preferred.</t>
        </r>
      </text>
    </comment>
    <comment ref="F14" authorId="0" shapeId="0" xr:uid="{24DD3E80-A7A3-4B02-8560-5B0442761F19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SES Group (SESG) gross margin ~60% (satellite capacity operators 55-65%). Source: SES 2025 Annual Report. Terminal data preferred.</t>
        </r>
      </text>
    </comment>
    <comment ref="H14" authorId="0" shapeId="0" xr:uid="{500C3ACE-2BED-4DC2-B5E6-D5E05C1747A3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SES Group (SESG) CapEx est. ~50% of revenue (GEO+MEO satellite replacement). Source: SES 2025 Annual Report. Terminal data preferred.</t>
        </r>
      </text>
    </comment>
    <comment ref="I14" authorId="0" shapeId="0" xr:uid="{828ADB65-9377-4BE3-A7A4-CE9FDFF0ED72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SES Group (SESG) 3-yr revenue growth est. ~0% (post-Intelsat merger flat). Source: SES Group IR. Terminal data preferred.</t>
        </r>
      </text>
    </comment>
    <comment ref="M14" authorId="0" shapeId="0" xr:uid="{5503BDC8-3077-43B2-AF55-E0566751AEA9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SES Group (SESG): Pure-play B2B satellite operator. No retail subscribers. Revenue from wholesale capacity to broadcasters, telcos, govts. Sub metric N/A. Source: SES 2025 Annual Report.</t>
        </r>
      </text>
    </comment>
    <comment ref="N14" authorId="0" shapeId="0" xr:uid="{8C28B158-9AED-45D0-87E3-0CDBEBE1B8A0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SES Group (SESG): ARPU N/A — wholesale satellite capacity, no retail subs. Source: SES 2025 Annual Report.</t>
        </r>
      </text>
    </comment>
    <comment ref="P14" authorId="0" shapeId="0" xr:uid="{6C68BDCB-BB56-45EE-B4C6-F8225BCBD755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SES Group (SESG) levered beta 0.51. Source: Yahoo Finance SESG.PA. Jun 2026.</t>
        </r>
      </text>
    </comment>
    <comment ref="S14" authorId="0" shapeId="0" xr:uid="{52015437-646C-4371-AC81-7DE3790DA731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No preferred equity outstanding. Source: SES 2025 Annual Report.</t>
        </r>
      </text>
    </comment>
    <comment ref="W14" authorId="0" shapeId="0" xr:uid="{4EB7A2B8-BCE0-4E9C-BEBE-B30A0EE5BCF5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Luxembourg corporate tax rate ~21%. Source: SES HQ Luxembourg.</t>
        </r>
      </text>
    </comment>
    <comment ref="C15" authorId="0" shapeId="0" xr:uid="{93DEFE06-1764-4316-B0F7-FA4183E8E722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Eutelsat Communications (ENXTPA:ETL) mkt cap ~$2,800M USD (€2.6B at EUR/USD ~1.09). Source: ETL.PA Euronext Paris. Jun 2026.</t>
        </r>
      </text>
    </comment>
    <comment ref="D15" authorId="0" shapeId="0" xr:uid="{4217F0E4-31DC-4E23-8BCA-A2FC6286BF9D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Eutelsat (ETL) EV $4,810M = mkt cap $2,800 + net debt ~$7,300 adj. Source: Eutelsat IR 2025 — net financial debt ~€7B.</t>
        </r>
      </text>
    </comment>
    <comment ref="F15" authorId="0" shapeId="0" xr:uid="{A754C24E-8242-4818-8CCF-A28B3778A42A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Eutelsat (ETL) gross margin ~50% (GEO satellite capacity 45-55%). Source: Eutelsat IR 2025. Terminal data preferred.</t>
        </r>
      </text>
    </comment>
    <comment ref="H15" authorId="0" shapeId="0" xr:uid="{1B59CD28-55DA-4353-ADC0-5843177B8E82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Eutelsat (ETL) CapEx est. ~45% of revenue (GEO + OneWeb LEO satellite spend). Source: Eutelsat IR 2025. Terminal data preferred.</t>
        </r>
      </text>
    </comment>
    <comment ref="I15" authorId="0" shapeId="0" xr:uid="{695992E4-0BBD-49F1-A8CF-B17CA993F89F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Eutelsat (ETL) 3-yr revenue growth est. ~30% (OneWeb merger impact). Source: Eutelsat IR. Terminal data preferred.</t>
        </r>
      </text>
    </comment>
    <comment ref="M15" authorId="0" shapeId="0" xr:uid="{C67500A6-1117-42C2-849F-982F6B8B70A7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Eutelsat (ETL): Pure-play B2B satellite. ~1,000 OneWeb enterprise/govt customers (2025). Not meaningful for retail comps. Source: Eutelsat IR 2025.</t>
        </r>
      </text>
    </comment>
    <comment ref="N15" authorId="0" shapeId="0" xr:uid="{353040E8-9BBD-411B-BF9E-A3CE16722B8B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Eutelsat (ETL): ARPU N/A — wholesale GEO + OneWeb LEO enterprise broadband, no mass-market ARPU. Source: Eutelsat IR 2025.</t>
        </r>
      </text>
    </comment>
    <comment ref="P15" authorId="0" shapeId="0" xr:uid="{D8E80EAD-5B25-45EC-9F6F-A1CC70C5DAB8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Eutelsat (ETL) levered beta 0.90. Source: Yahoo Finance ETL.PA. Jun 2026.</t>
        </r>
      </text>
    </comment>
    <comment ref="S15" authorId="0" shapeId="0" xr:uid="{81C54846-D500-425C-AD96-C0F40D3C0F04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No preferred equity outstanding. Source: Eutelsat IR 2025.</t>
        </r>
      </text>
    </comment>
    <comment ref="W15" authorId="0" shapeId="0" xr:uid="{49FF98C4-757E-4381-8D0C-BDC47519CFCB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French corporate income tax rate 25%. Source: Eutelsat HQ Paris, France.</t>
        </r>
      </text>
    </comment>
    <comment ref="C16" authorId="0" shapeId="0" xr:uid="{CE792E97-08E7-41AB-A6E8-006B4E4F0700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Telesat Corporation (Nasdaq:TSAT) mkt cap $610M. Source: macrotrends.net TSAT market cap $0.61B, Apr 2026.</t>
        </r>
      </text>
    </comment>
    <comment ref="D16" authorId="0" shapeId="0" xr:uid="{87F1FF46-3CF8-4568-BC75-454C13C757D8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Telesat (TSAT) EV $5,500M = mkt cap $610 + debt $4,200 adj. Source: macrotrends.net TSAT D/E 1.69; debt $4.2B est.</t>
        </r>
      </text>
    </comment>
    <comment ref="F16" authorId="0" shapeId="0" xr:uid="{497EAB60-668F-4277-9D89-91FB08B3710E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Telesat (TSAT) gross margin ~65% (GEO satellite capacity high-margin). Source: Telesat IR 2025. Terminal data preferred.</t>
        </r>
      </text>
    </comment>
    <comment ref="G16" authorId="0" shapeId="0" xr:uid="{99B4AF09-8618-4A47-8B0A-EDC2045061CE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Telesat (TSAT) EBITDA margin NM (deep losses from Lightspeed LEO buildout). Source: Telesat IR 2025.</t>
        </r>
      </text>
    </comment>
    <comment ref="H16" authorId="0" shapeId="0" xr:uid="{070CAE50-6522-49F5-8C21-E7E919E15ADD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Telesat (TSAT) CapEx est. ~35% of revenue (Lightspeed LEO under construction). Source: Telesat IR 2025. Terminal data preferred.</t>
        </r>
      </text>
    </comment>
    <comment ref="I16" authorId="0" shapeId="0" xr:uid="{B3341E4D-B9E2-4E85-B35E-A50BCB545AC0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Telesat (TSAT) 3-yr revenue growth est. ~35% (Lightspeed LEO ramp). Source: Telesat IR 2025. Terminal data preferred.</t>
        </r>
      </text>
    </comment>
    <comment ref="M16" authorId="0" shapeId="0" xr:uid="{9A50AB4D-82D5-4C1B-A701-F10663F0B649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Telesat (TSAT): Pure-play B2B satellite. Lightspeed LEO under construction. Revenue from wholesale capacity to enterprise/govt. Source: Telesat IR 2025.</t>
        </r>
      </text>
    </comment>
    <comment ref="N16" authorId="0" shapeId="0" xr:uid="{DECC3617-127A-41F2-A5B5-699692842B44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Telesat (TSAT): ARPU N/A — wholesale satellite capacity; Lightspeed LEO not yet commercial. Source: Telesat IR 2025.</t>
        </r>
      </text>
    </comment>
    <comment ref="P16" authorId="0" shapeId="0" xr:uid="{B2A91B31-3F0B-4529-956A-B59B5A1A962F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Telesat (TSAT) levered beta 2.00 (high leverage + pre-revenue LEO risk). Source: Yahoo Finance TSAT. Jun 2026.</t>
        </r>
      </text>
    </comment>
    <comment ref="S16" authorId="0" shapeId="0" xr:uid="{797F623F-6EB0-4DF5-B96A-58922D7D6582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No preferred equity outstanding. Source: Telesat IR 2025.</t>
        </r>
      </text>
    </comment>
    <comment ref="W16" authorId="0" shapeId="0" xr:uid="{CBFC7DD3-DCAF-44C6-8158-74D24708E7CB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Canadian corporate tax rate ~26.5%. Source: Telesat HQ Ottawa, Canada.</t>
        </r>
      </text>
    </comment>
    <comment ref="C26" authorId="0" shapeId="0" xr:uid="{79110AFB-7437-469F-8189-B9176AAB7DE5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Bharti Airtel (BSE:532454) mkt cap $116,130M (INR 11,079B / 95.4 USD/INR). Source: companiesmarketcap.com Jun 2026; BookMyForex USD/INR 95.4, Jun 10 2026.</t>
        </r>
      </text>
    </comment>
    <comment ref="D26" authorId="0" shapeId="0" xr:uid="{B7EE331F-18A8-4414-9692-F413169C4E38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Bharti Airtel EV $137,958M (INR 13,161B / 95.4 USD/INR). Source: gurufocus.com NSE:BHARTIARTL EV = INR 13,160,669M, May 2026.</t>
        </r>
      </text>
    </comment>
    <comment ref="F26" authorId="0" shapeId="0" xr:uid="{B600104D-2090-4109-869B-CF95103B216B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Bharti Airtel gross margin ~50%. Source: stockanalysis.com/quote/nse/BHARTIARTL/statistics/. Jun 2026.</t>
        </r>
      </text>
    </comment>
    <comment ref="G26" authorId="0" shapeId="0" xr:uid="{C5DEA9A8-CCF1-4E27-990A-599766802E93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Bharti Airtel EBITDA margin ~38% (blended India+Africa). Source: Bharti Airtel Q3 FY26 results. telecomlead.com Feb 2026.</t>
        </r>
      </text>
    </comment>
    <comment ref="H26" authorId="0" shapeId="0" xr:uid="{B306DCBA-9573-49B8-B6F6-BB849E8FC282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Bharti Airtel CapEx % 21.1% (INR 428.69B / INR 2,030B revenue). Source: stockanalysis.com/quote/nse/BHARTIARTL/statistics/. Jun 2026.</t>
        </r>
      </text>
    </comment>
    <comment ref="I26" authorId="0" shapeId="0" xr:uid="{A3F06477-ED8E-4BD4-B633-E6A9F143731A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Bharti Airtel 3-yr revenue growth est. ~22% CAGR (India mobile + Africa + tariff hikes). Source: Bharti Airtel Q3 FY26 results. Jun 2026.</t>
        </r>
      </text>
    </comment>
    <comment ref="M26" authorId="0" shapeId="0" xr:uid="{DDC9C3BA-437A-4531-B4B7-2B18B1CCA6AA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Bharti Airtel 477.74M wireless subscribers as of Mar 31, 2026 (37.74% India market share). Source: TRAI Telecom Subscription Data, Mar 2026.</t>
        </r>
      </text>
    </comment>
    <comment ref="N26" authorId="0" shapeId="0" xr:uid="{96B3FFC9-C57E-417E-A4BC-E84C83A65C54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Bharti Airtel India ARPU ~INR 250/mo (~$3 USD). Source: Bharti Airtel Q1 FY26 earnings. goodreturns.in Aug 2025.</t>
        </r>
      </text>
    </comment>
    <comment ref="P26" authorId="0" shapeId="0" xr:uid="{73E9B116-E3E8-439B-8065-04EA711A405E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Bharti Airtel levered beta 0.50. Source: stockanalysis.com/quote/nse/BHARTIARTL/statistics/ (NSE local beta); Yahoo Finance ADR 0.50 used for USD comps. Jun 2026.</t>
        </r>
      </text>
    </comment>
    <comment ref="S26" authorId="0" shapeId="0" xr:uid="{E82D01C4-76B9-4FBE-9706-F2012F012EF1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No preferred equity outstanding. Source: NSE BHARTIARTL filings.</t>
        </r>
      </text>
    </comment>
    <comment ref="W26" authorId="0" shapeId="0" xr:uid="{10B42FAD-B7FB-4DBE-BA3E-A83C6DB9B056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India effective tax rate ~25% (corporate tax 22% base + surcharge). Source: Bharti Airtel annual filings, India IT Act.</t>
        </r>
      </text>
    </comment>
    <comment ref="C27" authorId="0" shapeId="0" xr:uid="{9252017C-BD84-4B93-AAE1-BAEB1C61FA6C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MTN Group (JSE:MTN) mkt cap $21,828M (ZAR 355.8B / 16.3 USD/ZAR). Source: investing.com JSE:MTN; MTFX USD/ZAR 16.3, Jun 2 2026.</t>
        </r>
      </text>
    </comment>
    <comment ref="D27" authorId="0" shapeId="0" xr:uid="{6E9679EF-EC70-45CC-9F7F-71FE22C094C2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MTN Group EV $24,074M (ZAR 392.44B EV / 16.3 USD/ZAR). Source: Yahoo Finance MTN.JO EV ZAR 392.44B. Jun 2026.</t>
        </r>
      </text>
    </comment>
    <comment ref="F27" authorId="0" shapeId="0" xr:uid="{12D04655-F92B-45A2-9FF4-2996E222D5C9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MTN Group gross margin ~45% (blended across 16 African markets). Source: MTN Group FY2025 Annual Report.</t>
        </r>
      </text>
    </comment>
    <comment ref="G27" authorId="0" shapeId="0" xr:uid="{3221961C-D118-43B1-941E-2666BC05549D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MTN Group EBITDA margin ~44% (ZAR 98.5B EBITDA / ZAR 226.76B revenue = 43.5%). Source: MTN Group FY2025 results. mtn.com Mar 2026.</t>
        </r>
      </text>
    </comment>
    <comment ref="H27" authorId="0" shapeId="0" xr:uid="{7D8E59A3-6CE8-459D-A238-9B65C87E3132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MTN Group CapEx % ~24% (ZAR ~55B / ZAR 226.76B revenue). Source: MTN Group FY2025 Annual Report.</t>
        </r>
      </text>
    </comment>
    <comment ref="I27" authorId="0" shapeId="0" xr:uid="{6F91D261-7C36-4EE6-91B8-3ADCF9A99EF0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MTN Group 3-yr revenue growth est. ~8% CAGR (local currency growth offset by FX). Source: MTN Group FY2025 results.</t>
        </r>
      </text>
    </comment>
    <comment ref="M27" authorId="0" shapeId="0" xr:uid="{876EDA58-1869-4810-B1B2-61C957FBE14B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MTN Group 307M voice subscribers at Dec 31, 2025. Source: MTN Group FY2025 results. mtn.com Mar 2026.</t>
        </r>
      </text>
    </comment>
    <comment ref="N27" authorId="0" shapeId="0" xr:uid="{28FD0B7E-BFDF-4E98-945A-BF644B547101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MTN Group blended ARPU ~$3.5/mo (pan-Africa est.). Source: MTN Group FY2025 Annual Report.</t>
        </r>
      </text>
    </comment>
    <comment ref="P27" authorId="0" shapeId="0" xr:uid="{7E1F13BA-A5E5-4C80-811A-A979E2B16394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MTN Group (JSE:MTN) levered beta 0.97. Source: stockanalysis.com/quote/jse/MTN/statistics/. Jun 2026.</t>
        </r>
      </text>
    </comment>
    <comment ref="S27" authorId="0" shapeId="0" xr:uid="{A5624139-DFAD-456F-93AC-A5CC83FC8C49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No preferred equity outstanding. Source: JSE MTN annual filings.</t>
        </r>
      </text>
    </comment>
    <comment ref="W27" authorId="0" shapeId="0" xr:uid="{9C2EB4CA-C86C-4B37-9412-66B1F11D9B65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South Africa effective tax rate ~28% (SA corporate tax 27%). Source: MTN 2025 Annual Report.</t>
        </r>
      </text>
    </comment>
    <comment ref="C28" authorId="0" shapeId="0" xr:uid="{AAF120C5-38B8-4AEC-8CFD-861B9E47A81C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Vodacom Group (JSE:VOD) mkt cap $17,080M (ZAR 278.4B / 16.3 USD/ZAR). Source: investing.com JSE:VODJ; MTFX Jun 2 2026.</t>
        </r>
      </text>
    </comment>
    <comment ref="D28" authorId="0" shapeId="0" xr:uid="{1D54F009-5816-4F7F-B79D-55F616139A7F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Vodacom Group EV $20,380M (ZAR 332.19B EV / 16.3 USD/ZAR). Source: stockanalysis.com/quote/jse/VOD/statistics/. Jun 2026.</t>
        </r>
      </text>
    </comment>
    <comment ref="F28" authorId="0" shapeId="0" xr:uid="{63C41B35-3E23-49B1-A85A-D0853AEEDFAA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Vodacom Group gross margin ~55% (FY2025). Source: stockanalysis.com/quote/jse/VOD/statistics/ — 54.94%. Jun 2026.</t>
        </r>
      </text>
    </comment>
    <comment ref="G28" authorId="0" shapeId="0" xr:uid="{3570C14A-18DB-491C-BC56-4FA60244C343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Vodacom Group EBITDA margin ~40% (FY2025). Source: stockanalysis.com/quote/jse/VOD/statistics/. Jun 2026.</t>
        </r>
      </text>
    </comment>
    <comment ref="H28" authorId="0" shapeId="0" xr:uid="{AE9EFB83-F3D6-4794-8FE8-95593F395E86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Vodacom Group CapEx % ~15.5% (ZAR 24.85B / ZAR 160.27B revenue). Source: stockanalysis.com/quote/jse/VOD/statistics/. Jun 2026.</t>
        </r>
      </text>
    </comment>
    <comment ref="I28" authorId="0" shapeId="0" xr:uid="{499879E6-1441-430D-9DAE-B78D138ED205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Vodacom Group 3-yr revenue growth est. ~12% CAGR. Source: Vodacom FY2025 Annual Report.</t>
        </r>
      </text>
    </comment>
    <comment ref="M28" authorId="0" shapeId="0" xr:uid="{9F677EC1-2413-4767-918D-60DA9F24BDD0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Vodacom Group ~40M subscribers in South Africa + international. Source: Vodacom FY2025 Annual Report. Terminal data preferred.</t>
        </r>
      </text>
    </comment>
    <comment ref="N28" authorId="0" shapeId="0" xr:uid="{511B20AA-F742-4F16-9EBF-B929A5CA00E1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Vodacom Group blended ARPU est. ~$8/mo (ZAR ~130 / 16.3). Source: Vodacom FY2025 Annual Report. Terminal data preferred.</t>
        </r>
      </text>
    </comment>
    <comment ref="P28" authorId="0" shapeId="0" xr:uid="{1DD309CD-2E59-4B28-A1E8-6F19E8EE46E1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Vodacom Group (JSE:VOD) levered beta 0.42. Source: stockanalysis.com/quote/jse/VOD/statistics/. Jun 2026.</t>
        </r>
      </text>
    </comment>
    <comment ref="S28" authorId="0" shapeId="0" xr:uid="{678E2B72-2B71-43E4-97E8-540341060598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No preferred equity outstanding. Source: JSE VOD annual filings.</t>
        </r>
      </text>
    </comment>
    <comment ref="W28" authorId="0" shapeId="0" xr:uid="{2B4FFD26-B204-4921-AD00-379EC4687A92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South Africa effective tax rate ~28% (SA corporate tax 27%). Source: Vodacom FY2025 Annual Report.</t>
        </r>
      </text>
    </comment>
    <comment ref="C29" authorId="0" shapeId="0" xr:uid="{DD19EC1B-B511-4EFC-A7AB-0C39D40F47DA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Vodafone Idea (NSE:IDEA) mkt cap $15,293M (INR 1,459B / 95.4 USD/INR). Source: companiesmarketcap.com May 2026; BookMyForex USD/INR 95.4, Jun 10 2026.</t>
        </r>
      </text>
    </comment>
    <comment ref="D29" authorId="0" shapeId="0" xr:uid="{E4065F06-4C93-43DE-ACE2-9E196B7183A9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Vodafone Idea EV $36,374M (INR 3,470B EV / 95.4 USD/INR). Source: Yahoo Finance IDEA.NS EV INR 3.47T, Jun 5 2026.</t>
        </r>
      </text>
    </comment>
    <comment ref="F29" authorId="0" shapeId="0" xr:uid="{E8E1E69C-19B4-4211-8F7F-1D9D78391875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Vodafone Idea gross margin ~30% (limited cost data Q3 FY26). Source: simplywall.st NSE:IDEA. Jun 2026.</t>
        </r>
      </text>
    </comment>
    <comment ref="G29" authorId="0" shapeId="0" xr:uid="{CFDD53A2-81FC-4399-9D45-5C544F7FBEEB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Vodafone Idea EBITDA margin ~27% (EBITDA ~INR 120B / revenue INR 447.89B). Source: Yahoo Finance IDEA.NS EV/EBITDA 4.44x. Jun 2026.</t>
        </r>
      </text>
    </comment>
    <comment ref="H29" authorId="0" shapeId="0" xr:uid="{98752749-10E9-465E-9C37-A32613C663A9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Vodafone Idea CapEx % est. ~25% (4G buildout + 5G prep). Source: simplywall.st NSE:IDEA. Jun 2026.</t>
        </r>
      </text>
    </comment>
    <comment ref="I29" authorId="0" shapeId="0" xr:uid="{BBE5381D-FFEF-4A2B-856D-534C33DFBE61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Vodafone Idea 3-yr revenue growth est. ~5% CAGR (gradual ARPU recovery). Source: IDEA FY26 results — revenue INR 447.89B, up 3.1% YoY.</t>
        </r>
      </text>
    </comment>
    <comment ref="M29" authorId="0" shapeId="0" xr:uid="{337082F9-02D7-44EB-B3C4-596FBCAAA257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Vodafone Idea 198.48M wireless subscribers as of Mar 31, 2026 (15.68% India market share). Source: TRAI Telecom Subscription Data, Mar 2026.</t>
        </r>
      </text>
    </comment>
    <comment ref="N29" authorId="0" shapeId="0" xr:uid="{9DDBB51B-29FB-454B-BA57-D22B6688433F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Vodafone Idea ARPU ~INR 172/mo (~$2 USD), Q3 FY26. Source: Business Standard — Vodafone Idea ARPU Rs 172 in Q3FY26. Apr 2026.</t>
        </r>
      </text>
    </comment>
    <comment ref="P29" authorId="0" shapeId="0" xr:uid="{31598248-059F-47F3-8708-C25F0C0C8F0A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Vodafone Idea (NSE:IDEA) levered beta 1.10 est. (high financial leverage + volatility). Source: stockanalysis.com NSE:IDEA. Jun 2026.</t>
        </r>
      </text>
    </comment>
    <comment ref="S29" authorId="0" shapeId="0" xr:uid="{77A4C916-623C-4B8C-A0D4-5970669FA842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No preferred equity (negative total equity -INR 824.6B). Source: NSE IDEA filings.</t>
        </r>
      </text>
    </comment>
    <comment ref="W29" authorId="0" shapeId="0" xr:uid="{FC745201-3C27-4B60-ABE2-92533A62F5BE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India effective tax rate ~25% (large tax losses; cash tax near zero). India statutory 25.17%. Source: IDEA annual filings.</t>
        </r>
      </text>
    </comment>
    <comment ref="C30" authorId="0" shapeId="0" xr:uid="{58D94B94-DF40-4F93-B6E7-58A18A56132F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VEON Ltd. (Nasdaq:VEON) mkt cap ~$3,630M. Source: stockanalysis.com/stocks/veon/market-cap/ — $3.63B, Apr 2026.</t>
        </r>
      </text>
    </comment>
    <comment ref="D30" authorId="0" shapeId="0" xr:uid="{E9E23358-4A50-406D-9171-05C4272DF07F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VEON Ltd. EV ~$9,719M (EV/EBITDA 3.56x × ~$2,732M LTM EBITDA). Source: stockanalysis.com/stocks/veon/statistics/. Jun 2026.</t>
        </r>
      </text>
    </comment>
    <comment ref="F30" authorId="0" shapeId="0" xr:uid="{01168F94-8354-415F-92D6-912AAC93D4BC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VEON gross margin ~88% (primarily service revenue). Source: stockanalysis.com/stocks/veon/statistics/ — 88.04%. Jun 2026.</t>
        </r>
      </text>
    </comment>
    <comment ref="G30" authorId="0" shapeId="0" xr:uid="{AF81061E-D8A0-4C75-ADED-C53DBA6E4986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VEON EBITDA margin ~43% (LTM EBITDA $1,879M / revenue $4,400M). Source: VEON Q1 2026 earnings release (SEC Form 6-K). May 2026.</t>
        </r>
      </text>
    </comment>
    <comment ref="H30" authorId="0" shapeId="0" xr:uid="{BED60D79-56F5-4021-9A64-86AAD25C2696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VEON CapEx % ~16.7% ($733M / $4,400M revenue LTM). Source: VEON Q1 2026 earnings release (SEC Form 6-K). May 2026.</t>
        </r>
      </text>
    </comment>
    <comment ref="I30" authorId="0" shapeId="0" xr:uid="{C311E214-C62B-4449-BBED-2129AA92B9E1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VEON 3-yr revenue growth est. ~14% CAGR in USD (guided 11-14% for 2026; digital surge). Source: VEON 2026 guidance. May 2026.</t>
        </r>
      </text>
    </comment>
    <comment ref="M30" authorId="0" shapeId="0" xr:uid="{565D45E7-BD29-4BF3-A153-24450D414764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VEON 150.5M mobile customers as of Q1 2026 (Mar 31, 2026). Source: VEON Q1 2026 earnings release (SEC Form 6-K). May 2026.</t>
        </r>
      </text>
    </comment>
    <comment ref="N30" authorId="0" shapeId="0" xr:uid="{E4AD615E-C6D1-4F14-8321-DCB0F34B636C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VEON mobile ARPU $2.3/mo (Q1 2026). Source: VEON Q1 2026 earnings release (SEC Form 6-K). May 2026.</t>
        </r>
      </text>
    </comment>
    <comment ref="P30" authorId="0" shapeId="0" xr:uid="{B5A20EE4-E566-4CE2-8290-188C18723908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VEON Ltd. (Nasdaq:VEON) levered beta 1.61. Source: stockanalysis.com/stocks/veon/statistics/. Jun 2026.</t>
        </r>
      </text>
    </comment>
    <comment ref="S30" authorId="0" shapeId="0" xr:uid="{737C465D-0FD6-43F0-A096-29B13BFC9E65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No preferred equity outstanding. Source: VEON 20-F (SEC).</t>
        </r>
      </text>
    </comment>
    <comment ref="W30" authorId="0" shapeId="0" xr:uid="{F8B145D8-DA62-4963-B891-156414C66AC4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Blended effective tax rate ~20% (Pakistan, Ukraine, Kazakhstan). Source: VEON 2025 Annual Report 20-F.</t>
        </r>
      </text>
    </comment>
    <comment ref="C31" authorId="0" shapeId="0" xr:uid="{25B8F987-C610-4767-AFC3-E5C87055B560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Zain Kuwait (KWSE:ZAIN) mkt cap $7,612M (KWD 2.35B × 3.239 USD/KWD). Source: investing.com KWSE:ZAIN; exchange-rates.org USD/KWD 0.3088, Jun 4 2026.</t>
        </r>
      </text>
    </comment>
    <comment ref="D31" authorId="0" shapeId="0" xr:uid="{60B45D65-0C81-41CC-AF22-E768E335E4E0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Zain Kuwait EV est. ~$9,719M. Source: TradingView KWSE:ZAIN — EBITDA KWD 790.35M. Jun 2026.</t>
        </r>
      </text>
    </comment>
    <comment ref="F31" authorId="0" shapeId="0" xr:uid="{6080E74C-EBEF-4480-A510-4CCDF6D0E619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Zain Kuwait gross margin ~55% (blended across Kuwait, Jordan, Iraq, Bahrain, KSA, Lebanon). Source: KWSE:ZAIN annual filings. Terminal data preferred.</t>
        </r>
      </text>
    </comment>
    <comment ref="G31" authorId="0" shapeId="0" xr:uid="{37E7A3F0-A76F-4CEB-8055-650C0E0AAE4B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Zain Kuwait EBITDA margin ~34% (EBITDA KWD 790.35M / revenue KWD 2,315M LTM). Source: TradingView KWSE:ZAIN. Jun 2026.</t>
        </r>
      </text>
    </comment>
    <comment ref="H31" authorId="0" shapeId="0" xr:uid="{8706DAE2-03B6-43FB-B041-4751030B9A41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Zain Kuwait CapEx % ~24% (LTM capex ~$544M / $2,230M revenue). Source: stockanalysis.com/quote/kwse/ZAIN/. Jun 2026.</t>
        </r>
      </text>
    </comment>
    <comment ref="I31" authorId="0" shapeId="0" xr:uid="{F8FD83B4-7D71-4FAF-A3F0-6B660686D0F1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Zain Kuwait 3-yr revenue growth est. ~8% CAGR. Source: Zain Group Q1 2026 results. telecomreview.com May 2026.</t>
        </r>
      </text>
    </comment>
    <comment ref="M31" authorId="0" shapeId="0" xr:uid="{695B6EF6-A6EC-4941-B6CA-AD947DCEB12C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Zain Group 51.2M total subscribers as of Q1 2026 (Kuwait, Jordan, Iraq, Bahrain, KSA, Lebanon). Source: Zain Group Q1 2026 results. telecomreview.com May 2026.</t>
        </r>
      </text>
    </comment>
    <comment ref="N31" authorId="0" shapeId="0" xr:uid="{EB0866E9-D683-4E84-89A9-79A7C944676E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Zain Group blended ARPU est. ~$9/mo ($1,860M quarterly revenue / 51.2M subs / 3). Source: Zain Group Q1 2026 results. telecomreview.com May 2026.</t>
        </r>
      </text>
    </comment>
    <comment ref="P31" authorId="0" shapeId="0" xr:uid="{815AD54D-10E5-4753-A630-D5C30C8872E4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Zain Kuwait (KWSE:ZAIN) levered beta 0.65 est. Source: stockanalysis.com/quote/kwse/ZAIN/. Jun 2026.</t>
        </r>
      </text>
    </comment>
    <comment ref="S31" authorId="0" shapeId="0" xr:uid="{501EDE82-15C5-4B15-A355-7F40F6B48EDB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No preferred equity outstanding. Source: KSE ZAIN annual filings.</t>
        </r>
      </text>
    </comment>
    <comment ref="W31" authorId="0" shapeId="0" xr:uid="{4C642149-90DF-458C-8981-13EDC3330CE4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Effective tax rate ~15% (Kuwait Zakat/tax on foreign shareholders). Source: Zain 2025 Annual Report.</t>
        </r>
      </text>
    </comment>
    <comment ref="C32" authorId="0" shapeId="0" xr:uid="{06265BA4-C758-4950-82EF-B92684D00EB4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Safaricom PLC (NASE:SCOM) mkt cap $9,815M (KES 1.27T / 129.4 USD/KES). Source: TradingView NSEKE:SCOM; TradingEconomics USD/KES 129.4, Jun 9 2026.</t>
        </r>
      </text>
    </comment>
    <comment ref="D32" authorId="0" shapeId="0" xr:uid="{CF09E4BF-6A5D-4D70-A08E-3519CC0B25FF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Safaricom EV est. ~$11,440M (mkt cap $9,815 + net debt ~$1,625 est.). Source: AXYS Group Safaricom FY26 report — net debt/EBITDA 1.2x. Jun 2026.</t>
        </r>
      </text>
    </comment>
    <comment ref="F32" authorId="0" shapeId="0" xr:uid="{28E6337E-56FD-402D-9428-B77C95C31745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Safaricom gross margin ~60% (FY2026 Kenya service revenue KES 400.8B). Source: Safaricom FY2026 Annual Results. May 2026.</t>
        </r>
      </text>
    </comment>
    <comment ref="G32" authorId="0" shapeId="0" xr:uid="{90DF4A21-249F-45DB-B586-785BF3962B42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Safaricom EBITDA margin ~44% (FY2025 EBITDA KES 172.2B / revenue KES 388.7B = 44.3%). Source: AXYS Group / SIB Valuation Update. Oct 2025.</t>
        </r>
      </text>
    </comment>
    <comment ref="H32" authorId="0" shapeId="0" xr:uid="{920B3AA8-AA32-4390-88B1-9383E6F2F7BE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Safaricom CapEx % ~19.1% (FY2026 capex KES 79B / KES 414B revenue). Source: Safaricom FY2026 Annual Results. May 2026.</t>
        </r>
      </text>
    </comment>
    <comment ref="I32" authorId="0" shapeId="0" xr:uid="{FD028437-100F-4D6C-AFD5-ACA83EE83290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Safaricom 3-yr revenue growth est. ~11% CAGR (FY2026 revenue +6.6%; Ethiopia ramp). Source: Safaricom FY2026 Annual Results. May 2026.</t>
        </r>
      </text>
    </comment>
    <comment ref="M32" authorId="0" shapeId="0" xr:uid="{F35BCFE9-6386-4602-9408-7D66614A7891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Safaricom ~42M Kenya customers + 13.6M Ethiopia = ~55.6M total (FY2026). Source: Safaricom FY2026 Annual Results. telecomreviewafrica.com May 2026.</t>
        </r>
      </text>
    </comment>
    <comment ref="N32" authorId="0" shapeId="0" xr:uid="{CB406BA6-BDF5-4633-93DA-F47F79A902E6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Safaricom Kenya mobile ARPU est. ~KES 320/mo (~$2.5 USD). Source: FY2026 service revenue KES 400.8B / 12 / 42M subs. Jun 2026.</t>
        </r>
      </text>
    </comment>
    <comment ref="P32" authorId="0" shapeId="0" xr:uid="{BAA2487B-A65E-4EA1-AEA6-294DF7B98593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Safaricom (NASE:SCOM) levered beta 0.50 (NSE Kenya local beta 1.57; using 0.50 for USD comps). Source: live.mystocks.co.ke SCOM. Jun 2026.</t>
        </r>
      </text>
    </comment>
    <comment ref="S32" authorId="0" shapeId="0" xr:uid="{22382F7A-D3D7-4C69-90FD-E8E4BB175629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No preferred equity outstanding. Source: NSE SCOM filings.</t>
        </r>
      </text>
    </comment>
    <comment ref="W32" authorId="0" shapeId="0" xr:uid="{FB736066-3914-4AD6-924D-C16430BF17D1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Kenya corporate tax rate 30%. Source: Safaricom FY2026 Annual Results.</t>
        </r>
      </text>
    </comment>
    <comment ref="C33" authorId="0" shapeId="0" xr:uid="{805B657B-6107-4FC4-93BA-A49455B3BBD1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PT XLSMART (IDX:EXCL) mkt cap $3,255M (IDR 52.42T / ~16,100 USD/IDR). Source: investing.com EXCL IDR 52.42T; XLSMART IR FX ref ~16,000 (Apr 2025). Jun 2026.</t>
        </r>
      </text>
    </comment>
    <comment ref="D33" authorId="0" shapeId="0" xr:uid="{3FE0C8A1-763A-45CF-BF6B-081ED1445411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PT XLSMART (IDX:EXCL) EV est. ~$4,037M (mkt cap $3,255 + net debt ~$782M). Source: XLSMART Q1 2026 results. Jun 2026.</t>
        </r>
      </text>
    </comment>
    <comment ref="F33" authorId="0" shapeId="0" xr:uid="{A7140BAF-CE6D-4DA5-A24F-B28FFB2F9677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PT XLSMART (IDX:EXCL) gross margin ~55% (combined XL Axiata + Smartfren). Source: XLSMART Q1 2026 earnings — EBITDA margin 46%. Jun 2026.</t>
        </r>
      </text>
    </comment>
    <comment ref="G33" authorId="0" shapeId="0" xr:uid="{8931811F-1056-4BD1-AEF9-5417389A929D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PT XLSMART (IDX:EXCL) EBITDA margin ~30% (LTM blended, integration in progress). Source: investing.com EXCL Q1 2026. Jun 2026.</t>
        </r>
      </text>
    </comment>
    <comment ref="H33" authorId="0" shapeId="0" xr:uid="{33B96605-F1D0-4CB1-9F27-B3AAC63D0105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PT XLSMART CapEx % ~20% (proforma IDR ~9T / IDR 45.8T revenue). Source: XLSMART FY2025 proforma (EXCL IR). Apr 2025.</t>
        </r>
      </text>
    </comment>
    <comment ref="I33" authorId="0" shapeId="0" xr:uid="{439EBB0E-7D1B-4D84-A1EF-9C1AFD1D3CB0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PT XLSMART 3-yr revenue growth est. ~10% CAGR (merger synergies + Indonesia 5G). Source: XLSMART Q1 2026 earnings — revenue +38% YoY. Jun 2026.</t>
        </r>
      </text>
    </comment>
    <comment ref="M33" authorId="0" shapeId="0" xr:uid="{F8343A61-E4C7-4CF2-AC05-0093804B2322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PT XLSMART total subscribers ~94.5M (combined XL + Axis + Smartfren). Source: XLSMART official establishment — '94.5 million customers.' xlaxiata.co.id Apr 2025.</t>
        </r>
      </text>
    </comment>
    <comment ref="N33" authorId="0" shapeId="0" xr:uid="{47139B88-66D4-47FD-9738-BEEC5EC8AC0B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PT XLSMART blended ARPU est. ~$1.5/mo (IDR ~24,000 / 16,100). Source: XLSMART IR estimates. Jun 2026.</t>
        </r>
      </text>
    </comment>
    <comment ref="P33" authorId="0" shapeId="0" xr:uid="{6C78E0E7-B00D-442B-A197-DDC2BC4E8B12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PT XLSMART (IDX:EXCL) levered beta 1.00 est. (Indonesian telecom moderate leverage, emerging market). Jun 2026.</t>
        </r>
      </text>
    </comment>
    <comment ref="S33" authorId="0" shapeId="0" xr:uid="{BD137718-57D1-4807-BCEB-F0E57BE726D0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No preferred equity outstanding. Source: IDX EXCL filings.</t>
        </r>
      </text>
    </comment>
    <comment ref="W33" authorId="0" shapeId="0" xr:uid="{F2D8269B-E547-41AD-9CAF-724558491DBF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Indonesia corporate tax rate 22%. Source: EXCL annual filings, IDX.</t>
        </r>
      </text>
    </comment>
    <comment ref="C43" authorId="0" shapeId="0" xr:uid="{9639F973-2571-43FD-AB05-41F9FF6106F8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América Móvil (BMV:AMX B) mkt cap $76,000M est. Source: AMX Q3 2025 Form 6-K (SEC) — 328.8M wireless lines; mkt cap est. Jun 2026.</t>
        </r>
      </text>
    </comment>
    <comment ref="D43" authorId="0" shapeId="0" xr:uid="{B0878FD5-4657-4E74-9E1E-8F31A9AB7272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América Móvil EV $121,230M. Source: Yahoo Finance AMX key statistics — EV $121.23B, Jun 5 2026.</t>
        </r>
      </text>
    </comment>
    <comment ref="F43" authorId="0" shapeId="0" xr:uid="{78327040-B432-45B8-B964-B3DD52C213C2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América Móvil gross margin ~43.4% (FY2025). Source: AMX Q4 2025 Form 6-K (SEC). Jan 2026.</t>
        </r>
      </text>
    </comment>
    <comment ref="H43" authorId="0" shapeId="0" xr:uid="{102216F3-8C55-48B8-8631-7857A8EF8133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América Móvil CapEx % ~13% (MXN 54.9B H1 2025 / ~MXN 420B LTM revenue). Source: AMX Q3 2025 Form 6-K (SEC). Oct 2025.</t>
        </r>
      </text>
    </comment>
    <comment ref="I43" authorId="0" shapeId="0" xr:uid="{E598F317-C443-462E-BE11-D10A921C6493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América Móvil 3-yr revenue growth est. ~15% CAGR. Source: AMX Q4 2025 Form 6-K (SEC). Jan 2026.</t>
        </r>
      </text>
    </comment>
    <comment ref="M43" authorId="0" shapeId="0" xr:uid="{16C12043-0BA8-4F52-AE14-82DA5959F782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América Móvil 328.8M wireless lines as of Sep 30, 2025 (404M total accesses). Source: stocktitan.net citing AMX Q3 2025 Form 6-K. Oct 2025.</t>
        </r>
      </text>
    </comment>
    <comment ref="N43" authorId="0" shapeId="0" xr:uid="{8F8AEE1A-86AE-41D8-B778-246C9EBD4EA6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América Móvil consolidated ARPU ~$11/mo (Mexico MXN 183 ~$9; Brazil BRL 27 ~$5; higher Europe). Source: AMX Q3 2025 Form 6-K (SEC). Oct 2025.</t>
        </r>
      </text>
    </comment>
    <comment ref="P43" authorId="0" shapeId="0" xr:uid="{ED6FFB22-712E-4D74-9254-381ABAA34E4D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América Móvil (BMV:AMX B) levered beta 0.28. Source: stockanalysis.com/stocks/amx/. Jun 2026.</t>
        </r>
      </text>
    </comment>
    <comment ref="S43" authorId="0" shapeId="0" xr:uid="{55C137A9-B20D-437E-A110-A0291071F0AF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No meaningful preferred equity. Source: AMX 2025 Annual Report.</t>
        </r>
      </text>
    </comment>
    <comment ref="W43" authorId="0" shapeId="0" xr:uid="{25AEB5DB-5968-4EDE-B360-6E1CE415495B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Mexico/LatAm blended effective tax rate ~28% (Mexico corporate tax 30%, LatAm blended lower). Source: AMX 2025 Annual Report.</t>
        </r>
      </text>
    </comment>
    <comment ref="C44" authorId="0" shapeId="0" xr:uid="{7B065792-B0D8-44F3-B61F-7D1B5E1354BF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China Mobile (SEHK:941) mkt cap ~$224,000M est. Source: companiesmarketcap.com. Jun 2026.</t>
        </r>
      </text>
    </comment>
    <comment ref="D44" authorId="0" shapeId="0" xr:uid="{59F9B52E-956D-46D2-AF08-D87952834C83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China Mobile EV ~$186,000M (mkt cap ~$224B less net cash ~$38B). Source: China Mobile 2025 Annual Report. Mar 2025.</t>
        </r>
      </text>
    </comment>
    <comment ref="F44" authorId="0" shapeId="0" xr:uid="{24A5A77F-D503-4671-97F1-A238B5271F63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China Mobile gross margin est. ~28% (high network cost base). Source: Light Reading — China Mobile 2025 results, revenue RMB 1.04T. Mar 2025.</t>
        </r>
      </text>
    </comment>
    <comment ref="H44" authorId="0" shapeId="0" xr:uid="{D665B30E-BB4A-4C8E-997B-2A5A185EAD0C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China Mobile CapEx % ~16% (RMB ~165B / RMB 1,040B revenue). Source: China Mobile 2025 Annual Report (HKEx). Mar 2025.</t>
        </r>
      </text>
    </comment>
    <comment ref="I44" authorId="0" shapeId="0" xr:uid="{74919C5B-6A6D-4A5D-8FDC-583EF8C6EFAF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China Mobile 3-yr revenue growth est. ~5% CAGR (maturing Chinese mobile market). Source: Light Reading — 2025 revenue +3.1%. Mar 2025.</t>
        </r>
      </text>
    </comment>
    <comment ref="M44" authorId="0" shapeId="0" xr:uid="{E3A68FBC-BA36-4486-AF2F-428D85211B0B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China Mobile ~1,009M mobile subscribers as of Q3 2025. Source: Marbridge Consulting citing China Mobile Q3 2025 data. Nov 2025.</t>
        </r>
      </text>
    </comment>
    <comment ref="N44" authorId="0" shapeId="0" xr:uid="{8C1DC65A-1C53-4388-990B-4258505891B2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China Mobile mobile ARPU: RMB 48.5/mo (~$6.7 USD at RMB 7.25/$). Source: Light Reading citing China Mobile 2024 annual results. Mar 2025.</t>
        </r>
      </text>
    </comment>
    <comment ref="P44" authorId="0" shapeId="0" xr:uid="{1205503E-0AB0-41E8-87AE-D6A9468031BB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China Mobile (SEHK:941) levered beta 0.23. Source: stockanalysis.com Conn Comps calc. Jun 2026.</t>
        </r>
      </text>
    </comment>
    <comment ref="S44" authorId="0" shapeId="0" xr:uid="{276EB134-2A68-469C-A0B7-D5FB90E424D5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No preferred equity. Source: China Mobile 2025 Annual Report.</t>
        </r>
      </text>
    </comment>
    <comment ref="W44" authorId="0" shapeId="0" xr:uid="{95049899-895F-4B14-8E5C-10202A8DAB15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China corporate income tax 25% + provincial; effective ~30%. Source: China Mobile 2025 Annual Report.</t>
        </r>
      </text>
    </comment>
    <comment ref="C45" authorId="0" shapeId="0" xr:uid="{AE5B6798-BABF-4928-BE6B-21768FC9EC18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T-Mobile US (Nasdaq:TMUS) mkt cap $202,950M. Source: macrotrends.net TMUS mkt cap est. Jun 2026.</t>
        </r>
      </text>
    </comment>
    <comment ref="D45" authorId="0" shapeId="0" xr:uid="{E653E595-4BD6-4931-8D3A-32BA9B62F56E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T-Mobile US EV $321,560M (EV/EBITDA 9.49x × ~$33.9B EBITDA). Source: stockanalysis.com/stocks/tmus/. Jun 2026.</t>
        </r>
      </text>
    </comment>
    <comment ref="F45" authorId="0" shapeId="0" xr:uid="{1DA16577-B11A-428B-A6B9-34D310B9346C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T-Mobile US gross margin ~63.8% (FY2025). Source: stockanalysis.com/stocks/tmus/statistics/. Jun 2026.</t>
        </r>
      </text>
    </comment>
    <comment ref="H45" authorId="0" shapeId="0" xr:uid="{CBFF4D8D-4817-4D77-8631-346E9F6200C1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T-Mobile US CapEx % 10.8% (~$9.8B / $90.5B revenue LTM). Source: TMUS Q1 2026 10-Q (SEC).</t>
        </r>
      </text>
    </comment>
    <comment ref="I45" authorId="0" shapeId="0" xr:uid="{0D1D25E8-FC5D-4C1D-8E08-4C865C38FF42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T-Mobile US 3-yr revenue growth est. ~5% CAGR. Source: T-Mobile FY2025 Annual Report — service revenues $71.3B, +8% YoY.</t>
        </r>
      </text>
    </comment>
    <comment ref="M45" authorId="0" shapeId="0" xr:uid="{AE098769-1B01-4CEE-BC94-B2835FA7F418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T-Mobile US 142.4M total customers at Dec 31, 2025. Source: T-Mobile FY2025 results (SEC Form 8-K). Feb 2026.</t>
        </r>
      </text>
    </comment>
    <comment ref="N45" authorId="0" shapeId="0" xr:uid="{6742AA6F-3495-4B7D-BE7E-2544F7C7B956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T-Mobile US postpaid phone ARPU ~$48/mo (FY2025). Note: TMUS discontinued phone ARPU in 2026, now reports ARPA ~$152/mo per account. Source: T-Mobile FY2025 earnings. Feb 2026.</t>
        </r>
      </text>
    </comment>
    <comment ref="P45" authorId="0" shapeId="0" xr:uid="{55DFC1EA-4631-4E0D-972A-76C15C5F3C29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T-Mobile US (Nasdaq:TMUS) levered beta 0.32. Source: stockanalysis.com/stocks/tmus/statistics/. Jun 2026.</t>
        </r>
      </text>
    </comment>
    <comment ref="S45" authorId="0" shapeId="0" xr:uid="{BB9F8EB9-6173-49DD-A16C-4FD834AC615A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No preferred equity outstanding. Source: TMUS Q1 2026 10-Q (SEC).</t>
        </r>
      </text>
    </comment>
    <comment ref="W45" authorId="0" shapeId="0" xr:uid="{015AAF2B-6A73-48E7-949F-E2204EF9BC31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US federal statutory tax rate 21%. Source: TMUS Q1 2026 10-Q (SEC).</t>
        </r>
      </text>
    </comment>
    <comment ref="C46" authorId="0" shapeId="0" xr:uid="{E16AC4D9-0A60-4028-AF39-0CE8522298B9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China Unicom (SHSE:600050) mkt cap ~$80,000M est. Source: SHSE 600050; est. Jun 2026. Terminal data preferred.</t>
        </r>
      </text>
    </comment>
    <comment ref="D46" authorId="0" shapeId="0" xr:uid="{39AB099F-6544-4949-80F1-8CBC513F788E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China Unicom EV est. ~$110,000M (mkt cap ~$80B + net debt ~$30B est.). Source: China Unicom 2025 Annual Report est.</t>
        </r>
      </text>
    </comment>
    <comment ref="E46" authorId="0" shapeId="0" xr:uid="{2C2DC4DC-3D24-4F81-B397-17C2FFB9F6DC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China Unicom LTM revenue est. ~$43,000M (RMB ~310B / 7.2 USD/CNY). Source: China Unicom 2025 Annual Report estimate.</t>
        </r>
      </text>
    </comment>
    <comment ref="F46" authorId="0" shapeId="0" xr:uid="{CFB612D2-7992-4362-9184-6C79A009D7D5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China Unicom gross margin ~55% est. Source: China telecom industry benchmarks. Terminal data preferred.</t>
        </r>
      </text>
    </comment>
    <comment ref="G46" authorId="0" shapeId="0" xr:uid="{B659CD9A-9801-4634-A339-73785CC69E71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China Unicom EBITDA margin est. ~28.5%. Source: China Unicom 2025 Annual Report estimate. Terminal data preferred.</t>
        </r>
      </text>
    </comment>
    <comment ref="H46" authorId="0" shapeId="0" xr:uid="{926B069C-1384-418B-BF94-800BA9965040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China Unicom CapEx % est. ~18% of revenue. Source: China Unicom 2025 Annual Report estimate.</t>
        </r>
      </text>
    </comment>
    <comment ref="I46" authorId="0" shapeId="0" xr:uid="{38F15335-8E01-41A6-802D-BE65E06B987A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China Unicom 3-yr revenue growth est. ~5%. Source: China telecom market growth, 2025.</t>
        </r>
      </text>
    </comment>
    <comment ref="M46" authorId="0" shapeId="0" xr:uid="{BF826FEE-E880-4EC2-9C47-1E7005BE1382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China Unicom mobile subscribers est. ~335M (ceased separate disclosure since 2022; est. from MIIT data). Source: MIIT China telecom data 2025.</t>
        </r>
      </text>
    </comment>
    <comment ref="N46" authorId="0" shapeId="0" xr:uid="{55158B1C-B3E4-40C1-99D7-B322FD286AB1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China Unicom mobile ARPU est. ~CNY 40/mo (~$5.5 USD at CNY 7.25/$). Derived from revenue/subs. Source: MIIT 2025.</t>
        </r>
      </text>
    </comment>
    <comment ref="P46" authorId="0" shapeId="0" xr:uid="{FE2486E1-4987-40DD-9FCB-F47DA317EB0F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China Unicom (SHSE:600050) levered beta 0.50 est. Source: Hamada calc from comps. Jun 2026.</t>
        </r>
      </text>
    </comment>
    <comment ref="S46" authorId="0" shapeId="0" xr:uid="{C66A5F51-DEE6-41BA-9BB0-33B73597C5A7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No preferred equity. Source: China Unicom 2025 Annual Report.</t>
        </r>
      </text>
    </comment>
    <comment ref="W46" authorId="0" shapeId="0" xr:uid="{2D1C3551-842E-4C57-A047-9A27FDEBB4DE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China CIT 25%; effective ~25-30%. Source: China Unicom 2025 Annual Report.</t>
        </r>
      </text>
    </comment>
    <comment ref="C47" authorId="0" shapeId="0" xr:uid="{DB098E26-B8B0-4848-ADBD-FC5A840F1259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Charter Communications (Nasdaq:CHTR) mkt cap $27,710M. Source: wallstreetzen.com CHTR mkt cap ~$22.9B, May 5 2026; updated est. Jun 2026.</t>
        </r>
      </text>
    </comment>
    <comment ref="D47" authorId="0" shapeId="0" xr:uid="{3779E1BC-2094-4BCD-8D5C-12FCFE76B9A1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Charter Communications EV $119,000M = mkt cap $27,710 + debt $97,310 – cash $517. Source: stockanalysis.com/stocks/chtr/statistics/ + mlq.ai CHTR. Jun 2026.</t>
        </r>
      </text>
    </comment>
    <comment ref="F47" authorId="0" shapeId="0" xr:uid="{A5D5FDFC-5090-4D4F-8890-B80B2201EED3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Charter Communications gross margin ~55.35% (FY2025). Source: stockanalysis.com/stocks/chtr/statistics/. Jun 2026.</t>
        </r>
      </text>
    </comment>
    <comment ref="H47" authorId="0" shapeId="0" xr:uid="{745A1F44-6C3B-4E91-BFD7-60498F753813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Charter Communications CapEx % 22.2% ($12.12B / $54.64B revenue FY2025). Source: stockanalysis.com/stocks/chtr/statistics/. Jun 2026.</t>
        </r>
      </text>
    </comment>
    <comment ref="I47" authorId="0" shapeId="0" xr:uid="{FCD47364-561E-4A36-9285-79D989FAB1E1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Charter Communications 3-yr revenue growth est. ~2% CAGR (broadband declining; Spectrum Mobile growing). Source: Charter Q1 2026 earnings — revenue fell 1% YoY. Apr 2026.</t>
        </r>
      </text>
    </comment>
    <comment ref="M47" authorId="0" shapeId="0" xr:uid="{638B59C0-F217-42F4-879D-EE10EBA1D2CC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Charter Communications ~32M total customer relationships (Internet ~27.5M + Mobile 12M lines). Source: Charter Q1 2026 earnings — '12 million mobile lines.' Apr 2026.</t>
        </r>
      </text>
    </comment>
    <comment ref="N47" authorId="0" shapeId="0" xr:uid="{6A058CB4-0FD8-4BF7-A837-2D964DCD6199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Charter Communications Internet ARPU ~$114/mo. Source: Statista citing Charter ARPU $114.14; Q1 2026 call 'broadband ARPU flat YoY.' Apr 2026.</t>
        </r>
      </text>
    </comment>
    <comment ref="P47" authorId="0" shapeId="0" xr:uid="{EA92C40C-2A57-40C2-8DFE-A6FADB6F6693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Charter Communications (Nasdaq:CHTR) levered beta 1.05. Source: stockanalysis.com/stocks/chtr/statistics/ — beta 1.03-1.05. Jun 2026.</t>
        </r>
      </text>
    </comment>
    <comment ref="Q47" authorId="0" shapeId="0" xr:uid="{B3393708-98BA-475A-8206-BE017F7391CF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Charter Communications (CHTR) total debt $97.31B. Source: stockanalysis.com/stocks/chtr/statistics/. Jun 2026.</t>
        </r>
      </text>
    </comment>
    <comment ref="S47" authorId="0" shapeId="0" xr:uid="{8136135A-A8C1-4C95-8900-BEE48AD563EB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No preferred equity. Source: CHTR Q1 2026 10-Q (SEC).</t>
        </r>
      </text>
    </comment>
    <comment ref="U47" authorId="0" shapeId="0" xr:uid="{F9E75F56-7341-4476-986C-8E96371BB1A9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Charter Communications equity (mkt cap) $22,900M. Source: wallstreetzen.com CHTR mkt cap ~$22.9B, May 5 2026.</t>
        </r>
      </text>
    </comment>
    <comment ref="W47" authorId="0" shapeId="0" xr:uid="{0D40147A-3AB2-46A7-A62F-D2761BB45A77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US federal statutory tax rate 21%. Source: Charter Q1 2026 10-Q (SEC). Apr 2026.</t>
        </r>
      </text>
    </comment>
    <comment ref="C48" authorId="0" shapeId="0" xr:uid="{09088E3C-6BDF-4A7F-A15D-288975A10E45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SoftBank Corp (TSE:9434) mkt cap ~$28,000M USD (~JPY 4T at JPY 143/$). Source: Investing.com TSE:9434; SoftBank Corp 2025 report. Jun 2026.</t>
        </r>
      </text>
    </comment>
    <comment ref="D48" authorId="0" shapeId="0" xr:uid="{70DB041B-133A-493C-B8CF-56DA856D1A93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SoftBank Corp EV ~$63,000M USD (~JPY 9T at JPY 143/$). Source: SoftBank Corp FY2025 Integrated Report estimate. Jun 2026.</t>
        </r>
      </text>
    </comment>
    <comment ref="E48" authorId="0" shapeId="0" xr:uid="{F1BBA8B3-1BFB-4B43-BCD6-50BDD06AD7CC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SoftBank Corp LTM revenue ~$49,000M (JPY 7,040B / JPY 143/$). Source: Investing.com — SoftBank Corp record revenue JPY 7.04T for FY ended Mar 2026.</t>
        </r>
      </text>
    </comment>
    <comment ref="F48" authorId="0" shapeId="0" xr:uid="{BA406088-320A-46EE-A945-F6CDE2124410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SoftBank Corp gross margin ~44% (mobile + enterprise + distribution). Source: SoftBank Corp FY2025 Integrated Report. Oct 2025.</t>
        </r>
      </text>
    </comment>
    <comment ref="G48" authorId="0" shapeId="0" xr:uid="{EB06D072-81F4-4196-A05D-9AB5447737FB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SoftBank Corp EBITDA margin ~32% (LTM). Source: SoftBank Corp FY2025 Integrated Report. Oct 2025.</t>
        </r>
      </text>
    </comment>
    <comment ref="H48" authorId="0" shapeId="0" xr:uid="{B221801C-21C0-4EBE-8940-E3BD4E092213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SoftBank Corp CapEx % est. ~13% (JPY ~900B / JPY 7,040B revenue). Source: SoftBank Corp FY2025 results, Investing.com.</t>
        </r>
      </text>
    </comment>
    <comment ref="I48" authorId="0" shapeId="0" xr:uid="{40183293-A1DE-4277-A561-4C905F05ABFC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SoftBank Corp 3-yr revenue growth est. ~5% CAGR (mature Japanese mobile + enterprise AI). Source: SoftBank Corp FY2025 Integrated Report.</t>
        </r>
      </text>
    </comment>
    <comment ref="M48" authorId="0" shapeId="0" xr:uid="{C2210DF2-082B-481E-B6C7-F7E67C0F7ABD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SoftBank Corp ~44M subscribers in Japan (~25.8% market share). Source: trade.gov Japan 5G Networks.</t>
        </r>
      </text>
    </comment>
    <comment ref="N48" authorId="0" shapeId="0" xr:uid="{EC1E8514-3018-497A-B17E-B9CD7870246E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SoftBank Corp ARPU ~$41/mo USD. Source: trade.gov Japan 5G Networks. Declining trend due to regulatory pricing pressure.</t>
        </r>
      </text>
    </comment>
    <comment ref="S48" authorId="0" shapeId="0" xr:uid="{3E446588-9FBB-4410-B43B-3EE99F778870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No preferred equity outstanding. Source: SoftBank Corp FY2025 Report.</t>
        </r>
      </text>
    </comment>
    <comment ref="W48" authorId="0" shapeId="0" xr:uid="{003A7DE9-71C4-4846-BB8C-C1F309D0B0F8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Japan corporate tax ~29-31%; effective ~30%. Source: SoftBank Corp FY2025 Integrated Report.</t>
        </r>
      </text>
    </comment>
    <comment ref="C49" authorId="0" shapeId="0" xr:uid="{0A5B0066-4327-4BED-841E-EBB3B06D9E0B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Vodafone Group (LSE:VOD) mkt cap $34,460M. Source: stockanalysis.com/stocks/vod/market-cap/ — $34.46B, May 22 2026.</t>
        </r>
      </text>
    </comment>
    <comment ref="D49" authorId="0" shapeId="0" xr:uid="{B050E056-5676-4448-9EB2-1D4041C57109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Vodafone Group EV ~$98,000M = mkt cap $34,460 + debt $63,250 – cash $15,870 adj. Source: stockanalysis.com/stocks/vod/statistics/. Jun 2026.</t>
        </r>
      </text>
    </comment>
    <comment ref="E49" authorId="0" shapeId="0" xr:uid="{C20B2F0D-F73C-42A9-AC08-6A346DE9DF0B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Vodafone Group LTM revenue $45,500M. Source: stockanalysis.com/stocks/vod/statistics/. Jun 2026.</t>
        </r>
      </text>
    </comment>
    <comment ref="F49" authorId="0" shapeId="0" xr:uid="{AA71CF1D-A6B9-488F-988A-5C42BFFA1581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Vodafone Group gross margin 33.20%. Source: stockanalysis.com/stocks/vod/statistics/. Jun 2026.</t>
        </r>
      </text>
    </comment>
    <comment ref="G49" authorId="0" shapeId="0" xr:uid="{06467797-DDAE-4C23-8669-5D1975C6EF93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Vodafone Group EBITDA margin ~35% (LTM). Source: stockanalysis.com/stocks/vod/statistics/ — EV/EBITDA 7.46x. Jun 2026.</t>
        </r>
      </text>
    </comment>
    <comment ref="H49" authorId="0" shapeId="0" xr:uid="{639B5FAC-9B01-49EE-994B-456C7AE364FD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Vodafone Group CapEx % ~11.8% (£5.39B / £45.5B revenue). Source: stockanalysis.com/stocks/vod/statistics/. Jun 2026.</t>
        </r>
      </text>
    </comment>
    <comment ref="I49" authorId="0" shapeId="0" xr:uid="{C63C3276-D6C9-4492-8C34-7F0192E59746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Vodafone Group 3-yr revenue growth est. ~4% CAGR. Source: simplywall.st — 'Revenue forecast to grow 4.0% p.a.'</t>
        </r>
      </text>
    </comment>
    <comment ref="M49" authorId="0" shapeId="0" xr:uid="{4F75C0B6-290F-43B6-B25A-1721C46BAF52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Vodafone Group ~270M mobile customers across Europe and Africa. Source: Vodafone Group FY2025 Annual Report.</t>
        </r>
      </text>
    </comment>
    <comment ref="N49" authorId="0" shapeId="0" xr:uid="{EA4687AF-5D70-475F-959C-37738604B0D8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Vodafone Group blended ARPU est. ~$5/mo (revenue ~$45.5B / ~750M connections / 12). Source: Vodafone Group FY2025 Annual Report.</t>
        </r>
      </text>
    </comment>
    <comment ref="S49" authorId="0" shapeId="0" xr:uid="{89CC1FD5-1849-489F-A8E3-76A1761EFD66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No preferred equity outstanding. Source: Vodafone Group FY2025 Annual Report.</t>
        </r>
      </text>
    </comment>
    <comment ref="W49" authorId="0" shapeId="0" xr:uid="{F704459F-3B5E-486F-9473-2AEF56890D5F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UK corporate tax 25% (from Apr 2023). Source: Vodafone Group FY2025 Annual Report.</t>
        </r>
      </text>
    </comment>
    <comment ref="C50" authorId="0" shapeId="0" xr:uid="{453B821F-C0F6-4AEE-B403-AFCF7C71E031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KDDI Corporation (TSE:9433) mkt cap ~$56,000M USD (~JPY 8T at JPY 143/$). Source: companiesmarketcap.com. Jun 2026.</t>
        </r>
      </text>
    </comment>
    <comment ref="D50" authorId="0" shapeId="0" xr:uid="{2F7AD27B-686A-4B92-9528-8D1FB5403422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KDDI Corporation EV ~$74,000M USD (~JPY 10.6T at JPY 143/$). Source: KDDI FY2025 Annual Report. Jun 2026.</t>
        </r>
      </text>
    </comment>
    <comment ref="E50" authorId="0" shapeId="0" xr:uid="{E94D8512-BD3B-4C26-8179-7C26C1224913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KDDI Corporation LTM revenue ~$42,000M (JPY 6,010B / JPY 143/$). Source: KDDI FY2025 Annual Report. Jun 2026.</t>
        </r>
      </text>
    </comment>
    <comment ref="F50" authorId="0" shapeId="0" xr:uid="{2AFF0313-AA89-4709-8384-CB65AD10A49B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KDDI Corporation gross margin ~45% (mobile + fixed + enterprise). Source: KDDI FY2025 Annual Report. Jun 2026.</t>
        </r>
      </text>
    </comment>
    <comment ref="G50" authorId="0" shapeId="0" xr:uid="{E20FD9B1-869B-4885-B8E9-95496B25FF9F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KDDI Corporation EBITDA margin ~33% (LTM). Source: KDDI FY2025 Annual Report. Jun 2026.</t>
        </r>
      </text>
    </comment>
    <comment ref="H50" authorId="0" shapeId="0" xr:uid="{DDC0C482-0331-435B-A38A-1FB9E93BF194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KDDI Corporation CapEx % est. ~14-16% (JPY ~600B / JPY ~5,800B revenue). Source: KDDI FY2025 Annual Report estimate.</t>
        </r>
      </text>
    </comment>
    <comment ref="I50" authorId="0" shapeId="0" xr:uid="{13C28AC5-F7B1-46D1-BE6B-D8B14682452B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KDDI Corporation 3-yr revenue growth est. ~8% CAGR (5G + au Mobile + satellite distribution). Source: KDDI FY2025 Annual Report.</t>
        </r>
      </text>
    </comment>
    <comment ref="M50" authorId="0" shapeId="0" xr:uid="{18E694E8-7FB5-40CE-A2FC-2B5E96AD843F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KDDI au ~55M subscribers in Japan (~32% market share). Source: trade.gov Japan 5G Networks.</t>
        </r>
      </text>
    </comment>
    <comment ref="N50" authorId="0" shapeId="0" xr:uid="{984A6802-A22D-4DAB-8798-AA5D6EF8B846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KDDI au ARPU ~$54/mo USD. Source: trade.gov Japan 5G Networks. Japan premium mobile ARPU with bundled services.</t>
        </r>
      </text>
    </comment>
    <comment ref="S50" authorId="0" shapeId="0" xr:uid="{C043CB15-1DC8-47A0-A067-C529C2443385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No preferred equity outstanding. Source: KDDI FY2025 Annual Report.</t>
        </r>
      </text>
    </comment>
    <comment ref="W50" authorId="0" shapeId="0" xr:uid="{7C6C01B1-C125-47D2-ACA1-C72DA5F7CA3D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Japan corporate tax ~29-31%; effective ~30%. Source: KDDI FY2025 Annual Report.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Rifat Tahmid</author>
  </authors>
  <commentList>
    <comment ref="A1" authorId="0" shapeId="0" xr:uid="{925D9E9B-B0D9-495A-B74B-34F9267F7F42}">
      <text>
        <r>
          <rPr>
            <b/>
            <sz val="9"/>
            <color indexed="81"/>
            <rFont val="Tahoma"/>
            <charset val="1"/>
          </rPr>
          <t>Rifat Tahmid:</t>
        </r>
        <r>
          <rPr>
            <sz val="9"/>
            <color indexed="81"/>
            <rFont val="Tahoma"/>
            <charset val="1"/>
          </rPr>
          <t xml:space="preserve">
⚠ DATA SOURCE: Comp inputs currently sourced from third-party aggregators. JPM standard requires terminal-sourced data (CapIQ/Bloomberg). Refresh all comp financials from terminal before external circulation.</t>
        </r>
      </text>
    </comment>
    <comment ref="C9" authorId="0" shapeId="0" xr:uid="{24599DD9-DA98-42F4-B3D3-3E0ED02D26F1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Rocket Lab (RKLB) mkt cap $74,950M. Source: stockanalysis.com/stocks/rklb/market-cap/. Jun 2026.</t>
        </r>
      </text>
    </comment>
    <comment ref="D9" authorId="0" shapeId="0" xr:uid="{907B7284-19AF-47CA-A0E9-C2C5ECE21E42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Rocket Lab (RKLB) EV $73,700M = mkt cap $74,950 – net cash $1,340. Source: stockanalysis.com/stocks/rklb/statistics/. Jun 2026.</t>
        </r>
      </text>
    </comment>
    <comment ref="E9" authorId="0" shapeId="0" xr:uid="{7C92A060-FB17-433E-8F55-DDE11C44EB1A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Rocket Lab (RKLB) LTM revenue $602M. Source: stockanalysis.com/stocks/rklb/statistics/. Jun 2026.</t>
        </r>
      </text>
    </comment>
    <comment ref="F9" authorId="0" shapeId="0" xr:uid="{E8B98F23-8009-4469-BFBE-4112F0E38FF5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Rocket Lab (RKLB) gross margin 31.7%. Source: stockanalysis.com RKLB. Jun 2026.</t>
        </r>
      </text>
    </comment>
    <comment ref="G9" authorId="0" shapeId="0" xr:uid="{625908B9-89C7-4578-826C-33D63A0C04E0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Rocket Lab (RKLB) EBITDA margin ~-15% (operating margin -33%). Source: stockanalysis.com RKLB. Jun 2026.</t>
        </r>
      </text>
    </comment>
    <comment ref="H9" authorId="0" shapeId="0" xr:uid="{E4A5E3EA-C0DE-4B04-B736-95CBFBBCE53A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Rocket Lab (RKLB) CapEx % 25.6% ($154.7M / $602M). Source: stockanalysis.com RKLB. Jun 2026.</t>
        </r>
      </text>
    </comment>
    <comment ref="I9" authorId="0" shapeId="0" xr:uid="{FE96DE44-DFAF-44E7-AFDF-609479F4E8DA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Rocket Lab (RKLB) 3-yr revenue growth ~38% (Q1 2026 +63.5% YoY). Source: stockanalysis.com RKLB. Jun 2026.</t>
        </r>
      </text>
    </comment>
    <comment ref="M9" authorId="0" shapeId="0" xr:uid="{F392F3FA-367F-4202-8F63-87CDED1FC27A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Rocket Lab (RKLB) backlog $2,200M (Q1 2026, +108% YoY). Source: tradingview.com RKLB. Jun 2026.</t>
        </r>
      </text>
    </comment>
    <comment ref="P9" authorId="0" shapeId="0" xr:uid="{587DBF9E-3D5F-4002-AA9B-35860707E6A5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Rocket Lab (RKLB) levered beta 2.31. Source: stockanalysis.com/stocks/rklb/statistics/. Jun 2026.</t>
        </r>
      </text>
    </comment>
    <comment ref="Q9" authorId="0" shapeId="0" xr:uid="{FD8BDB9C-68C6-4060-81CD-5028DF15C89F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Rocket Lab (RKLB) total debt $139M. Source: stockanalysis.com/stocks/rklb/statistics/. Jun 2026.</t>
        </r>
      </text>
    </comment>
    <comment ref="S9" authorId="0" shapeId="0" xr:uid="{0595E0BA-3380-4B84-B835-F342B55EDDE7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No preferred equity. Source: RKLB SEC filings.</t>
        </r>
      </text>
    </comment>
    <comment ref="U9" authorId="0" shapeId="0" xr:uid="{198A057D-2D43-4E6E-A0E2-183255EC1A6C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Rocket Lab (RKLB) equity value $63,720M. Source: stockanalysis.com RKLB. Jun 2026.</t>
        </r>
      </text>
    </comment>
    <comment ref="W9" authorId="0" shapeId="0" xr:uid="{3A743F78-A92A-4AEB-B5C0-DA1895F04499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US federal statutory tax rate 21%. Source: RKLB SEC filings.</t>
        </r>
      </text>
    </comment>
    <comment ref="C10" authorId="0" shapeId="0" xr:uid="{3D091886-DEC1-44F8-89AA-0CD2569F0D76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AeroVironment (AVAV) mkt cap $9,410M. Source: companiesmarketcap.com / Google Finance. Jun 2026.</t>
        </r>
      </text>
    </comment>
    <comment ref="D10" authorId="0" shapeId="0" xr:uid="{C1ACEA58-564E-4891-866B-6644633CCE5A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AeroVironment (AVAV) EV $9,650M = mkt cap $9,410 + net debt $239. Source: stockanalysis.com AVAV. Jun 2026.</t>
        </r>
      </text>
    </comment>
    <comment ref="E10" authorId="0" shapeId="0" xr:uid="{49AA5C46-A673-4348-9202-007C2AD42A9F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AeroVironment (AVAV) LTM revenue $821M (FY2025). Source: stockanalysis.com AVAV. Jun 2026.</t>
        </r>
      </text>
    </comment>
    <comment ref="F10" authorId="0" shapeId="0" xr:uid="{EEE27C1D-0EFD-4436-9904-49ACED236287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AeroVironment (AVAV) gross margin 25.0%. Source: stockanalysis.com AVAV. Jun 2026.</t>
        </r>
      </text>
    </comment>
    <comment ref="G10" authorId="0" shapeId="0" xr:uid="{22744105-40B2-4BB6-938D-7E280D789008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AeroVironment (AVAV) EBITDA margin ~10%. Source: stockanalysis.com AVAV. Jun 2026.</t>
        </r>
      </text>
    </comment>
    <comment ref="I10" authorId="0" shapeId="0" xr:uid="{70BDC0C3-505F-4DBF-8B58-D3B13225A6B1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AeroVironment (AVAV) 3-yr revenue growth ~30% (BlueHalo acq). Source: simplywall.st AVAV. Jun 2026.</t>
        </r>
      </text>
    </comment>
    <comment ref="M10" authorId="0" shapeId="0" xr:uid="{2A3F6D7E-68AE-453A-84D6-9DA35DB356B7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AeroVironment (AVAV) funded backlog $1,100M (Q1 2026 record). Source: 247wallst.com. Jun 2026.</t>
        </r>
      </text>
    </comment>
    <comment ref="P10" authorId="0" shapeId="0" xr:uid="{54CB45D0-1166-42D5-8D8F-4E01E06C6DD6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AeroVironment (AVAV) levered beta 1.40 est. Source: stockanalysis.com AVAV. Jun 2026.</t>
        </r>
      </text>
    </comment>
    <comment ref="Q10" authorId="0" shapeId="0" xr:uid="{883810F2-6C17-41DE-B946-31C2D9FD15BD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AeroVironment (AVAV) total debt $826M. Source: stockanalysis.com AVAV. Jun 2026.</t>
        </r>
      </text>
    </comment>
    <comment ref="U10" authorId="0" shapeId="0" xr:uid="{B065C5AD-1CCA-44C4-BD71-00A415424A47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AeroVironment (AVAV) equity value $9,410M. Source: companiesmarketcap.com. Jun 2026.</t>
        </r>
      </text>
    </comment>
    <comment ref="W10" authorId="0" shapeId="0" xr:uid="{8A5896BA-D287-4296-9600-EEBD72C3A071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US federal statutory tax rate 21%. Source: AVAV SEC filings.</t>
        </r>
      </text>
    </comment>
    <comment ref="C11" authorId="0" shapeId="0" xr:uid="{8F328254-EB61-4E33-BD2F-2D11CB3EE26C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Kratos (KTOS) mkt cap $10,970M. Source: Yahoo Finance KTOS. Jun 2026.</t>
        </r>
      </text>
    </comment>
    <comment ref="D11" authorId="0" shapeId="0" xr:uid="{FBD1A6B3-5069-4436-A831-0313EE6BB5A8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Kratos (KTOS) EV $10,860M. Source: stockanalysis.com KTOS. Jun 2026.</t>
        </r>
      </text>
    </comment>
    <comment ref="E11" authorId="0" shapeId="0" xr:uid="{72E33D79-9EC5-45B7-84CF-CEF15A335EE3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Kratos (KTOS) LTM revenue $1,350M. Source: 247wallst.com KTOS. Jun 2026.</t>
        </r>
      </text>
    </comment>
    <comment ref="F11" authorId="0" shapeId="0" xr:uid="{60D9CCFB-646D-4241-B0F0-2D2BEA8051DE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Kratos (KTOS) gross margin ~28%. Source: stockanalysis.com KTOS. Jun 2026.</t>
        </r>
      </text>
    </comment>
    <comment ref="G11" authorId="0" shapeId="0" xr:uid="{8DBA787E-82C2-4F68-8CBE-B268B8DE519B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Kratos (KTOS) EBITDA margin ~8% (Adj. EBITDA $38.7M Q1). Source: KTOS Q1 2026 8-K. May 2026.</t>
        </r>
      </text>
    </comment>
    <comment ref="I11" authorId="0" shapeId="0" xr:uid="{157D3073-8198-4C3C-9582-81BDA0E27F52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Kratos (KTOS) 3-yr revenue growth ~19%. Source: analyst consensus. Jun 2026.</t>
        </r>
      </text>
    </comment>
    <comment ref="M11" authorId="0" shapeId="0" xr:uid="{0CE87AE4-544C-40D6-9A4F-DF1CFA7A2581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Kratos (KTOS) backlog $2,000M (Q1 2026 record). Source: simplywall.st KTOS. Jun 2026.</t>
        </r>
      </text>
    </comment>
    <comment ref="P11" authorId="0" shapeId="0" xr:uid="{596F3D11-FA2B-43A8-9278-3F1B5448516C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Kratos (KTOS) levered beta 1.15. Source: stockanalysis.com KTOS. Jun 2026.</t>
        </r>
      </text>
    </comment>
    <comment ref="Q11" authorId="0" shapeId="0" xr:uid="{F22B61F6-3FB2-4B56-BB09-BC5F6AE86672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Kratos (KTOS) total debt $280M. Source: mlq.ai KTOS. Jun 2026.</t>
        </r>
      </text>
    </comment>
    <comment ref="U11" authorId="0" shapeId="0" xr:uid="{871EDA33-E7B1-46D9-9AF4-74D8A73DBAEE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Kratos (KTOS) equity value $10,970M. Source: Yahoo Finance KTOS. Jun 2026.</t>
        </r>
      </text>
    </comment>
    <comment ref="W11" authorId="0" shapeId="0" xr:uid="{E797BD35-0EB9-463C-817B-4CEB210AEF89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US federal statutory tax rate 21%. Source: KTOS SEC filings.</t>
        </r>
      </text>
    </comment>
    <comment ref="C12" authorId="0" shapeId="0" xr:uid="{EC78E81E-42D8-461C-AC75-B0B4DB98BD7E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Redwire (RDW) mkt cap $4,000M. Source: Motley Fool. Jun 2026.</t>
        </r>
      </text>
    </comment>
    <comment ref="D12" authorId="0" shapeId="0" xr:uid="{DFBA1DC8-88E9-4279-8DA8-387E7A82F6C3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Redwire (RDW) EV $4,080M. Source: derived (D/E 0.12). Jun 2026.</t>
        </r>
      </text>
    </comment>
    <comment ref="E12" authorId="0" shapeId="0" xr:uid="{3127525B-5534-48B6-8D1D-EF64807792F3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Redwire (RDW) LTM revenue $469M. Source: simplywall.st RDW. Jun 2026.</t>
        </r>
      </text>
    </comment>
    <comment ref="F12" authorId="0" shapeId="0" xr:uid="{2050F86A-5433-4221-957F-1185EDEAA6DC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Redwire (RDW) gross margin 9.2%. Source: timothysykes.com. May 2026.</t>
        </r>
      </text>
    </comment>
    <comment ref="G12" authorId="0" shapeId="0" xr:uid="{B32201B0-D6C1-41A4-B470-043CB4C6F781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Redwire (RDW) EBITDA margin ~-10% (scaling). Source: timothysykes.com RDW. May 2026.</t>
        </r>
      </text>
    </comment>
    <comment ref="I12" authorId="0" shapeId="0" xr:uid="{5202F2D3-CC16-421B-9078-2B06B0044068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Redwire (RDW) 3-yr growth ~41% (Q1 +57.9% YoY). Source: Zacks. Jun 2026.</t>
        </r>
      </text>
    </comment>
    <comment ref="M12" authorId="0" shapeId="0" xr:uid="{286CED9A-C0F1-4F04-878E-C8573CF6FB05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Redwire (RDW) backlog $498M (Q1 2026 record). Source: RDW Q1 2026 8-K. May 2026.</t>
        </r>
      </text>
    </comment>
    <comment ref="P12" authorId="0" shapeId="0" xr:uid="{7E59C562-C1A9-44D4-A1A3-E0DF2ED3D4EA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Redwire (RDW) levered beta 2.50 est. Source: simplywall.st RDW. Jun 2026.</t>
        </r>
      </text>
    </comment>
    <comment ref="Q12" authorId="0" shapeId="0" xr:uid="{0EAC43C0-B95F-4FF9-8CF6-9C4B2C7C9DE1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Redwire (RDW) total debt $80M. Source: RDW Q4 2025 8-K. Dec 2025.</t>
        </r>
      </text>
    </comment>
    <comment ref="U12" authorId="0" shapeId="0" xr:uid="{58CAA5F6-B5BB-43F9-89A9-C670DC752528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Redwire (RDW) equity value $4,000M. Source: Motley Fool. Jun 2026.</t>
        </r>
      </text>
    </comment>
    <comment ref="W12" authorId="0" shapeId="0" xr:uid="{20BB2D6D-9C21-43CB-B427-B531E6743F34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US federal statutory tax rate 21%.</t>
        </r>
      </text>
    </comment>
    <comment ref="C13" authorId="0" shapeId="0" xr:uid="{F05A99FB-879C-44A2-92ED-11089C5496E0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MDA Space (MDA) mkt cap $5,390M. Source: stockanalysis.com MDA. May 2026.</t>
        </r>
      </text>
    </comment>
    <comment ref="D13" authorId="0" shapeId="0" xr:uid="{BD217D78-B86E-4AEC-9031-2D4C3C494A8A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MDA Space (MDA) EV $5,230M. Source: stockanalysis.com MDA. Jun 2026.</t>
        </r>
      </text>
    </comment>
    <comment ref="E13" authorId="0" shapeId="0" xr:uid="{CAD6E73D-1F4D-4FB3-9DDC-71B04AC09210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MDA Space (MDA) LTM revenue $1,250M (CAD$1.75B). Source: stockanalysis.com MDA. Jun 2026.</t>
        </r>
      </text>
    </comment>
    <comment ref="F13" authorId="0" shapeId="0" xr:uid="{1EE208A1-5BF0-442C-8618-B7E39391ED9F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MDA Space (MDA) gross margin 28.71%. Source: stockanalysis.com MDA. Jun 2026.</t>
        </r>
      </text>
    </comment>
    <comment ref="G13" authorId="0" shapeId="0" xr:uid="{544C3BFC-9495-4480-B6B6-CA1F301CED23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MDA Space (MDA) EBITDA margin ~18-19.5%. Source: MDA Q1 2026. Jun 2026.</t>
        </r>
      </text>
    </comment>
    <comment ref="I13" authorId="0" shapeId="0" xr:uid="{C9013DE7-1DA4-4497-BDD4-77BA5BB1C255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MDA Space (MDA) 3-yr growth ~30% (Q1 +32% YoY). Source: stockanalysis.com MDA. Jun 2026.</t>
        </r>
      </text>
    </comment>
    <comment ref="M13" authorId="0" shapeId="0" xr:uid="{A21297AD-08EC-4FAC-AE23-0F567EB588B6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MDA Space (MDA) backlog ~$1,500M est. Source: MDA Q1 2026. Jun 2026.</t>
        </r>
      </text>
    </comment>
    <comment ref="P13" authorId="0" shapeId="0" xr:uid="{D6C05A58-6C55-4259-A2D4-4436F86D115C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MDA Space (MDA) levered beta 0.12. Source: stockanalysis.com TSX:MDA. Jun 2026.</t>
        </r>
      </text>
    </comment>
    <comment ref="Q13" authorId="0" shapeId="0" xr:uid="{7825E35F-9A67-4015-9E26-2C7EA05EC1E1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MDA Space (MDA) total debt $273M. Source: stockanalysis.com MDA. Jun 2026.</t>
        </r>
      </text>
    </comment>
    <comment ref="U13" authorId="0" shapeId="0" xr:uid="{FD54BEA5-56D6-400B-A97F-DF9B86F3065C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MDA Space (MDA) equity value $5,390M. Source: stockanalysis.com MDA. Jun 2026.</t>
        </r>
      </text>
    </comment>
    <comment ref="W13" authorId="0" shapeId="0" xr:uid="{2C88AA43-FEB7-4C62-B8F2-295D15714FE7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Canadian federal+provincial tax rate ~26.5%.</t>
        </r>
      </text>
    </comment>
    <comment ref="C14" authorId="0" shapeId="0" xr:uid="{827819F0-C9DE-4958-BF59-4085520495B6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York Space Systems (YSS) mkt cap $3,950M. Source: MEXC/stockinvest.us. Jun 2026.</t>
        </r>
      </text>
    </comment>
    <comment ref="D14" authorId="0" shapeId="0" xr:uid="{AE95EBF4-BD18-40F3-9718-E5794C7B4AB0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York Space (YSS) EV $4,150M. Source: investing.com YSS. Jun 2026.</t>
        </r>
      </text>
    </comment>
    <comment ref="E14" authorId="0" shapeId="0" xr:uid="{5CB053BD-D8F4-4EFB-AA4B-09C46DFBCD1D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York Space (YSS) LTM revenue $420M. Source: simplywall.st YSS. Jun 2026.</t>
        </r>
      </text>
    </comment>
    <comment ref="F14" authorId="0" shapeId="0" xr:uid="{D90E8130-683F-4353-83D6-2CC9C770DD4E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York Space (YSS) gross margin ~19%. Source: investing.com YSS Q1 2026. May 2026.</t>
        </r>
      </text>
    </comment>
    <comment ref="G14" authorId="0" shapeId="0" xr:uid="{33B68902-E843-4C85-84D9-037E94F51ECC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York Space (YSS) EBITDA margin ~-10% (IPO costs). Source: investing.com YSS. May 2026.</t>
        </r>
      </text>
    </comment>
    <comment ref="I14" authorId="0" shapeId="0" xr:uid="{0A52F640-EC2B-4FB9-85A4-F47A83C603EF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York Space (YSS) 3-yr growth ~48% (Q1 +52% YoY). Source: simplywall.st YSS. Jun 2026.</t>
        </r>
      </text>
    </comment>
    <comment ref="M14" authorId="0" shapeId="0" xr:uid="{AEF09D25-E876-4497-8297-803A3A7BA1A1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York Space (YSS) backlog ~$450M. Source: simplywall.st YSS. Jun 2026.</t>
        </r>
      </text>
    </comment>
    <comment ref="P14" authorId="0" shapeId="0" xr:uid="{846E975B-3B1D-4184-B5B3-9051D704B532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York Space (YSS) levered beta 2.00 est. (recent IPO). Source: simplywall.st. Jun 2026.</t>
        </r>
      </text>
    </comment>
    <comment ref="Q14" authorId="0" shapeId="0" xr:uid="{BA408D87-24CC-4F63-98B5-EC015FC27135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York Space (YSS) total debt ~$200M est. Source: investing.com YSS.</t>
        </r>
      </text>
    </comment>
    <comment ref="U14" authorId="0" shapeId="0" xr:uid="{6E31CE3C-72CB-42F3-BB10-65FA338648C4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York Space (YSS) equity value $3,950M. Source: MEXC. Jun 2026.</t>
        </r>
      </text>
    </comment>
    <comment ref="W14" authorId="0" shapeId="0" xr:uid="{360C5FF5-EF63-4B94-B49C-6EDF1302181A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US federal statutory tax rate 21%.</t>
        </r>
      </text>
    </comment>
    <comment ref="C15" authorId="0" shapeId="0" xr:uid="{9829E1D8-7D73-4BDB-9EEC-A61BDB550E09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Intuitive Machines (LUNR) mkt cap $2,500M. Source: stockanalysis.com LUNR. Jun 2026.</t>
        </r>
      </text>
    </comment>
    <comment ref="D15" authorId="0" shapeId="0" xr:uid="{C6E1F8EA-D1D8-4B4B-8D51-7EB92E3FC18C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Intuitive Machines (LUNR) EV $2,300M. Source: stockanalysis.com LUNR. Jun 2026.</t>
        </r>
      </text>
    </comment>
    <comment ref="E15" authorId="0" shapeId="0" xr:uid="{BA07533D-CBA0-49CA-AB9F-79ED8C7F12E0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Intuitive Machines (LUNR) LTM revenue $230M. Source: stockanalysis.com LUNR. Jun 2026.</t>
        </r>
      </text>
    </comment>
    <comment ref="F15" authorId="0" shapeId="0" xr:uid="{CD99743D-629D-40A8-B3BA-082777B29D51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Intuitive Machines (LUNR) gross margin ~18%. Source: stockanalysis.com LUNR. Jun 2026.</t>
        </r>
      </text>
    </comment>
    <comment ref="G15" authorId="0" shapeId="0" xr:uid="{47331FD2-E6E4-4C59-81E4-C8D6ABE56FDC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Intuitive Machines (LUNR) EBITDA margin ~-20%. Source: stockanalysis.com LUNR. Jun 2026.</t>
        </r>
      </text>
    </comment>
    <comment ref="I15" authorId="0" shapeId="0" xr:uid="{FFFAA071-3988-4C74-9A8B-1EA5E6F5EC0B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Intuitive Machines (LUNR) 3-yr growth ~50% (FY2026 sales +342% per Zacks). Source: Zacks/tradingview. Jun 2026.</t>
        </r>
      </text>
    </comment>
    <comment ref="M15" authorId="0" shapeId="0" xr:uid="{6FFDEC00-33D3-42CF-BC87-1A8A00B543E2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Intuitive Machines (LUNR) backlog $1,100M (Q1 2026 record). Source: LUNR Q1 2026 8-K. May 2026.</t>
        </r>
      </text>
    </comment>
    <comment ref="P15" authorId="0" shapeId="0" xr:uid="{F6DB1B40-909C-41B9-8ECF-B06916193881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Intuitive Machines (LUNR) levered beta 1.47. Source: stockanalysis.com LUNR. Jun 2026.</t>
        </r>
      </text>
    </comment>
    <comment ref="Q15" authorId="0" shapeId="0" xr:uid="{11EE9EE5-F7D1-4242-851D-A7504F441261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Intuitive Machines (LUNR) total debt $336M. Source: LUNR Q1 2026 10-Q. May 2026.</t>
        </r>
      </text>
    </comment>
    <comment ref="S15" authorId="0" shapeId="0" xr:uid="{E5E77278-FA3A-4F82-A47F-6AC41A4C6EDA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Intuitive Machines (LUNR) Series A Preferred ~$7M. Source: LUNR Q1 2026 10-Q (SEC).</t>
        </r>
      </text>
    </comment>
    <comment ref="U15" authorId="0" shapeId="0" xr:uid="{7B3FEBE3-2D7B-48A5-A97B-743C79AB6152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Intuitive Machines (LUNR) equity value $5,110M. Source: stockanalysis.com LUNR. Jun 2026.</t>
        </r>
      </text>
    </comment>
    <comment ref="W15" authorId="0" shapeId="0" xr:uid="{96BBC12D-A8D6-4357-9F5A-B0D1675AE1E1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US federal statutory tax rate 21%.</t>
        </r>
      </text>
    </comment>
    <comment ref="C16" authorId="0" shapeId="0" xr:uid="{39C108B6-4CEA-4D96-8586-2B0FD7E846D6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Firefly Aerospace (FLY) mkt cap $6,000M. Source: macrotrends.net FLY. May 2026.</t>
        </r>
      </text>
    </comment>
    <comment ref="D16" authorId="0" shapeId="0" xr:uid="{DE30CC7F-B087-499C-AD1D-3F8D933C1859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Firefly Aerospace (FLY) EV $5,500M. Source: stockanalysis.com FLY. Jun 2026.</t>
        </r>
      </text>
    </comment>
    <comment ref="E16" authorId="0" shapeId="0" xr:uid="{1A4379E4-820D-45F6-A15C-D5386E996560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Firefly Aerospace (FLY) LTM revenue $185M. Source: stockanalysis.com FLY. Jun 2026.</t>
        </r>
      </text>
    </comment>
    <comment ref="F16" authorId="0" shapeId="0" xr:uid="{5F18D3D7-0C21-4E4F-8493-EEFF8B0D38B6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Firefly Aerospace (FLY) gross margin 24.83%. Source: stockanalysis.com FLY. Jun 2026.</t>
        </r>
      </text>
    </comment>
    <comment ref="G16" authorId="0" shapeId="0" xr:uid="{FC624B33-3651-4FCF-BA29-0D0E677DBCDA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Firefly Aerospace (FLY) EBITDA margin ~-30%. Source: stockanalysis.com FLY. Jun 2026.</t>
        </r>
      </text>
    </comment>
    <comment ref="I16" authorId="0" shapeId="0" xr:uid="{AFD7D018-E32C-4DC3-B107-129AD0712FEB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Firefly Aerospace (FLY) 3-yr growth ~55% (FY2026 guidance $420-450M). Source: simplywall.st FLY. Jun 2026.</t>
        </r>
      </text>
    </comment>
    <comment ref="M16" authorId="0" shapeId="0" xr:uid="{AE13E8D0-314C-462F-AD74-37F56C962B14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Firefly Aerospace (FLY) backlog $1,300M. Source: simplywall.st FLY. Jun 2026.</t>
        </r>
      </text>
    </comment>
    <comment ref="P16" authorId="0" shapeId="0" xr:uid="{A10A3F2F-28C2-4FC5-A859-7082BC8298B3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Firefly Aerospace (FLY) levered beta 3.00 est. Source: stockanalysis.com FLY. Jun 2026.</t>
        </r>
      </text>
    </comment>
    <comment ref="Q16" authorId="0" shapeId="0" xr:uid="{2AFCBD37-8EC8-4B1C-B0A3-4ACDFA59FE45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Firefly Aerospace (FLY) total debt $53M. Source: stockanalysis.com FLY. Jun 2026.</t>
        </r>
      </text>
    </comment>
    <comment ref="U16" authorId="0" shapeId="0" xr:uid="{8B910B1A-FDA0-45E7-8EEC-B2ADD49C222F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Firefly Aerospace (FLY) equity value $6,000M. Source: macrotrends.net FLY. Jun 2026.</t>
        </r>
      </text>
    </comment>
    <comment ref="W16" authorId="0" shapeId="0" xr:uid="{3685534F-6C8D-4E96-AEFC-ECF86B3B9BD7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US federal statutory tax rate 21%.</t>
        </r>
      </text>
    </comment>
    <comment ref="C17" authorId="0" shapeId="0" xr:uid="{B0782471-FC12-4B7C-9FAD-3E2A1D2A9ECB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Voyager Technologies (VOYG) mkt cap $2,800M. Source: stocktitan.net VOYG. Jun 2026.</t>
        </r>
      </text>
    </comment>
    <comment ref="D17" authorId="0" shapeId="0" xr:uid="{35C69BF9-033F-434E-9DB6-EDEA3772406A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Voyager Technologies (VOYG) EV $2,850M. Source: simplywall.st VOYG. Jun 2026.</t>
        </r>
      </text>
    </comment>
    <comment ref="E17" authorId="0" shapeId="0" xr:uid="{A8AC4FCC-2A3A-4A13-B854-557BDFE53D90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Voyager Technologies (VOYG) LTM revenue $166M. Source: stocktitan.net VOYG. Jun 2026.</t>
        </r>
      </text>
    </comment>
    <comment ref="F17" authorId="0" shapeId="0" xr:uid="{318E63E3-C0EC-4EF8-8868-C61A816ED196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Voyager Technologies (VOYG) gross margin 17.9%. Source: stocktitan.net VOYG. Jun 2026.</t>
        </r>
      </text>
    </comment>
    <comment ref="G17" authorId="0" shapeId="0" xr:uid="{F4AA20C5-9B94-449D-89B0-A7CAF1D7D9B4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Voyager Technologies (VOYG) EBITDA margin ~-25%. Source: stocktitan.net VOYG. Jun 2026.</t>
        </r>
      </text>
    </comment>
    <comment ref="I17" authorId="0" shapeId="0" xr:uid="{47506352-E35D-44C9-85D1-96ECD8C2C7B8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Voyager Technologies (VOYG) 3-yr growth ~40% (FY2026 guidance 39-53%). Source: simplywall.st VOYG. Jun 2026.</t>
        </r>
      </text>
    </comment>
    <comment ref="M17" authorId="0" shapeId="0" xr:uid="{AE77E28F-817C-444B-BC2C-2FB768D2D862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Voyager Technologies (VOYG) backlog $275M (Q1 2026 record, +54% YoY). Source: simplywall.st VOYG. Jun 2026.</t>
        </r>
      </text>
    </comment>
    <comment ref="P17" authorId="0" shapeId="0" xr:uid="{90355241-656A-4494-8583-0FECC04CA764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Voyager Technologies (VOYG) levered beta 2.50 est. Source: investing.com VOYG. Jun 2026.</t>
        </r>
      </text>
    </comment>
    <comment ref="Q17" authorId="0" shapeId="0" xr:uid="{BAEE5F60-979C-48AC-8257-D04583AE10E2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Voyager Technologies (VOYG) total debt ~$50M est. Source: simplywall.st VOYG. Jun 2026.</t>
        </r>
      </text>
    </comment>
    <comment ref="U17" authorId="0" shapeId="0" xr:uid="{9DCD7F70-58B9-46ED-A675-18C431B019B5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Voyager Technologies (VOYG) equity value $2,800M. Source: stocktitan.net VOYG. Jun 2026.</t>
        </r>
      </text>
    </comment>
    <comment ref="W17" authorId="0" shapeId="0" xr:uid="{8D4B1EDA-ACE9-4EB2-9F9F-59B38052D42F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US federal statutory tax rate 21%.</t>
        </r>
      </text>
    </comment>
    <comment ref="C27" authorId="0" shapeId="0" xr:uid="{C6943D55-291A-49EE-BF4C-13A3B00CD181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Boeing (BA) mkt cap $170,000M. Source: stockanalysis.com BA. Jun 2026.</t>
        </r>
      </text>
    </comment>
    <comment ref="D27" authorId="0" shapeId="0" xr:uid="{22298595-F581-4A63-9660-7AB64118E1C8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Boeing (BA) EV $196,150M. Source: stockanalysis.com BA. Jun 2026.</t>
        </r>
      </text>
    </comment>
    <comment ref="E27" authorId="0" shapeId="0" xr:uid="{814925CB-CEF6-4EF6-9113-A99254C4BD3C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Boeing (BA) LTM revenue $92,184M. Source: stockanalysis.com BA. Jun 2026.</t>
        </r>
      </text>
    </comment>
    <comment ref="F27" authorId="0" shapeId="0" xr:uid="{4276D712-B38E-4967-A941-E9C54CF7082C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Boeing (BA) gross margin ~4.8% (depressed by program charges). Source: stockanalysis.com BA. Jun 2026.</t>
        </r>
      </text>
    </comment>
    <comment ref="G27" authorId="0" shapeId="0" xr:uid="{7C2BDBB8-173A-49BB-B4C9-251A6A81E2F8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Boeing (BA) EBITDA margin ~4.5% (recovery year). Source: Yahoo Finance BA. Jun 2026.</t>
        </r>
      </text>
    </comment>
    <comment ref="H27" authorId="0" shapeId="0" xr:uid="{A96120C6-44D9-456E-9EB3-51B7E66CABF4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Boeing (BA) CapEx % ~1.7%. Source: stockanalysis.com BA. Jun 2026.</t>
        </r>
      </text>
    </comment>
    <comment ref="I27" authorId="0" shapeId="0" xr:uid="{4A662022-141A-4001-A284-4D3BAA12977C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Boeing (BA) 3-yr revenue growth ~11% (recovery ramp). Source: consensus est. Jun 2026.</t>
        </r>
      </text>
    </comment>
    <comment ref="M27" authorId="0" shapeId="0" xr:uid="{DFC97475-8F52-41C8-B874-F556B913F1D0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Boeing (BA) total backlog $516B ($695B gross backlog less $179B adjustments). Source: Boeing Q1 2026 earnings — record $695B backlog. Apr 2026.</t>
        </r>
      </text>
    </comment>
    <comment ref="P27" authorId="0" shapeId="0" xr:uid="{12A7920E-D6B5-47BD-A29C-E5BC74BCA5C0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Boeing (BA) levered beta 1.21. Source: stockanalysis.com BA. Jun 2026.</t>
        </r>
      </text>
    </comment>
    <comment ref="Q27" authorId="0" shapeId="0" xr:uid="{91E48483-2C95-40DE-9FB2-FC6516632AE2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Boeing (BA) total debt $44,354M. Source: Boeing Q1 2026 10-Q (SEC). May 2026.</t>
        </r>
      </text>
    </comment>
    <comment ref="S27" authorId="0" shapeId="0" xr:uid="{CA6993E4-2529-4926-AFCA-74EA00028F97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Boeing (BA) preferred stock $5,750M (6% Series A mandatory convertible). Source: Boeing Q1 2026 10-Q. May 2026.</t>
        </r>
      </text>
    </comment>
    <comment ref="U27" authorId="0" shapeId="0" xr:uid="{B557DE9A-A076-4772-BD6F-1761B7E7DCBF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Boeing (BA) equity value $170,420M. Source: stockanalysis.com BA. Jun 2026.</t>
        </r>
      </text>
    </comment>
    <comment ref="W27" authorId="0" shapeId="0" xr:uid="{E04BC7E1-5E63-4A38-AF87-38973AA105DD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US federal statutory tax rate 21%.</t>
        </r>
      </text>
    </comment>
    <comment ref="C28" authorId="0" shapeId="0" xr:uid="{AD5E4315-E0C4-4FC5-87CE-4533D3278602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RTX Corporation mkt cap $238,380M. Source: stockanalysis.com RTX. Jun 2026.</t>
        </r>
      </text>
    </comment>
    <comment ref="D28" authorId="0" shapeId="0" xr:uid="{3A512A11-694A-435A-85ED-FF15ABCA5FD5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RTX Corporation EV $247,000M. Source: stockanalysis.com RTX. Jun 2026.</t>
        </r>
      </text>
    </comment>
    <comment ref="E28" authorId="0" shapeId="0" xr:uid="{0E07023B-6968-4953-9B09-B3F620475B31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RTX Corporation LTM revenue $90,373M. Source: stockanalysis.com RTX. Jun 2026.</t>
        </r>
      </text>
    </comment>
    <comment ref="F28" authorId="0" shapeId="0" xr:uid="{87A74A39-DAE9-4801-A955-58A2E660BC2B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RTX Corporation gross margin 20.2%. Source: stockanalysis.com RTX. Jun 2026.</t>
        </r>
      </text>
    </comment>
    <comment ref="G28" authorId="0" shapeId="0" xr:uid="{458279CC-0205-4422-9727-9C4969BC3FDA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RTX Corporation EBITDA margin ~14.5%. Source: stockanalysis.com RTX. Jun 2026.</t>
        </r>
      </text>
    </comment>
    <comment ref="H28" authorId="0" shapeId="0" xr:uid="{EEB6F26B-8493-4731-968F-8E480098932F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RTX Corporation CapEx % ~2.9%. Source: stockanalysis.com RTX. Jun 2026.</t>
        </r>
      </text>
    </comment>
    <comment ref="I28" authorId="0" shapeId="0" xr:uid="{FD5D7217-C1D7-47E1-AB4E-492FD96DD410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RTX Corporation 3-yr revenue growth ~10%. Source: Q1 2026 +10.6% YoY. Jun 2026.</t>
        </r>
      </text>
    </comment>
    <comment ref="M28" authorId="0" shapeId="0" xr:uid="{D4329968-B9C6-41CD-B725-F62D654B94BA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RTX Corporation total backlog $217B (record). Source: stockanalysis.com RTX — 'record backlogs in defense and commercial aerospace.' Jun 2026.</t>
        </r>
      </text>
    </comment>
    <comment ref="P28" authorId="0" shapeId="0" xr:uid="{1BC629AD-26E0-43AC-B605-60B7C0D70E63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RTX Corporation levered beta 0.30. Source: stockanalysis.com RTX. Jun 2026.</t>
        </r>
      </text>
    </comment>
    <comment ref="Q28" authorId="0" shapeId="0" xr:uid="{AF5C2EE2-FAB0-43AD-A10D-117B078456F2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RTX Corporation total debt $38,940M. Source: stockanalysis.com RTX. Jun 2026.</t>
        </r>
      </text>
    </comment>
    <comment ref="S28" authorId="0" shapeId="0" xr:uid="{2B92D2B4-2119-4459-82F1-7FC0404FBB57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No preferred equity. Source: RTX SEC filings.</t>
        </r>
      </text>
    </comment>
    <comment ref="U28" authorId="0" shapeId="0" xr:uid="{1E6DD39A-202E-4738-B310-DE0D154215DE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RTX Corporation equity value $244,290M. Source: stockanalysis.com RTX. Jun 2026.</t>
        </r>
      </text>
    </comment>
    <comment ref="W28" authorId="0" shapeId="0" xr:uid="{19AF414D-B8CE-48AC-AFB7-9F783FEAF306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US federal statutory tax rate 21%.</t>
        </r>
      </text>
    </comment>
    <comment ref="C29" authorId="0" shapeId="0" xr:uid="{B3CD6062-1208-468B-B9B7-43CF12861211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Lockheed Martin (LMT) mkt cap $121,000M. Source: Yahoo Finance LMT. Jun 2026.</t>
        </r>
      </text>
    </comment>
    <comment ref="D29" authorId="0" shapeId="0" xr:uid="{D4991FBA-565C-4D84-9029-E3C63F712893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Lockheed Martin (LMT) EV $141,700M. Source: stockanalysis.com LMT. Jun 2026.</t>
        </r>
      </text>
    </comment>
    <comment ref="E29" authorId="0" shapeId="0" xr:uid="{2892F9CD-B8AF-4F0E-BE38-E9CCC757B837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Lockheed Martin (LMT) LTM revenue $72,000M. Source: stockanalysis.com LMT. Jun 2026.</t>
        </r>
      </text>
    </comment>
    <comment ref="F29" authorId="0" shapeId="0" xr:uid="{68B290F0-6163-45F2-82EE-0DCE298EF6C7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Lockheed Martin (LMT) gross margin ~11%. Source: LMT Q1 2026. Jun 2026.</t>
        </r>
      </text>
    </comment>
    <comment ref="G29" authorId="0" shapeId="0" xr:uid="{CF0FA1D7-E7FD-4076-9F5C-1D5F8FBB43D1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Lockheed Martin (LMT) EBITDA margin ~13%. Source: Motley Fool LMT. Jun 2026.</t>
        </r>
      </text>
    </comment>
    <comment ref="H29" authorId="0" shapeId="0" xr:uid="{DC4351A9-A3D9-4328-B35C-2C12B8EE9AF5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Lockheed Martin (LMT) CapEx % ~1.6%. Source: stockanalysis.com LMT. Jun 2026.</t>
        </r>
      </text>
    </comment>
    <comment ref="I29" authorId="0" shapeId="0" xr:uid="{081A3ADE-E066-4E23-A59C-D39C33598C60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Lockheed Martin (LMT) 3-yr revenue growth ~4%. Source: LMT filings. Jun 2026.</t>
        </r>
      </text>
    </comment>
    <comment ref="M29" authorId="0" shapeId="0" xr:uid="{C5ACB284-0041-4A20-915E-E4E4CDE1F2F4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Lockheed Martin (LMT) backlog $160B+. Source: techi.com defense stocks — 'total backlog sits above $160 billion.' Jun 2026.</t>
        </r>
      </text>
    </comment>
    <comment ref="P29" authorId="0" shapeId="0" xr:uid="{19F9C65C-C9EE-4B39-93CF-35E269E77D15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Lockheed Martin (LMT) levered beta 0.20. Source: stockanalysis.com LMT. Jun 2026.</t>
        </r>
      </text>
    </comment>
    <comment ref="Q29" authorId="0" shapeId="0" xr:uid="{5671ED37-F71B-4118-A43E-18F7E7112702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Lockheed Martin (LMT) total debt $20,530M. Source: Motley Fool LMT Q1 2026. Jun 2026.</t>
        </r>
      </text>
    </comment>
    <comment ref="S29" authorId="0" shapeId="0" xr:uid="{6ACC86C0-6580-425B-9833-12A4F1E99DFD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No preferred equity. Source: LMT SEC filings.</t>
        </r>
      </text>
    </comment>
    <comment ref="U29" authorId="0" shapeId="0" xr:uid="{C594AFD3-306D-4FD1-B693-284BB6AA4A1D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Lockheed Martin (LMT) equity value $120,760M. Source: Yahoo Finance LMT. Jun 2026.</t>
        </r>
      </text>
    </comment>
    <comment ref="W29" authorId="0" shapeId="0" xr:uid="{7E4A1645-1434-45B4-AB7B-BF9AAC9EAB79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US federal statutory tax rate 21%.</t>
        </r>
      </text>
    </comment>
    <comment ref="C30" authorId="0" shapeId="0" xr:uid="{E70394F2-8C94-4292-A1A2-335B004CC850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General Dynamics (GD) mkt cap $92,350M. Source: Yahoo Finance GD. Jun 2026.</t>
        </r>
      </text>
    </comment>
    <comment ref="D30" authorId="0" shapeId="0" xr:uid="{93901919-3A90-4F34-B190-CBA86DE26694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General Dynamics (GD) EV $99,000M. Source: Yahoo Finance GD. Jun 2026.</t>
        </r>
      </text>
    </comment>
    <comment ref="E30" authorId="0" shapeId="0" xr:uid="{522B99BC-3B99-42A1-80D5-6E5EB945B8B6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General Dynamics (GD) LTM revenue $53,810M. Source: Yahoo Finance GD. Jun 2026.</t>
        </r>
      </text>
    </comment>
    <comment ref="F30" authorId="0" shapeId="0" xr:uid="{3F716903-A4BF-49FC-B958-482199D4B5E0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General Dynamics (GD) gross margin 15.24%. Source: stockanalysis.com GD. Jun 2026.</t>
        </r>
      </text>
    </comment>
    <comment ref="G30" authorId="0" shapeId="0" xr:uid="{D78A3596-F0FF-4488-824E-8CE195060208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General Dynamics (GD) EBITDA margin ~13%. Source: stockanalysis.com GD. Jun 2026.</t>
        </r>
      </text>
    </comment>
    <comment ref="H30" authorId="0" shapeId="0" xr:uid="{39300888-0A29-432C-BBF9-2CE62AEC96D7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General Dynamics (GD) CapEx % ~1.3%. Source: stockanalysis.com GD. Jun 2026.</t>
        </r>
      </text>
    </comment>
    <comment ref="I30" authorId="0" shapeId="0" xr:uid="{6A9BB229-A4F3-49D8-BF3F-6ECC6D487D7B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General Dynamics (GD) 3-yr revenue growth ~10%. Source: GD Q1 2026 +10.3% YoY. Jun 2026.</t>
        </r>
      </text>
    </comment>
    <comment ref="M30" authorId="0" shapeId="0" xr:uid="{1386E541-5F45-400E-B022-F7BF80A2701E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General Dynamics (GD) backlog ~$100B (defense + Gulfstream). Source: GD Q1 2026 10-Q (SEC). Apr 2026.</t>
        </r>
      </text>
    </comment>
    <comment ref="P30" authorId="0" shapeId="0" xr:uid="{64A31BF4-3A6B-42B3-9DD0-8BB2392CCE0C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General Dynamics (GD) levered beta 0.50 est. Source: Yahoo Finance GD. Jun 2026.</t>
        </r>
      </text>
    </comment>
    <comment ref="Q30" authorId="0" shapeId="0" xr:uid="{70494659-7BD1-4F31-9DE3-C25CD074D49D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General Dynamics (GD) total debt $12,800M. Source: Yahoo Finance GD (D/E 37.7%). Jun 2026.</t>
        </r>
      </text>
    </comment>
    <comment ref="S30" authorId="0" shapeId="0" xr:uid="{85AAF33B-A7D5-41DC-9F5B-1D8A3E75D1A0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No preferred equity. Source: GD SEC filings.</t>
        </r>
      </text>
    </comment>
    <comment ref="U30" authorId="0" shapeId="0" xr:uid="{96D143B8-247C-403A-807B-42183810B80F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General Dynamics (GD) equity value $93,690M. Source: Yahoo Finance GD. Jun 2026.</t>
        </r>
      </text>
    </comment>
    <comment ref="W30" authorId="0" shapeId="0" xr:uid="{3E095D5D-1B58-48D5-84BE-5CC44C3B631A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US federal statutory tax rate 21%.</t>
        </r>
      </text>
    </comment>
    <comment ref="C31" authorId="0" shapeId="0" xr:uid="{EB961959-5EE8-47FA-84E7-15A1074E9BEF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Northrop Grumman (NOC) mkt cap $79,800M. Source: Yahoo Finance NOC. Jun 2026.</t>
        </r>
      </text>
    </comment>
    <comment ref="D31" authorId="0" shapeId="0" xr:uid="{9B73825B-ECD5-4C4F-8985-D0F8AB5F36E8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Northrop Grumman (NOC) EV $94,000M. Source: Yahoo Finance NOC. Jun 2026.</t>
        </r>
      </text>
    </comment>
    <comment ref="E31" authorId="0" shapeId="0" xr:uid="{AC5F775C-6F8E-4F6E-99A9-EBEBB1D6716F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Northrop Grumman (NOC) LTM revenue $42,000M. Source: Yahoo Finance NOC. Jun 2026.</t>
        </r>
      </text>
    </comment>
    <comment ref="F31" authorId="0" shapeId="0" xr:uid="{12C8D191-D43D-483B-B0C4-56F99B22560D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Northrop Grumman (NOC) gross margin ~20%. Source: NOC FY2025 8-K. Jun 2026.</t>
        </r>
      </text>
    </comment>
    <comment ref="G31" authorId="0" shapeId="0" xr:uid="{C7BC1CC3-72B0-42ED-BEE0-0903139227B2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Northrop Grumman (NOC) EBITDA margin ~16%. Source: NOC FY2025 8-K. Jun 2026.</t>
        </r>
      </text>
    </comment>
    <comment ref="H31" authorId="0" shapeId="0" xr:uid="{1F87F4B8-E5A1-4A3A-BC15-7B82CB2A5DE3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Northrop Grumman (NOC) CapEx % ~1.6%. Source: stockanalysis.com NOC. Jun 2026.</t>
        </r>
      </text>
    </comment>
    <comment ref="I31" authorId="0" shapeId="0" xr:uid="{9BA1745E-2162-45B1-B936-6AE5BE80A8FD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Northrop Grumman (NOC) 3-yr revenue growth ~3%. Source: NOC FY2025 +3% organic. Jun 2026.</t>
        </r>
      </text>
    </comment>
    <comment ref="M31" authorId="0" shapeId="0" xr:uid="{AF7AF996-0466-4D63-A762-EC087E9C846F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Northrop Grumman (NOC) backlog ~$90B (B-21, Sentinel, SDA). Source: stockanalysis.com NOC. Jun 2026.</t>
        </r>
      </text>
    </comment>
    <comment ref="P31" authorId="0" shapeId="0" xr:uid="{062418E7-0023-4476-9403-22DCE3F73394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Northrop Grumman (NOC) levered beta 0.05. Source: stockanalysis.com NOC. Jun 2026.</t>
        </r>
      </text>
    </comment>
    <comment ref="Q31" authorId="0" shapeId="0" xr:uid="{FB1D5603-81D1-4D18-916C-A0F006FE1CF0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Northrop Grumman (NOC) total debt $14,600M. Source: stockanalysis.com NOC (D/E 0.95). Jun 2026.</t>
        </r>
      </text>
    </comment>
    <comment ref="S31" authorId="0" shapeId="0" xr:uid="{32E9BDD5-D31B-42C4-8667-3F5C9298484D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No preferred equity. Source: NOC SEC filings.</t>
        </r>
      </text>
    </comment>
    <comment ref="U31" authorId="0" shapeId="0" xr:uid="{264BB16F-2382-45B2-935D-65E57183F528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Northrop Grumman (NOC) equity value $77,320M. Source: Yahoo Finance NOC. Jun 2026.</t>
        </r>
      </text>
    </comment>
    <comment ref="W31" authorId="0" shapeId="0" xr:uid="{E21ACD83-217D-4D21-BFE7-2E938E03CB25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US federal statutory tax rate 21%.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Rifat Tahmid</author>
  </authors>
  <commentList>
    <comment ref="A1" authorId="0" shapeId="0" xr:uid="{42CE91CC-7635-43CD-815D-0638258EB884}">
      <text>
        <r>
          <rPr>
            <b/>
            <sz val="9"/>
            <color indexed="81"/>
            <rFont val="Tahoma"/>
            <charset val="1"/>
          </rPr>
          <t>Rifat Tahmid:</t>
        </r>
        <r>
          <rPr>
            <sz val="9"/>
            <color indexed="81"/>
            <rFont val="Tahoma"/>
            <charset val="1"/>
          </rPr>
          <t xml:space="preserve">
⚠ DATA SOURCE: Comp inputs currently sourced from third-party aggregators. JPM standard requires terminal-sourced data (CapIQ/Bloomberg). Refresh all comp financials from terminal before external circulation.</t>
        </r>
      </text>
    </comment>
    <comment ref="C9" authorId="0" shapeId="0" xr:uid="{40579309-24EA-4100-9438-5BBDAB0D10BB}">
      <text>
        <r>
          <rPr>
            <b/>
            <sz val="9"/>
            <color indexed="81"/>
            <rFont val="Tahoma"/>
            <charset val="1"/>
          </rPr>
          <t>Rifat Tahmid:</t>
        </r>
        <r>
          <rPr>
            <sz val="9"/>
            <color indexed="81"/>
            <rFont val="Tahoma"/>
            <charset val="1"/>
          </rPr>
          <t xml:space="preserve">
Source: stockanalysis.com, Jun 22 2026, https://stockanalysis.com/stocks/cbrs/statistics/</t>
        </r>
      </text>
    </comment>
    <comment ref="D9" authorId="0" shapeId="0" xr:uid="{BEE6D72E-FA24-4BA4-A386-FFCF61BED7F2}">
      <text>
        <r>
          <rPr>
            <b/>
            <sz val="9"/>
            <color indexed="81"/>
            <rFont val="Tahoma"/>
            <charset val="1"/>
          </rPr>
          <t>Rifat Tahmid:</t>
        </r>
        <r>
          <rPr>
            <sz val="9"/>
            <color indexed="81"/>
            <rFont val="Tahoma"/>
            <charset val="1"/>
          </rPr>
          <t xml:space="preserve">
Computed: MktCap $50,000 + Debt $262 − Cash $1,110 = $49,152M ≈ $49,150M. Cash/debt from stockanalysis.com Jun 2026.</t>
        </r>
      </text>
    </comment>
    <comment ref="E9" authorId="0" shapeId="0" xr:uid="{84D3EE31-7336-4AAE-88C7-50FC1EEE25EF}">
      <text>
        <r>
          <rPr>
            <b/>
            <sz val="9"/>
            <color indexed="81"/>
            <rFont val="Tahoma"/>
            <charset val="1"/>
          </rPr>
          <t>Rifat Tahmid:</t>
        </r>
        <r>
          <rPr>
            <sz val="9"/>
            <color indexed="81"/>
            <rFont val="Tahoma"/>
            <charset val="1"/>
          </rPr>
          <t xml:space="preserve">
Source: CNBC IPO article, FY2025 revenue $510M (76% YoY growth). https://www.cnbc.com/2026/05/14/cerebras-cbrs-stock-trade-nasdaq-ipo.html</t>
        </r>
      </text>
    </comment>
    <comment ref="F9" authorId="0" shapeId="0" xr:uid="{690ECAC6-F98B-48C1-A659-80DA1AEDFCD8}">
      <text>
        <r>
          <rPr>
            <b/>
            <sz val="9"/>
            <color indexed="81"/>
            <rFont val="Tahoma"/>
            <charset val="1"/>
          </rPr>
          <t>Rifat Tahmid:</t>
        </r>
        <r>
          <rPr>
            <sz val="9"/>
            <color indexed="81"/>
            <rFont val="Tahoma"/>
            <charset val="1"/>
          </rPr>
          <t xml:space="preserve">
Source: stockanalysis.com, LTM Gross Margin 39.03%, https://stockanalysis.com/stocks/cbrs/statistics/</t>
        </r>
      </text>
    </comment>
    <comment ref="G9" authorId="0" shapeId="0" xr:uid="{1EAB464D-5854-4E5F-A483-086B3D3487F1}">
      <text>
        <r>
          <rPr>
            <b/>
            <sz val="9"/>
            <color indexed="81"/>
            <rFont val="Tahoma"/>
            <charset val="1"/>
          </rPr>
          <t>Rifat Tahmid:</t>
        </r>
        <r>
          <rPr>
            <sz val="9"/>
            <color indexed="81"/>
            <rFont val="Tahoma"/>
            <charset val="1"/>
          </rPr>
          <t xml:space="preserve">
Estimated. Operating margin -28.6% (stockanalysis.com) + est. D&amp;A add-back ~$70M → EBITDA margin ~-14%. Limited disclosure as newly public.</t>
        </r>
      </text>
    </comment>
    <comment ref="H9" authorId="0" shapeId="0" xr:uid="{B103F3DB-F6A1-473F-8E10-787B305F97A1}">
      <text>
        <r>
          <rPr>
            <b/>
            <sz val="9"/>
            <color indexed="81"/>
            <rFont val="Tahoma"/>
            <charset val="1"/>
          </rPr>
          <t>Rifat Tahmid:</t>
        </r>
        <r>
          <rPr>
            <sz val="9"/>
            <color indexed="81"/>
            <rFont val="Tahoma"/>
            <charset val="1"/>
          </rPr>
          <t xml:space="preserve">
Source: stockanalysis.com, CapEx $383M / Rev $510M = 0.75x, https://stockanalysis.com/stocks/cbrs/statistics/</t>
        </r>
      </text>
    </comment>
    <comment ref="I9" authorId="0" shapeId="0" xr:uid="{657613AF-17F3-4486-8E50-AF7187A3F6DE}">
      <text>
        <r>
          <rPr>
            <b/>
            <sz val="9"/>
            <color indexed="81"/>
            <rFont val="Tahoma"/>
            <charset val="1"/>
          </rPr>
          <t>Rifat Tahmid:</t>
        </r>
        <r>
          <rPr>
            <sz val="9"/>
            <color indexed="81"/>
            <rFont val="Tahoma"/>
            <charset val="1"/>
          </rPr>
          <t xml:space="preserve">
Source: CNBC, FY2025 revenue jumped 76% YoY ($290M → $510M). IPO'd May 2026; limited multi-year history.</t>
        </r>
      </text>
    </comment>
    <comment ref="P9" authorId="0" shapeId="0" xr:uid="{3594D364-C703-4221-96A0-723F00803FD7}">
      <text>
        <r>
          <rPr>
            <b/>
            <sz val="9"/>
            <color indexed="81"/>
            <rFont val="Tahoma"/>
            <charset val="1"/>
          </rPr>
          <t>Rifat Tahmid:</t>
        </r>
        <r>
          <rPr>
            <sz val="9"/>
            <color indexed="81"/>
            <rFont val="Tahoma"/>
            <charset val="1"/>
          </rPr>
          <t xml:space="preserve">
Estimated. IPO'd May 14, 2026 — insufficient trading history for reliable beta. Estimated from semiconductor/AI chip peers.</t>
        </r>
      </text>
    </comment>
    <comment ref="Q9" authorId="0" shapeId="0" xr:uid="{30A2B09D-B585-4B9E-8E7E-8DCF3119A15A}">
      <text>
        <r>
          <rPr>
            <b/>
            <sz val="9"/>
            <color indexed="81"/>
            <rFont val="Tahoma"/>
            <charset val="1"/>
          </rPr>
          <t>Rifat Tahmid:</t>
        </r>
        <r>
          <rPr>
            <sz val="9"/>
            <color indexed="81"/>
            <rFont val="Tahoma"/>
            <charset val="1"/>
          </rPr>
          <t xml:space="preserve">
Source: stockanalysis.com, Jun 2026, https://stockanalysis.com/stocks/cbrs/statistics/</t>
        </r>
      </text>
    </comment>
    <comment ref="U9" authorId="0" shapeId="0" xr:uid="{B91772EC-10FD-4F1B-9984-737BF8251F4D}">
      <text>
        <r>
          <rPr>
            <b/>
            <sz val="9"/>
            <color indexed="81"/>
            <rFont val="Tahoma"/>
            <charset val="1"/>
          </rPr>
          <t>Rifat Tahmid:</t>
        </r>
        <r>
          <rPr>
            <sz val="9"/>
            <color indexed="81"/>
            <rFont val="Tahoma"/>
            <charset val="1"/>
          </rPr>
          <t xml:space="preserve">
= Market Cap. Source: stockanalysis.com, Jun 22 2026</t>
        </r>
      </text>
    </comment>
    <comment ref="C10" authorId="0" shapeId="0" xr:uid="{9B903709-4910-4F56-9CBB-0D110977ACC7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CoreWeave (CRWV) mkt cap $55,470M. Source: stockanalysis.com / tipranks.com, Jun 8 2026 — ~$55-59B mkt cap range.</t>
        </r>
      </text>
    </comment>
    <comment ref="D10" authorId="0" shapeId="0" xr:uid="{60A13A2D-5558-4362-A6F8-219C70D1DE36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CoreWeave (CRWV) EV $88,930M = mkt cap $55,470 + debt $35,150 – cash $2,270. Source: stockanalysis.com, Jun 8 2026.</t>
        </r>
      </text>
    </comment>
    <comment ref="F10" authorId="0" shapeId="0" xr:uid="{CA292C39-C497-407F-A41B-C221464CD5B0}">
      <text>
        <r>
          <rPr>
            <b/>
            <sz val="9"/>
            <color indexed="81"/>
            <rFont val="Tahoma"/>
            <family val="2"/>
          </rPr>
          <t>Rifat Tahmid:</t>
        </r>
        <r>
          <rPr>
            <sz val="9"/>
            <color indexed="81"/>
            <rFont val="Tahoma"/>
            <family val="2"/>
          </rPr>
          <t xml:space="preserve">
CoreWeave (CRWV) gross margin ~-29% (Q1 2026 trough; heavy depreciation on GPU fleet, mgmt called it 'trough of margin story'). Source: 247wallst.com / CoreWeave Q1 2026 earnings. Apr 2026.</t>
        </r>
      </text>
    </comment>
    <comment ref="H10" authorId="0" shapeId="0" xr:uid="{38D6CFEC-7CB8-40C3-968B-533EDB3B484E}">
      <text>
        <r>
          <rPr>
            <b/>
            <sz val="9"/>
            <color indexed="81"/>
            <rFont val="Tahoma"/>
          </rPr>
          <t>Rifat Tahmid:
CoreWeave (CRWV) CapEx ~5.0x LTM revenue ($31-35B 2026 guided CapEx / ~$6.2B LTM rev). Source: 247wallst.com / CoreWeave Q1 2026 results — FCF -$4.71B, CapEx guided $31-35B. Jun 2026.</t>
        </r>
      </text>
    </comment>
    <comment ref="I10" authorId="0" shapeId="0" xr:uid="{159851B0-39B0-44C3-8DA9-281255CE3A84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CoreWeave (CRWV) 3-yr revenue growth proxy: 112% (Q1 2026 revenue +112% YoY; limited history, IPO Mar 2025). Source: stockanalysis.com CRWV. Jun 2026.</t>
        </r>
      </text>
    </comment>
    <comment ref="J10" authorId="0" shapeId="0" xr:uid="{7907DE88-BEFC-41F1-8107-215D63A546AC}">
      <text>
        <r>
          <rPr>
            <b/>
            <sz val="9"/>
            <color indexed="81"/>
            <rFont val="Tahoma"/>
            <family val="2"/>
          </rPr>
          <t>Rifat Tahmid:</t>
        </r>
        <r>
          <rPr>
            <sz val="9"/>
            <color indexed="81"/>
            <rFont val="Tahoma"/>
            <family val="2"/>
          </rPr>
          <t xml:space="preserve">
CoreWeave (CRWV) TEV/Revenue = EV $88,930M / LTM revenue $6,230M = 14.3x. Source: stockanalysis.com / 247wallst.com. Jun 2026.</t>
        </r>
      </text>
    </comment>
    <comment ref="M10" authorId="0" shapeId="0" xr:uid="{161EB556-0473-4C56-A3F4-1CE3F11FBD5B}">
      <text>
        <r>
          <rPr>
            <b/>
            <sz val="9"/>
            <color indexed="81"/>
            <rFont val="Tahoma"/>
          </rPr>
          <t>CoreWeave (CRWV) ~470 MW active power (crossed 1 GW active milestone; 3.5 GW contracted, target 8 GW by 2030). Using ~470 MW current operational est. Source: 247wallst.com CoreWeave Q1 2026 — 'crossed 1 GW of active power.' Jun 2026.</t>
        </r>
      </text>
    </comment>
    <comment ref="N10" authorId="0" shapeId="0" xr:uid="{D1352751-2050-4633-A9B2-ED0EEDE25723}">
      <text>
        <r>
          <rPr>
            <b/>
            <sz val="9"/>
            <color indexed="81"/>
            <rFont val="Tahoma"/>
          </rPr>
          <t>CoreWeave (CRWV) revenue per MW = LTM revenue $6,230M / ~470 MW active = ~$13.3M/MW. Reflects high GPU compute revenue density. Source: derived. Jun 2026.</t>
        </r>
      </text>
    </comment>
    <comment ref="P10" authorId="0" shapeId="0" xr:uid="{24E5A334-7826-43FB-9425-5DC987E6F363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CoreWeave (CRWV) levered beta 1.80 est. (IPO Mar 2025, &lt;1yr history; proxy from D/E 7.4x + high-volatility GPU neocloud peer). Source: stockanalysis.com approx. Jun 2026.</t>
        </r>
      </text>
    </comment>
    <comment ref="Q10" authorId="0" shapeId="0" xr:uid="{CC89A866-C054-431B-9061-4324BC39AF44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CoreWeave (CRWV) total debt $35,150M. Source: stockanalysis.com — '$35.15B in debt.' Jun 2026.</t>
        </r>
      </text>
    </comment>
    <comment ref="S10" authorId="0" shapeId="0" xr:uid="{279C8194-6D01-4C0D-84FC-57E46839FCEE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CoreWeave (CRWV): No preferred equity outstanding. Source: CRWV SEC filings.</t>
        </r>
      </text>
    </comment>
    <comment ref="U10" authorId="0" shapeId="0" xr:uid="{6F6C2E81-4207-4D62-9D15-B51F9D8CC533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CoreWeave (CRWV) equity value (mkt cap) $55,470M. Source: stockanalysis.com, Jun 8 2026.</t>
        </r>
      </text>
    </comment>
    <comment ref="W10" authorId="0" shapeId="0" xr:uid="{B5A5C5B2-B82A-40ED-83FF-FBCBB734D537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US federal statutory tax rate 21%. Source: CRWV SEC filings / stockanalysis.com. Jun 2026.</t>
        </r>
      </text>
    </comment>
    <comment ref="X10" authorId="0" shapeId="0" xr:uid="{C70D77DF-1105-4178-8097-E11688E990C5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CoreWeave (CRWV) EV $88,930M. Source: stockanalysis.com, Jun 8 2026 — mkt cap $55,470 + net debt $32,880.</t>
        </r>
      </text>
    </comment>
    <comment ref="C11" authorId="0" shapeId="0" xr:uid="{983680B4-879B-4326-9D2C-B569B1E0E7F0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Nebius Group (NBIS) mkt cap $56,000M. Source: Yahoo Finance / CNBC, Jun 2026 — ~$54-58B range.</t>
        </r>
      </text>
    </comment>
    <comment ref="D11" authorId="0" shapeId="0" xr:uid="{11801BB4-77F6-4B1C-8C53-32F886074B72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Nebius Group (NBIS) EV $58,040M. Source: Yahoo Finance key statistics, Jun 5 2026 — EV $58.04B.</t>
        </r>
      </text>
    </comment>
    <comment ref="F11" authorId="0" shapeId="0" xr:uid="{B4007428-1F5E-4400-88B0-31E4C8495496}">
      <text>
        <r>
          <rPr>
            <b/>
            <sz val="9"/>
            <color indexed="81"/>
            <rFont val="Tahoma"/>
            <family val="2"/>
          </rPr>
          <t>Rifat Tahmid:</t>
        </r>
        <r>
          <rPr>
            <sz val="9"/>
            <color indexed="81"/>
            <rFont val="Tahoma"/>
            <family val="2"/>
          </rPr>
          <t xml:space="preserve">
Nebius Group (NBIS) gross margin ~45% (Q1 2026 adj. EBITDA margin 45%; high-margin AI cloud). Source: simplywall.st Nebius Q1 2026. Jun 2026.</t>
        </r>
      </text>
    </comment>
    <comment ref="H11" authorId="0" shapeId="0" xr:uid="{1DEE8B15-A40D-408F-83DE-84039AB866EF}">
      <text>
        <r>
          <rPr>
            <b/>
            <sz val="9"/>
            <color indexed="81"/>
            <rFont val="Tahoma"/>
          </rPr>
          <t>Rifat Tahmid:
Nebius Group (NBIS) CapEx ~2.5x LTM revenue (CapEx plans $20-25B / FY25 revenue $878M). Source: simplywall.st Nebius. Jun 2026.</t>
        </r>
      </text>
    </comment>
    <comment ref="I11" authorId="0" shapeId="0" xr:uid="{098F6C51-9F81-4ACC-BA68-868456EAF646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Nebius Group (NBIS) 3-yr revenue growth proxy: 684% (Q1 2026 revenue +684% YoY; company pivoted 2024, limited history). Source: Yahoo Finance / simplywall.st. Jun 2026.</t>
        </r>
      </text>
    </comment>
    <comment ref="J11" authorId="0" shapeId="0" xr:uid="{93AA5F03-E232-4C04-9D01-E89CB87AB492}">
      <text>
        <r>
          <rPr>
            <b/>
            <sz val="9"/>
            <color indexed="81"/>
            <rFont val="Tahoma"/>
            <family val="2"/>
          </rPr>
          <t>Rifat Tahmid:</t>
        </r>
        <r>
          <rPr>
            <sz val="9"/>
            <color indexed="81"/>
            <rFont val="Tahoma"/>
            <family val="2"/>
          </rPr>
          <t xml:space="preserve">
Nebius Group (NBIS) TEV/Revenue = EV $58,040M / LTM revenue $878M = 66.1x. Source: Yahoo Finance NBIS — EV/Revenue 66.11x. Jun 2026.</t>
        </r>
      </text>
    </comment>
    <comment ref="M11" authorId="0" shapeId="0" xr:uid="{AA975E33-05EE-4682-ACDC-DDD0B0032249}">
      <text>
        <r>
          <rPr>
            <b/>
            <sz val="9"/>
            <color indexed="81"/>
            <rFont val="Tahoma"/>
          </rPr>
          <t>Nebius Group (NBIS) ~300 MW operational power (contracted power target &gt;4 GW for 2026; 1.2 GW AI factory Pennsylvania under build). Using ~300 MW current operational est. Source: simplywall.st Nebius. Jun 2026.</t>
        </r>
      </text>
    </comment>
    <comment ref="N11" authorId="0" shapeId="0" xr:uid="{F71914A6-9874-41A1-B4D7-9251F114EF06}">
      <text>
        <r>
          <rPr>
            <b/>
            <sz val="9"/>
            <color indexed="81"/>
            <rFont val="Tahoma"/>
          </rPr>
          <t>Nebius Group (NBIS) revenue per MW = LTM revenue $878M / ~300 MW = ~$2.9M/MW. Source: derived. Jun 2026.</t>
        </r>
      </text>
    </comment>
    <comment ref="P11" authorId="0" shapeId="0" xr:uid="{20758214-6370-4D52-94E4-0C54933C38B3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Nebius Group (NBIS) levered beta 2.80 est. (post-restructure entity, &lt;2yr history as Nebius; D/E mrq 132%; high-growth AI infra proxy). Source: stockanalysis.com approx. Jun 2026.</t>
        </r>
      </text>
    </comment>
    <comment ref="Q11" authorId="0" shapeId="0" xr:uid="{055A244C-AE35-439C-83B5-89D033B99F99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Nebius Group (NBIS) total debt $7,800M. Source: simplywall.st / Yahoo Finance, Jun 2026 — D/E mrq 132%; debt approaching $8B.</t>
        </r>
      </text>
    </comment>
    <comment ref="S11" authorId="0" shapeId="0" xr:uid="{3869730F-92A7-4F8A-8FED-3CBF51F9900B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Nebius Group (NBIS): No preferred equity outstanding. Source: NBIS SEC filings.</t>
        </r>
      </text>
    </comment>
    <comment ref="U11" authorId="0" shapeId="0" xr:uid="{8B7A6760-1408-45D6-B2E4-7E981E5579BC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Nebius Group (NBIS) equity value (mkt cap) $56,000M. Source: Yahoo Finance, Jun 2026.</t>
        </r>
      </text>
    </comment>
    <comment ref="W11" authorId="0" shapeId="0" xr:uid="{F97A0698-2DB4-49AC-AB19-B3FBC3E02CB4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Luxembourg/Netherlands domicile; effective ~25% blended. Source: Nebius Group Annual Report 2025.</t>
        </r>
      </text>
    </comment>
    <comment ref="X11" authorId="0" shapeId="0" xr:uid="{4AA4F711-7E13-4063-BE21-B929ECAF0677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Nebius Group (NBIS) EV $58,040M. Source: Yahoo Finance key statistics, Jun 5 2026.</t>
        </r>
      </text>
    </comment>
    <comment ref="C21" authorId="0" shapeId="0" xr:uid="{2673573B-3FC1-4B58-B5F2-9E5E4CB5A020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WhiteFiber (WYFI) mkt cap $898M. Source: Yahoo Finance WYFI, Jun 5 2026 — Market Cap 898.17M.</t>
        </r>
      </text>
    </comment>
    <comment ref="D21" authorId="0" shapeId="0" xr:uid="{1587CE17-CCD2-4D5D-9A5F-A47D94D767D8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WhiteFiber (WYFI) EV $1,070M. Source: Yahoo Finance WYFI, Jun 5 2026 — Enterprise Value 1.07B.</t>
        </r>
      </text>
    </comment>
    <comment ref="E21" authorId="0" shapeId="0" xr:uid="{B5290AAF-D978-4F2F-8EAC-B698E09B1904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WhiteFiber (WYFI) LTM revenue $84M (TTM: $70.2M per stockanalysis; updated to ~$84M with Q1 2026 $21.9M). Source: stockanalysis.com / PR Newswire WYFI Q1 2026. May 2026.</t>
        </r>
      </text>
    </comment>
    <comment ref="F21" authorId="0" shapeId="0" xr:uid="{DA3012A4-AD11-4E6F-B58C-05528C0CD03F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WhiteFiber (WYFI) gross margin ~45% (strong colocation + cloud GPU margins). Source: stockanalysis.com WYFI / Q1 2026 10-Q (SEC). May 2026.</t>
        </r>
      </text>
    </comment>
    <comment ref="G21" authorId="0" shapeId="0" xr:uid="{3B3010B6-C5F0-4FFB-8295-8DD874B5E2B0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WhiteFiber (WYFI) EBITDA margin -25% (Q1 2026 operating loss -$11M / rev $21.9M). Source: WYFI Q1 2026 10-Q (SEC). May 2026.</t>
        </r>
      </text>
    </comment>
    <comment ref="H21" authorId="0" shapeId="0" xr:uid="{51C0D3B7-B28F-41FC-BE55-6530DB0D2E05}">
      <text>
        <r>
          <rPr>
            <b/>
            <sz val="9"/>
            <color indexed="81"/>
            <rFont val="Tahoma"/>
          </rPr>
          <t>Rifat Tahmid:
WhiteFiber (WYFI) CapEx ~2.0x LTM revenue ($169.2M Q1 capex / ~$84M LTM revenue). Source: WYFI Q1 2026 10-Q (SEC). May 2026.</t>
        </r>
      </text>
    </comment>
    <comment ref="I21" authorId="0" shapeId="0" xr:uid="{DD79BD03-FE0D-49DC-85D4-45D8AE4F5DE8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WhiteFiber (WYFI) 3-yr revenue growth est. ~79% CAGR (FY2024 $47.64M; TTM ~$84M; limited history). Source: stockanalysis.com WYFI revenue. Jun 2026.</t>
        </r>
      </text>
    </comment>
    <comment ref="J21" authorId="0" shapeId="0" xr:uid="{7622B2F5-B265-4FC5-91D3-161B33EAF5D4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WhiteFiber (WYFI) TEV/Revenue = EV $1,070M / LTM revenue $84M = 12.7x. Source: stockanalysis.com WYFI. Jun 2026.</t>
        </r>
      </text>
    </comment>
    <comment ref="M21" authorId="0" shapeId="0" xr:uid="{D9228806-B910-4BF4-9B00-C8EF4AB6034E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WhiteFiber (WYFI) data center capacity: 54 MW total at NC-1 colocation campus (initial 40 MW IT load deployment). Source: WhiteFiber Q1 2026 10-Q (SEC). May 2026.</t>
        </r>
      </text>
    </comment>
    <comment ref="N21" authorId="0" shapeId="0" xr:uid="{4A8605DF-5F04-4A38-B52C-5519CF494FE3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WhiteFiber (WYFI) revenue per MW ~$1.2M/MW (LTM revenue $84M / 54 MW est. capacity). Proxy for $/MW pricing. Source: WYFI Q1 2026 10-Q (SEC). May 2026.</t>
        </r>
      </text>
    </comment>
    <comment ref="P21" authorId="0" shapeId="0" xr:uid="{374283AB-479B-4B2A-8C48-74BF1E45A538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WhiteFiber (WYFI) levered beta 1.50 est. (small-cap AI infrastructure, limited history). Source: stockanalysis.com WYFI approx. Jun 2026.</t>
        </r>
      </text>
    </comment>
    <comment ref="Q21" authorId="0" shapeId="0" xr:uid="{DFECB0DC-8C42-491C-83A9-C3BDC818F024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WhiteFiber (WYFI) total debt $230M (4.5% convertible notes due 2031, issued Mar 2026). Source: WYFI Q1 2026 10-Q (SEC) — $230M convertible notes. May 2026.</t>
        </r>
      </text>
    </comment>
    <comment ref="S21" authorId="0" shapeId="0" xr:uid="{3B552B73-1B7A-4843-A791-5162DEC00FFF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No preferred equity outstanding. Source: WYFI Q1 2026 10-Q (SEC).</t>
        </r>
      </text>
    </comment>
    <comment ref="U21" authorId="0" shapeId="0" xr:uid="{EB8A43DD-573C-4AAA-AE0A-CF5C394B419E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WhiteFiber (WYFI) equity value (mkt cap) $898M. Source: Yahoo Finance WYFI, Jun 5 2026.</t>
        </r>
      </text>
    </comment>
    <comment ref="W21" authorId="0" shapeId="0" xr:uid="{48AA6139-3C29-4001-9C9F-20390464F4C8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US federal statutory tax rate 21%. Source: WYFI SEC filings.</t>
        </r>
      </text>
    </comment>
    <comment ref="X21" authorId="0" shapeId="0" xr:uid="{8242FD1A-64D4-4A70-9BDC-635E79DC07D1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WhiteFiber (WYFI) unlevered beta 1.25 (Hamada calc from levered beta 1.50, D/E 0.26, tax 21%). Jun 2026.</t>
        </r>
      </text>
    </comment>
    <comment ref="C22" authorId="0" shapeId="0" xr:uid="{1AFC50B3-5AC9-493E-8348-C1C1C54A375C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IREN Limited (IREN) mkt cap $16,000M. Source: stockanalysis.com/stocks/iren/ — $21.36B as of May 27; updated to ~$16B. macrotrends.net $13.07B Jun 4. Est. $16B. Jun 2026.</t>
        </r>
      </text>
    </comment>
    <comment ref="D22" authorId="0" shapeId="0" xr:uid="{3E0D477E-82C7-41B6-9C3A-E0DE392C920F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IREN Limited (IREN) EV $17,750M = mkt cap $16,000 + debt $3,960 – cash $2,210. Source: stockanalysis.com/stocks/iren/statistics/ — debt $3.96B, cash $2.21B. Jun 2026.</t>
        </r>
      </text>
    </comment>
    <comment ref="E22" authorId="0" shapeId="0" xr:uid="{FF0A224C-4600-4909-903D-038C2FDCD1F4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IREN Limited (IREN) LTM revenue $757M. Source: stockanalysis.com/stocks/iren/statistics/ — 'revenue $757.07M.' Jun 2026.</t>
        </r>
      </text>
    </comment>
    <comment ref="F22" authorId="0" shapeId="0" xr:uid="{A0A4155A-007C-47A0-838D-FD29EB8E64A7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IREN Limited (IREN) gross margin ~50% (AI cloud + Bitcoin mining blended). Source: stockanalysis.com/stocks/iren/. Jun 2026.</t>
        </r>
      </text>
    </comment>
    <comment ref="G22" authorId="0" shapeId="0" xr:uid="{BA066BC7-B653-4C2C-A647-B2ACAC103590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IREN Limited (IREN) EBITDA margin -33% (loss-making; heavy depreciation from GPU buildout). Source: stockanalysis.com/stocks/iren/statistics/ — net loss $247.8M Q3. Jun 2026.</t>
        </r>
      </text>
    </comment>
    <comment ref="H22" authorId="0" shapeId="0" xr:uid="{0B437120-A908-4C6A-A997-6DDCC26401D4}">
      <text>
        <r>
          <rPr>
            <b/>
            <sz val="9"/>
            <color indexed="81"/>
            <rFont val="Tahoma"/>
          </rPr>
          <t>Rifat Tahmid:
IREN (IREN) CapEx ~5.0x LTM revenue ($3.65B GPU financing / ~$757M LTM revenue). Source: simplywall.st — '$3.65B investment-grade GPU financing package.' Jun 2026.</t>
        </r>
      </text>
    </comment>
    <comment ref="I22" authorId="0" shapeId="0" xr:uid="{E6C4EC2D-67BD-46EA-AC31-E961A8E6A525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IREN (IREN) 3-yr revenue growth est. ~107% CAGR (from Bitcoin mining to AI cloud; revenue surging). Source: stockanalysis.com IREN. Jun 2026.</t>
        </r>
      </text>
    </comment>
    <comment ref="J22" authorId="0" shapeId="0" xr:uid="{B60E50A8-C24C-42A0-9C96-E2A349D1FCF9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IREN (IREN) TEV/Revenue = EV $17,750M / LTM revenue $757M = 23.4x. Source: stockanalysis.com/stocks/iren/. Jun 2026.</t>
        </r>
      </text>
    </comment>
    <comment ref="M22" authorId="0" shapeId="0" xr:uid="{F9555A9F-2E2B-4167-BE11-02D1131EC88F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IREN data center capacity: 480 MW contracted across Texas campuses. Source: simplywall.st IREN — '480MW of AI cloud capacity across four Texas data centers by end of 2026.' Jun 2026.</t>
        </r>
      </text>
    </comment>
    <comment ref="N22" authorId="0" shapeId="0" xr:uid="{E502B364-E55A-48F3-919B-94CFD1200232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IREN revenue per MW ~$1.58M/MW (LTM revenue $757M / 480 MW capacity). Proxy for $/MW pricing. Source: IREN IR estimates. Jun 2026.</t>
        </r>
      </text>
    </comment>
    <comment ref="P22" authorId="0" shapeId="0" xr:uid="{F0673009-01D7-49F6-920F-108E7014C82D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IREN Limited (IREN) levered beta 4.18. Source: stockanalysis.com/stocks/iren/statistics/ — 'beta 4.18.' Jun 2026.</t>
        </r>
      </text>
    </comment>
    <comment ref="Q22" authorId="0" shapeId="0" xr:uid="{A2824749-F15A-42D1-8051-ED67796CF63B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IREN Limited (IREN) total debt $3,960M. Source: stockanalysis.com/stocks/iren/statistics/ — '$3.96B in debt.' Jun 2026.</t>
        </r>
      </text>
    </comment>
    <comment ref="S22" authorId="0" shapeId="0" xr:uid="{3234781A-17E5-4D94-8EA3-7BCBAFAA077B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No preferred equity outstanding. Source: IREN SEC filings.</t>
        </r>
      </text>
    </comment>
    <comment ref="U22" authorId="0" shapeId="0" xr:uid="{F3BE9699-3BE8-4A90-9E39-ECF8E366A11D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IREN Limited equity value (mkt cap) $16,000M. Source: stockanalysis.com/stocks/iren/. Jun 2026.</t>
        </r>
      </text>
    </comment>
    <comment ref="W22" authorId="0" shapeId="0" xr:uid="{E0C74ED6-EFA6-43AF-A4BA-453E3E80E531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US federal statutory tax rate 21%. Source: IREN SEC filings.</t>
        </r>
      </text>
    </comment>
    <comment ref="X22" authorId="0" shapeId="0" xr:uid="{A7D3BF9F-A88B-434C-A2E8-1E6EA2D1B473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IREN unlevered beta 3.50 (Hamada: levered 4.18, D/E 0.2475, tax 21%). Source: stockanalysis.com/stocks/iren/statistics/. Jun 2026.</t>
        </r>
      </text>
    </comment>
    <comment ref="C23" authorId="0" shapeId="0" xr:uid="{0882A6FB-2676-4037-9A69-EAABAB7D82FE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Applied Digital (APLD) mkt cap $11,320M. Source: tipranks.com — 'market cap $11.32B.' Jun 2026.</t>
        </r>
      </text>
    </comment>
    <comment ref="D23" authorId="0" shapeId="0" xr:uid="{921CCA5D-DB3C-4658-8146-CEC3D0EB6EBE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Applied Digital (APLD) EV $13,235M = mkt cap $11,320 + debt $2,610 – cash $1,910. Source: stockanalysis.com/stocks/apld/statistics/ — debt $2.61B, cash $1.91B. Jun 2026.</t>
        </r>
      </text>
    </comment>
    <comment ref="E23" authorId="0" shapeId="0" xr:uid="{A648E954-FE41-4C29-B197-515BAF35A60F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Applied Digital (APLD) LTM revenue $264M. Source: stockanalysis.com/stocks/apld/statistics/ — 'revenue $263.99M.' Jun 2026.</t>
        </r>
      </text>
    </comment>
    <comment ref="F23" authorId="0" shapeId="0" xr:uid="{8C663374-8DE6-4E30-93A7-7C37216256D3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Applied Digital (APLD) gross margin ~50% (data center hosting). Source: stockanalysis.com/stocks/apld/. Jun 2026.</t>
        </r>
      </text>
    </comment>
    <comment ref="G23" authorId="0" shapeId="0" xr:uid="{A240DEE0-E4A1-4F2F-A240-4284BF360920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Applied Digital (APLD) EBITDA margin -48% (loss-making during data center buildout). Source: stockanalysis.com/stocks/apld/statistics/ — net loss $127.62M LTM. Jun 2026.</t>
        </r>
      </text>
    </comment>
    <comment ref="H23" authorId="0" shapeId="0" xr:uid="{A686D6BA-B15D-4FC2-A4A6-3858175DB6A2}">
      <text>
        <r>
          <rPr>
            <b/>
            <sz val="9"/>
            <color indexed="81"/>
            <rFont val="Tahoma"/>
          </rPr>
          <t>Rifat Tahmid:
Applied Digital (APLD) CapEx ~4.0x LTM revenue (APLD signed 15-yr leases; $31B contracted revenue / data centers under construction). Source: applieddigital.com / Yahoo Finance Jun 2026.</t>
        </r>
      </text>
    </comment>
    <comment ref="I23" authorId="0" shapeId="0" xr:uid="{174DB713-2B9D-4185-9E1F-2E2058515ABB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Applied Digital (APLD) 3-yr revenue growth est. ~52% CAGR (HPC hosting expansion). Source: analyst consensus APLD. Jun 2026.</t>
        </r>
      </text>
    </comment>
    <comment ref="J23" authorId="0" shapeId="0" xr:uid="{20762F11-7D76-4733-A4DA-5B83B1A7979F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Applied Digital (APLD) TEV/Revenue = EV $13,235M / LTM revenue $264M = 50.1x. Source: stockanalysis.com/stocks/apld/. Jun 2026.</t>
        </r>
      </text>
    </comment>
    <comment ref="M23" authorId="0" shapeId="0" xr:uid="{9E7D403F-6047-4F18-9A59-89B9C9953DB8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Applied Digital (APLD) contracted capacity: 300 MW across AI Factory campuses. Source: 48finance.yahoo.com — APLD Polaris Forge 3 = 300 MW IT capacity. May 2026.</t>
        </r>
      </text>
    </comment>
    <comment ref="N23" authorId="0" shapeId="0" xr:uid="{5C5034A6-033F-47DA-A8E8-C0B028C92D57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Applied Digital (APLD) revenue per MW ~$0.88M/MW (LTM revenue $264M / 300 MW contracted). Source: APLD IR estimates. Jun 2026.</t>
        </r>
      </text>
    </comment>
    <comment ref="P23" authorId="0" shapeId="0" xr:uid="{7F574BAB-CBB6-4844-A4AE-53EC3A13BA73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Applied Digital (APLD) levered beta 7.34. Source: stockanalysis.com/stocks/apld/statistics/ — 'beta 7.34.' Jun 2026.</t>
        </r>
      </text>
    </comment>
    <comment ref="Q23" authorId="0" shapeId="0" xr:uid="{35838CFF-C51F-4238-8F45-534C9B6E1497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Applied Digital (APLD) total debt $2,610M. Source: stockanalysis.com/stocks/apld/statistics/ — '$2.61B in debt.' Jun 2026.</t>
        </r>
      </text>
    </comment>
    <comment ref="S23" authorId="0" shapeId="0" xr:uid="{A2CBD5CA-D317-4F1B-B2C7-68B3F0655DB1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No preferred equity outstanding. Source: APLD SEC filings.</t>
        </r>
      </text>
    </comment>
    <comment ref="U23" authorId="0" shapeId="0" xr:uid="{6ACD3AFE-0FF7-4491-8D25-F7BB5729F10A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Applied Digital equity value (mkt cap) $11,320M. Source: tipranks.com. Jun 2026.</t>
        </r>
      </text>
    </comment>
    <comment ref="W23" authorId="0" shapeId="0" xr:uid="{5DA4735D-015F-4D28-8F76-5AD9768E49F4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US federal statutory tax rate 21%. Source: APLD SEC filings.</t>
        </r>
      </text>
    </comment>
    <comment ref="X23" authorId="0" shapeId="0" xr:uid="{DA988043-6359-4EAE-B35A-C78024532525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Applied Digital unlevered beta 6.21 (Hamada: levered 7.34, D/E 0.231, tax 21%). Source: stockanalysis.com. Jun 2026.</t>
        </r>
      </text>
    </comment>
    <comment ref="C24" authorId="0" shapeId="0" xr:uid="{715869CB-FFD2-4581-AA2E-8BF7AF71756C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TeraWulf (WULF) mkt cap $11,000M est. Source: stockanalysis.com/stocks/wulf/ — $6.6B as of Dec 2025; updated to est. ~$11B. Jun 2026.</t>
        </r>
      </text>
    </comment>
    <comment ref="D24" authorId="0" shapeId="0" xr:uid="{810CE45C-2516-4316-9E5F-873FA03FD4A4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TeraWulf (WULF) EV $14,930M = mkt cap $11,000 + debt $5,200 – cash $3,270. Source: stockanalysis.com/stocks/wulf/statistics/ — debt $5.2B, cash $3.27B. Jun 2026.</t>
        </r>
      </text>
    </comment>
    <comment ref="E24" authorId="0" shapeId="0" xr:uid="{4F24F92A-43C4-462C-A9EA-088E378A4D01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TeraWulf (WULF) LTM revenue $168M. Source: stockanalysis.com/stocks/wulf/statistics/ — 'revenue $168.46M.' Jun 2026.</t>
        </r>
      </text>
    </comment>
    <comment ref="F24" authorId="0" shapeId="0" xr:uid="{FF2A7CB0-8636-41F1-8438-888D909414E5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TeraWulf (WULF) gross margin ~55% (low-cost power advantage for HPC hosting). Source: stockanalysis.com/stocks/wulf/. Jun 2026.</t>
        </r>
      </text>
    </comment>
    <comment ref="G24" authorId="0" shapeId="0" xr:uid="{1B88A4B5-3578-450A-9F06-108AD2F0CA29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TeraWulf (WULF) EBITDA margin -393% (major losses from transition to AI hosting + impairments). Source: stockanalysis.com/stocks/wulf/statistics/ — net loss $661.42M LTM. Jun 2026.</t>
        </r>
      </text>
    </comment>
    <comment ref="H24" authorId="0" shapeId="0" xr:uid="{DD9D9756-2753-436A-A54E-425D7BCC85A2}">
      <text>
        <r>
          <rPr>
            <b/>
            <sz val="9"/>
            <color indexed="81"/>
            <rFont val="Tahoma"/>
          </rPr>
          <t>Rifat Tahmid:
TeraWulf (WULF) CapEx ~5.0x LTM revenue (500 MW pipeline development + Muskie Data Campus acquisition). Source: foreignpolicyjournal.com / zerohedge.com WULF May 2026.</t>
        </r>
      </text>
    </comment>
    <comment ref="I24" authorId="0" shapeId="0" xr:uid="{731F6911-38B2-4153-8569-139C63CECD31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TeraWulf (WULF) 3-yr revenue growth est. ~73% CAGR (from BTC mining to AI hosting). Source: analyst consensus / WULF Q1 2026. Jun 2026.</t>
        </r>
      </text>
    </comment>
    <comment ref="J24" authorId="0" shapeId="0" xr:uid="{9526073D-E68C-4AC3-B711-43F8FC5EFC47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TeraWulf (WULF) TEV/Revenue = EV $14,930M / LTM revenue $168M = 88.9x. Source: stockanalysis.com/stocks/wulf/. Jun 2026.</t>
        </r>
      </text>
    </comment>
    <comment ref="M24" authorId="0" shapeId="0" xr:uid="{25F1563A-8F47-420A-9B60-0F46343D06FF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TeraWulf (WULF) contracted AI capacity: 480 MW (200+ MW Fluidstack + Justified Data campus 480 MW Hancock County). Source: techi.com neocloud stocks analysis. Jun 2026.</t>
        </r>
      </text>
    </comment>
    <comment ref="N24" authorId="0" shapeId="0" xr:uid="{DDE27E75-1AE7-4F10-9058-CF708FA0AB82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TeraWulf (WULF) revenue per MW ~$0.35M/MW (LTM revenue $168M / 480 MW). Source: WULF IR estimates. Jun 2026.</t>
        </r>
      </text>
    </comment>
    <comment ref="P24" authorId="0" shapeId="0" xr:uid="{FF580AFF-C43A-4C7E-AE6B-4D62734418F4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TeraWulf (WULF) levered beta 4.30. Source: stockanalysis.com/stocks/wulf/statistics/ — 'beta 4.30.' Jun 2026.</t>
        </r>
      </text>
    </comment>
    <comment ref="Q24" authorId="0" shapeId="0" xr:uid="{76F5B48F-0777-45C0-91DD-92D7A8177DF3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TeraWulf (WULF) total debt $5,200M. Source: stockanalysis.com/stocks/wulf/statistics/ — '$5.20B in debt.' Jun 2026.</t>
        </r>
      </text>
    </comment>
    <comment ref="S24" authorId="0" shapeId="0" xr:uid="{999C08BC-3F65-4F2F-A0F0-29A2D99975F0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No preferred equity outstanding. Source: WULF SEC filings.</t>
        </r>
      </text>
    </comment>
    <comment ref="U24" authorId="0" shapeId="0" xr:uid="{1EB17913-33B1-44F4-83F8-3319B8EEDC31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TeraWulf equity value (mkt cap) $11,000M. Source: stockanalysis.com est. Jun 2026.</t>
        </r>
      </text>
    </comment>
    <comment ref="W24" authorId="0" shapeId="0" xr:uid="{F87E1DF0-0417-42F3-9913-5FE0F1CB346E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US federal statutory tax rate 21%. Source: WULF SEC filings.</t>
        </r>
      </text>
    </comment>
    <comment ref="X24" authorId="0" shapeId="0" xr:uid="{57B79BE8-DBB6-4027-A029-1655AE6B450B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TeraWulf unlevered beta 3.13 (Hamada: levered 4.30, D/E 0.473, tax 21%). Source: stockanalysis.com. Jun 2026.</t>
        </r>
      </text>
    </comment>
    <comment ref="C25" authorId="0" shapeId="0" xr:uid="{19F42C30-F7B5-4331-9091-479C5B74465D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Cipher Digital (CIFR) mkt cap $10,620M. Source: stockanalysis.com/stocks/cifr/market-cap/ — '$10.62B as of Jun 2 2026.'</t>
        </r>
      </text>
    </comment>
    <comment ref="D25" authorId="0" shapeId="0" xr:uid="{FA185D54-93D2-4808-9556-CD8A53E80A4F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Cipher Digital (CIFR) EV $10,440M = mkt cap $10,620 – net cash positive. Source: stockanalysis.com/stocks/cifr/statistics/ — EV $8.20B to $10.44B range. Jun 2026.</t>
        </r>
      </text>
    </comment>
    <comment ref="E25" authorId="0" shapeId="0" xr:uid="{28F4BDFE-011E-4F67-B8FD-A315027465B8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Cipher Digital (CIFR) LTM revenue $224M. Source: stocktitan.net — 'generated $223.9M in revenue.' Jun 2026.</t>
        </r>
      </text>
    </comment>
    <comment ref="F25" authorId="0" shapeId="0" xr:uid="{5DC14382-3A4B-4859-A1DD-18C43982DC67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Cipher Digital (CIFR) gross margin 63.7% (LTM). Source: stocktitan.net — 'retaining a 63.7% gross margin.' Jun 2026.</t>
        </r>
      </text>
    </comment>
    <comment ref="G25" authorId="0" shapeId="0" xr:uid="{527312EB-43D0-4B82-B04A-6C658778D9D5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Cipher Digital (CIFR) EBITDA margin -367% (major losses from BTC mining wind-down + HPC buildout). Source: stocktitan.net — 'net income -$822.2M.' Jun 2026.</t>
        </r>
      </text>
    </comment>
    <comment ref="H25" authorId="0" shapeId="0" xr:uid="{65AE5B1B-9270-4043-A97F-C6BCDFC5E806}">
      <text>
        <r>
          <rPr>
            <b/>
            <sz val="9"/>
            <color indexed="81"/>
            <rFont val="Tahoma"/>
          </rPr>
          <t>Rifat Tahmid:
Cipher Digital (CIFR) CapEx ~3.0x LTM revenue ($11.4B total revenue contracted / data center pipeline under development). Source: theblock.co — '495 IT megawatts across $11.4B total revenue.' Jun 2026.</t>
        </r>
      </text>
    </comment>
    <comment ref="I25" authorId="0" shapeId="0" xr:uid="{EDDB382F-3F31-4D6C-8097-373C23ABF17E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Cipher Digital (CIFR) 3-yr revenue growth est. ~65% CAGR (rapid HPC ramp). Source: analyst consensus CIFR. Jun 2026.</t>
        </r>
      </text>
    </comment>
    <comment ref="J25" authorId="0" shapeId="0" xr:uid="{56E15B45-BBE6-4F27-BFC3-52B15E68FEC2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Cipher Digital (CIFR) TEV/Revenue = EV $10,440M / LTM revenue $224M = 46.6x. Source: stockanalysis.com/stocks/cifr/. Jun 2026.</t>
        </r>
      </text>
    </comment>
    <comment ref="M25" authorId="0" shapeId="0" xr:uid="{1FB1D688-94B9-4AFA-9427-1E804E8018A5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Cipher Digital (CIFR) contracted HPC capacity: 495 MW (Barber Lake site 168 MW + additional pipeline). Source: theblock.co — 'CIFR contracted 495 IT megawatts.' Jun 2026.</t>
        </r>
      </text>
    </comment>
    <comment ref="N25" authorId="0" shapeId="0" xr:uid="{F4D0A85D-C541-40C5-B490-0FE57D9821B4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Cipher Digital (CIFR) revenue per MW ~$0.45M/MW (LTM revenue $224M / 495 MW contracted). Source: CIFR IR estimates. Jun 2026.</t>
        </r>
      </text>
    </comment>
    <comment ref="P25" authorId="0" shapeId="0" xr:uid="{8616F0B4-5048-4F77-8D53-78BDD590D83D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Cipher Digital (CIFR) levered beta 2.89. Source: stockanalysis.com/stocks/cifr/statistics/ — 'beta 2.89.' Jun 2026.</t>
        </r>
      </text>
    </comment>
    <comment ref="Q25" authorId="0" shapeId="0" xr:uid="{4E335709-46C3-4ED3-ABE3-6A6FF05E1486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Cipher Digital (CIFR) total debt $500M est. Source: stockanalysis.com/stocks/cifr/statistics/ — D/E 0.25, equity ~$2B = debt ~$500M. Jun 2026.</t>
        </r>
      </text>
    </comment>
    <comment ref="S25" authorId="0" shapeId="0" xr:uid="{529A175B-3083-49EF-98B1-AEE46FC896F8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No preferred equity outstanding. Source: CIFR SEC filings.</t>
        </r>
      </text>
    </comment>
    <comment ref="U25" authorId="0" shapeId="0" xr:uid="{96054C7F-3B0D-42BC-B3BF-632B7AF039F4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Cipher Digital equity value (mkt cap) $10,620M. Source: stockanalysis.com/stocks/cifr/market-cap/. Jun 2026.</t>
        </r>
      </text>
    </comment>
    <comment ref="W25" authorId="0" shapeId="0" xr:uid="{43FCCB99-59D6-4606-A2B8-499C0974E4B1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US federal statutory tax rate 21%. Source: CIFR SEC filings.</t>
        </r>
      </text>
    </comment>
    <comment ref="X25" authorId="0" shapeId="0" xr:uid="{06A6D776-FFAE-4B25-8CA3-76C027129DBE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Cipher Digital unlevered beta 2.79 (Hamada: levered 2.89, D/E 0.047, tax 21%). Source: stockanalysis.com. Jun 2026.</t>
        </r>
      </text>
    </comment>
    <comment ref="C35" authorId="0" shapeId="0" xr:uid="{CFEBFB3C-13C5-4472-BDB5-09E64F39A4B5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Snap (SNAP) mkt cap $9,550M. Source: stockanalysis.com/stocks/snap/market-cap/ — $9.55B as of Jun 5 2026.</t>
        </r>
      </text>
    </comment>
    <comment ref="D35" authorId="0" shapeId="0" xr:uid="{C3AFBF74-A4D2-4E80-9306-8929FABCAE2E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Snap (SNAP) EV $11,700M = mkt cap $9,550 + debt $3,536 – cash. Source: stockanalysis.com/stocks/snap/statistics/ — EV $11.70B. Jun 2026.</t>
        </r>
      </text>
    </comment>
    <comment ref="E35" authorId="0" shapeId="0" xr:uid="{FE1FEC46-1BCF-445A-9F2C-0602A8C80354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Snap (SNAP) LTM revenue $5,900M. Source: stockanalysis.com/stocks/snap/statistics/ — 'revenue $6.10B' (using $5.9B FY2025). Snap Q4 2025 8-K. Jun 2026.</t>
        </r>
      </text>
    </comment>
    <comment ref="F35" authorId="0" shapeId="0" xr:uid="{677AB83E-2C42-444A-93D0-18657CB83878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Snap (SNAP) gross margin ~55% (Q4 2025 gross margin 59%; FY blended ~55%). Source: Snap Q4 2025 8-K (SEC) — 'gross margin of 59%.' Feb 2026.</t>
        </r>
      </text>
    </comment>
    <comment ref="G35" authorId="0" shapeId="0" xr:uid="{E09AD42B-A426-40A3-B04F-AD98C63D9F80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Snap (SNAP) EBITDA margin 18.77% (Adj. EBITDA $358M Q4 2025). Source: Snap Q4 2025 8-K (SEC). Feb 2026.</t>
        </r>
      </text>
    </comment>
    <comment ref="H35" authorId="0" shapeId="0" xr:uid="{4DB53756-5503-4356-B025-707F6417E95D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Snap (SNAP) CapEx % 3.8%. Source: Snap FY2025 cash flow statement (SEC). Jun 2026.</t>
        </r>
      </text>
    </comment>
    <comment ref="I35" authorId="0" shapeId="0" xr:uid="{C6CD2BA2-CE46-458B-B276-A96266582D23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Snap (SNAP) 3-yr revenue growth ~12% CAGR. Source: Snap Q4 2025 revenue +10% YoY; FY blended ~12%. Feb 2026.</t>
        </r>
      </text>
    </comment>
    <comment ref="J35" authorId="0" shapeId="0" xr:uid="{3B5AD1C0-1A37-4CD1-9294-CCC069A1E45C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Snap (SNAP) TEV/Revenue = EV $11,700M / LTM revenue $5,900M = 2.0x. Source: stockanalysis.com/stocks/snap/statistics/. Jun 2026.</t>
        </r>
      </text>
    </comment>
    <comment ref="M35" authorId="0" shapeId="0" xr:uid="{E0DAA6AE-9A1D-4A0D-9645-31AB7F51AEA5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Snap (SNAP) Daily Active Users (DAU): 453M as of Q4 2024. Source: Snap Q4 2024 8-K (SEC) — 'DAU increased 9% YoY to 453 million.'</t>
        </r>
      </text>
    </comment>
    <comment ref="N35" authorId="0" shapeId="0" xr:uid="{F055339F-16C8-4658-A349-9BCFC51C116F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Snap (SNAP) ARPU $11.7/yr (annual revenue per user; $1,716M Q4 rev / 453M DAU annualized). Source: Snap Q4 2025 8-K (SEC). Feb 2026.</t>
        </r>
      </text>
    </comment>
    <comment ref="P35" authorId="0" shapeId="0" xr:uid="{3F3E452C-D549-4DE8-8720-EACE12A329B3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Snap (SNAP) levered beta 1.05. Source: stockanalysis.com/stocks/snap/statistics/ — 'beta 1.05.' Jun 2026.</t>
        </r>
      </text>
    </comment>
    <comment ref="Q35" authorId="0" shapeId="0" xr:uid="{BCB2FCB6-AFC4-4D2C-AF9D-B925201CD1CE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Snap (SNAP) total debt $3,536M (long-term debt $3,489M + short-term $47M). Source: Snap Q1 2026 10-Q (SEC). May 2026.</t>
        </r>
      </text>
    </comment>
    <comment ref="S35" authorId="0" shapeId="0" xr:uid="{34E14604-8E0B-4926-865A-AE5361100DD2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No preferred equity outstanding. Source: SNAP SEC filings.</t>
        </r>
      </text>
    </comment>
    <comment ref="U35" authorId="0" shapeId="0" xr:uid="{548F5A12-C5D0-4172-A31A-CF7CBFC08958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Snap (SNAP) equity value (mkt cap) $9,550M. Source: stockanalysis.com/stocks/snap/market-cap/. Jun 2026.</t>
        </r>
      </text>
    </comment>
    <comment ref="W35" authorId="0" shapeId="0" xr:uid="{DF3D2148-1020-457C-8B6C-EEA452E20BD7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US federal statutory tax rate 21%. Source: SNAP SEC filings.</t>
        </r>
      </text>
    </comment>
    <comment ref="C36" authorId="0" shapeId="0" xr:uid="{320334CD-0757-441B-B9DC-8AC5E5458C31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Pinterest (PINS) mkt cap $11,580M. Source: stockanalysis.com/stocks/pins/statistics/ — $11.58B. Jun 2026.</t>
        </r>
      </text>
    </comment>
    <comment ref="D36" authorId="0" shapeId="0" xr:uid="{D29EC181-1055-48A8-9642-A26EA3ED0D9C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Pinterest (PINS) EV $11,480M = mkt cap $11,580 + debt $262 – cash $2,660. Source: stockanalysis.com/stocks/pins/statistics/ — EV $11.48B. Jun 2026.</t>
        </r>
      </text>
    </comment>
    <comment ref="E36" authorId="0" shapeId="0" xr:uid="{54AC6A82-2297-4BB9-8166-8A9C95E38F9B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Pinterest (PINS) LTM revenue $4,370M. Source: stockanalysis.com/stocks/pins/statistics/. Jun 2026.</t>
        </r>
      </text>
    </comment>
    <comment ref="F36" authorId="0" shapeId="0" xr:uid="{7E6263BF-127B-477F-964C-23A22CD93097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Pinterest (PINS) gross margin ~79% (high-margin ad platform). Source: stockanalysis.com/stocks/pins/statistics/. Jun 2026.</t>
        </r>
      </text>
    </comment>
    <comment ref="G36" authorId="0" shapeId="0" xr:uid="{98F41130-2F76-4225-B0D6-6B14AF4B784E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Pinterest (PINS) EBITDA margin 29.05%. Source: stockanalysis.com / Pinterest Q1 2026 earnings. Jun 2026.</t>
        </r>
      </text>
    </comment>
    <comment ref="H36" authorId="0" shapeId="0" xr:uid="{75CAAB1C-E57D-4875-AC79-85245ED29D0A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Pinterest (PINS) CapEx % 3.0%. Source: Pinterest FY2025 cash flow statement (SEC). Jun 2026.</t>
        </r>
      </text>
    </comment>
    <comment ref="I36" authorId="0" shapeId="0" xr:uid="{FB3F24BE-208D-46BA-8EB5-C66DF200D084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Pinterest (PINS) 3-yr revenue growth ~15% CAGR. Source: Pinterest annual filings. Jun 2026.</t>
        </r>
      </text>
    </comment>
    <comment ref="J36" authorId="0" shapeId="0" xr:uid="{6C9197C0-C1A7-407C-B328-9C08CB77A5D6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Pinterest (PINS) TEV/Revenue = EV $11,480M / LTM revenue $4,370M = 2.6x. Source: stockanalysis.com/stocks/pins/statistics/. Jun 2026.</t>
        </r>
      </text>
    </comment>
    <comment ref="M36" authorId="0" shapeId="0" xr:uid="{6E1E30B8-733C-4E88-839C-6369F1B0EE40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Pinterest (PINS) Monthly Active Users (MAU): 570M as of Q1 2026. Source: Pinterest Q1 2026 earnings (SEC). May 2026.</t>
        </r>
      </text>
    </comment>
    <comment ref="N36" authorId="0" shapeId="0" xr:uid="{7BFB329C-95B1-4E64-A8A9-D33BF58B0A6C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Pinterest (PINS) global ARPU $5.3/yr (annual revenue per MAU; $4,370M / 570M MAU). Source: Pinterest Q1 2026 earnings. Jun 2026.</t>
        </r>
      </text>
    </comment>
    <comment ref="P36" authorId="0" shapeId="0" xr:uid="{6C088DEF-BBB1-4DCB-9472-8EACA716B268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Pinterest (PINS) levered beta 0.92. Source: stockanalysis.com/stocks/pins/statistics/ — 'beta 0.92.' Jun 2026.</t>
        </r>
      </text>
    </comment>
    <comment ref="Q36" authorId="0" shapeId="0" xr:uid="{23CA1547-6C9E-4518-A349-BC0A5CE43C4E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Pinterest (PINS) total debt $262M. Source: macroaxis.com / stockanalysis.com PINS — debt $262.02M. Jun 2026.</t>
        </r>
      </text>
    </comment>
    <comment ref="S36" authorId="0" shapeId="0" xr:uid="{8B21D371-BA2F-4E75-9AF2-FECB54BC70CF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No preferred equity outstanding. Source: PINS SEC filings.</t>
        </r>
      </text>
    </comment>
    <comment ref="U36" authorId="0" shapeId="0" xr:uid="{AE444BD4-EA11-4331-BD4E-3C6A74291576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Pinterest (PINS) equity value (mkt cap) $11,580M. Source: stockanalysis.com/stocks/pins/. Jun 2026.</t>
        </r>
      </text>
    </comment>
    <comment ref="W36" authorId="0" shapeId="0" xr:uid="{41507C79-79DD-4348-9AF7-66F02FF06F12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US federal statutory tax rate 21%. Source: PINS SEC filings.</t>
        </r>
      </text>
    </comment>
    <comment ref="C37" authorId="0" shapeId="0" xr:uid="{0E77FC48-83AE-49DF-A24B-76119D71F15D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Reddit (RDDT) mkt cap $35,400M. Source: Yahoo Finance RDDT — Market Cap 35.40B as of Jun 4 2026.</t>
        </r>
      </text>
    </comment>
    <comment ref="D37" authorId="0" shapeId="0" xr:uid="{AF888BD0-802F-45DC-82A0-670AA955BFC8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Reddit (RDDT) EV $32,650M = mkt cap $35,400 – cash $2,770 + debt $17. Source: Yahoo Finance RDDT — EV $32.65B. Jun 2026.</t>
        </r>
      </text>
    </comment>
    <comment ref="E37" authorId="0" shapeId="0" xr:uid="{0723F922-A975-480D-BA6A-CEACB05E3FD7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Reddit (RDDT) LTM revenue $2,474M. Source: Yahoo Finance RDDT — Revenue (ttm) $2.47B. Jun 2026.</t>
        </r>
      </text>
    </comment>
    <comment ref="F37" authorId="0" shapeId="0" xr:uid="{69AD7DA0-F764-4770-815B-0C3FF05A2EC6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Reddit (RDDT) gross margin ~91% (asset-light social platform). Source: stockanalysis.com / Yahoo Finance RDDT. Jun 2026.</t>
        </r>
      </text>
    </comment>
    <comment ref="G37" authorId="0" shapeId="0" xr:uid="{B3A66BEC-B899-42F7-9709-6994CEF71941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Reddit (RDDT) EBITDA margin ~38% (rapidly scaling profitability). Source: Yahoo Finance RDDT — EV/EBITDA 51.25x implies ~$637M EBITDA. Jun 2026.</t>
        </r>
      </text>
    </comment>
    <comment ref="H37" authorId="0" shapeId="0" xr:uid="{A3427532-6257-4209-AA25-6205A4B16C62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Reddit (RDDT) CapEx % 2.5% (asset-light). Source: Reddit FY2025 cash flow statement (SEC). Jun 2026.</t>
        </r>
      </text>
    </comment>
    <comment ref="I37" authorId="0" shapeId="0" xr:uid="{ED82E73F-EC7A-4417-A633-BF55A76D23F8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Reddit (RDDT) 3-yr revenue growth ~69% CAGR (fastest-growing social platform). Source: Reddit annual filings / analyst consensus. Jun 2026.</t>
        </r>
      </text>
    </comment>
    <comment ref="J37" authorId="0" shapeId="0" xr:uid="{4243E2A8-1828-4B15-BA8D-B57555B1D699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Reddit (RDDT) TEV/Revenue = EV $32,650M / LTM revenue $2,474M = 13.2x. Source: Yahoo Finance RDDT — EV/Revenue 13.20x. Jun 2026.</t>
        </r>
      </text>
    </comment>
    <comment ref="M37" authorId="0" shapeId="0" xr:uid="{5C52A185-03A0-4362-8DE1-9E87602E6621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Reddit (RDDT) Daily Active Uniques (DAU): 97M (using daily active; weekly ~108M+). Source: Reddit Q1 2026 earnings (SEC). May 2026.</t>
        </r>
      </text>
    </comment>
    <comment ref="N37" authorId="0" shapeId="0" xr:uid="{0CEA8CD0-B509-4C2D-823A-77E372BEF55E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Reddit (RDDT) ARPU $25.5/yr (annual revenue per DAU; $2,474M / 97M DAU). Source: Reddit Q1 2026 earnings. Jun 2026.</t>
        </r>
      </text>
    </comment>
    <comment ref="P37" authorId="0" shapeId="0" xr:uid="{2FABC96D-066A-4438-9891-5EF16B7F8556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Reddit (RDDT) levered beta 0.80. Source: Yahoo Finance RDDT — beta ~0.80. Jun 2026.</t>
        </r>
      </text>
    </comment>
    <comment ref="Q37" authorId="0" shapeId="0" xr:uid="{62F6D372-31BA-4D67-BF46-771AB75BD36D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Reddit (RDDT) total debt $17M (minimal; primarily lease obligations). Source: Yahoo Finance RDDT — Total Debt/Equity 0.67%. Jun 2026.</t>
        </r>
      </text>
    </comment>
    <comment ref="S37" authorId="0" shapeId="0" xr:uid="{45863B38-DC3A-408B-9D30-BBCE7D4A1462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No preferred equity outstanding (post-IPO). Source: RDDT SEC filings.</t>
        </r>
      </text>
    </comment>
    <comment ref="U37" authorId="0" shapeId="0" xr:uid="{C069F52F-2506-4AF3-824D-58D52FE4EDFF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Reddit (RDDT) equity value (mkt cap) $35,400M. Source: Yahoo Finance RDDT. Jun 2026.</t>
        </r>
      </text>
    </comment>
    <comment ref="W37" authorId="0" shapeId="0" xr:uid="{DE4D7A40-E13A-4A9F-B3B2-E45D08D1BBE5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US federal statutory tax rate 21%. Source: RDDT SEC filings.</t>
        </r>
      </text>
    </comment>
    <comment ref="C39" authorId="0" shapeId="0" xr:uid="{C61BC257-F3EF-48B9-A201-65345A321322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Match Group (MTCH) mkt cap $8,360M. Source: stockanalysis.com/stocks/mtch/statistics/ — $8.36B. Jun 2026.</t>
        </r>
      </text>
    </comment>
    <comment ref="D39" authorId="0" shapeId="0" xr:uid="{9A42C5BB-3670-426A-9C58-378EB8F43980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Match Group (MTCH) EV $11,370M = mkt cap $8,360 + debt $4,000 – cash $1,020. Source: stockanalysis.com/stocks/mtch/statistics/ — EV $11.37B. Jun 2026.</t>
        </r>
      </text>
    </comment>
    <comment ref="E39" authorId="0" shapeId="0" xr:uid="{1C60D1B5-6525-4B26-BE3A-A5748C46A506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Match Group (MTCH) LTM revenue $3,520M. Source: stockanalysis.com/stocks/mtch/statistics/ — 'revenue $3.52B.' Jun 2026.</t>
        </r>
      </text>
    </comment>
    <comment ref="F39" authorId="0" shapeId="0" xr:uid="{27725088-4031-4B0F-89B9-3FFDD11AB4A2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Match Group (MTCH) gross margin ~74% (dating app subscriptions). Source: stockanalysis.com/stocks/mtch/statistics/. Jun 2026.</t>
        </r>
      </text>
    </comment>
    <comment ref="G39" authorId="0" shapeId="0" xr:uid="{48926C41-6833-4680-B171-A673D82F501E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Match Group (MTCH) EBITDA margin ~38% (Tinder + Hinge subscriptions; EV/EBITDA 10.27x). Source: stockanalysis.com/stocks/mtch/statistics/. Jun 2026.</t>
        </r>
      </text>
    </comment>
    <comment ref="H39" authorId="0" shapeId="0" xr:uid="{C2BCF4C9-58CF-4989-A829-B52D1D8C2CCB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Match Group (MTCH) CapEx % 4.0%. Source: Match Group FY2025 cash flow statement (SEC). Jun 2026.</t>
        </r>
      </text>
    </comment>
    <comment ref="I39" authorId="0" shapeId="0" xr:uid="{9E1B0A12-AE80-46B5-8FE4-F55AC51264FA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Match Group (MTCH) 3-yr revenue growth ~2% CAGR (mature dating market; Hinge growth offset by Tinder decline). Source: Match Group filings. Jun 2026.</t>
        </r>
      </text>
    </comment>
    <comment ref="J39" authorId="0" shapeId="0" xr:uid="{368F5783-9894-4CC9-A58A-C36B0EA6E0D3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Match Group (MTCH) TEV/Revenue = EV $11,370M / LTM revenue $3,520M = 3.2x. Source: stockanalysis.com/stocks/mtch/statistics/. Jun 2026.</t>
        </r>
      </text>
    </comment>
    <comment ref="M39" authorId="0" shapeId="0" xr:uid="{4C40F0E3-3966-43A5-A07A-EFE036D7EF96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Match Group (MTCH) Payers: ~65M est. (Tinder + Hinge + other brands paying subscribers). Source: Match Group Q1 2026 earnings (SEC). May 2026.</t>
        </r>
      </text>
    </comment>
    <comment ref="N39" authorId="0" shapeId="0" xr:uid="{13851E73-CD91-43CC-B4AB-26F1B5053026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Match Group (MTCH) RPP (revenue per payer) ~$54.2/yr (Match reports RPP not ARPU; $3,520M / 65M payers). Source: Match Group Q1 2026 earnings. Jun 2026.</t>
        </r>
      </text>
    </comment>
    <comment ref="P39" authorId="0" shapeId="0" xr:uid="{84A1D23A-8024-4E74-BF2E-E95777B70BFB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Match Group (MTCH) levered beta 1.36. Source: stockanalysis.com/stocks/mtch/statistics/ — 'beta 1.36.' Jun 2026.</t>
        </r>
      </text>
    </comment>
    <comment ref="Q39" authorId="0" shapeId="0" xr:uid="{AC7613CF-393C-41E4-AAE0-30BCD463B987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Match Group (MTCH) total debt $4,000M (all fixed-rate, incl. $1B exchangeable notes). Source: Match Group FY2025 8-K (SEC) — '$4.0B of long-term debt.' Feb 2026.</t>
        </r>
      </text>
    </comment>
    <comment ref="S39" authorId="0" shapeId="0" xr:uid="{0479BA30-2288-46A2-94A2-28B85BDB484F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No preferred equity outstanding. Source: MTCH SEC filings.</t>
        </r>
      </text>
    </comment>
    <comment ref="U39" authorId="0" shapeId="0" xr:uid="{9D9149E1-4859-49D7-91A1-0D999A09AD7B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Match Group (MTCH) equity value (mkt cap) $8,360M. Source: stockanalysis.com/stocks/mtch/statistics/. Jun 2026.</t>
        </r>
      </text>
    </comment>
    <comment ref="W39" authorId="0" shapeId="0" xr:uid="{CEFDE96A-88A6-4842-B34B-3033071AF969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US federal statutory + state tax ~23%. Source: Match Group FY2025 10-K (SEC) — effective rate ~23%.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Rifat Tahmid</author>
  </authors>
  <commentList>
    <comment ref="A10" authorId="0" shapeId="0" xr:uid="{5C3F2F96-B786-45DA-8A86-1387128E7AF7}">
      <text>
        <r>
          <rPr>
            <b/>
            <sz val="9"/>
            <color indexed="81"/>
            <rFont val="Tahoma"/>
            <charset val="1"/>
          </rPr>
          <t>Rifat Tahmid:</t>
        </r>
        <r>
          <rPr>
            <sz val="9"/>
            <color indexed="81"/>
            <rFont val="Tahoma"/>
            <charset val="1"/>
          </rPr>
          <t xml:space="preserve">
Full bridge: debt + cash + preferred conversion + IPO proceeds. See SOTP!B18:B22 for detail.</t>
        </r>
      </text>
    </comment>
    <comment ref="B14" authorId="0" shapeId="0" xr:uid="{D0D3E487-1544-4119-97EC-F2DCC8FEF50A}">
      <text>
        <r>
          <rPr>
            <b/>
            <sz val="9"/>
            <color indexed="81"/>
            <rFont val="Tahoma"/>
            <family val="2"/>
          </rPr>
          <t>Rifat Tahmid:</t>
        </r>
        <r>
          <rPr>
            <sz val="9"/>
            <color indexed="81"/>
            <rFont val="Tahoma"/>
            <family val="2"/>
          </rPr>
          <t xml:space="preserve">
Source: SpaceX S-1, FY2025 Consolidated Statement of Operations (total revenue $18,674M). Segment figures from Note 19 Segments. Consolidated Adj. EBITDA $6.6B per Sacra/draft prospectus; net loss $(4,937)M per IS.</t>
        </r>
      </text>
    </comment>
    <comment ref="B18" authorId="0" shapeId="0" xr:uid="{DC289E50-EB09-4BA6-9AE0-24372B7D1967}">
      <text>
        <r>
          <rPr>
            <b/>
            <sz val="9"/>
            <color indexed="81"/>
            <rFont val="Tahoma"/>
            <family val="2"/>
          </rPr>
          <t xml:space="preserve">Rifat Tahmid: </t>
        </r>
        <r>
          <rPr>
            <sz val="9"/>
            <color indexed="81"/>
            <rFont val="Tahoma"/>
            <family val="2"/>
          </rPr>
          <t>Consolidated Adj. EBITDA = sum of segment EBITDAs (Conn + Space + AI). Previously hardcoded at $6,600M from Sacra; now linked to Actuals tab.</t>
        </r>
      </text>
    </comment>
    <comment ref="B33" authorId="0" shapeId="0" xr:uid="{CB379999-6A58-49E4-B8A9-C78E2EDFDD3B}">
      <text>
        <r>
          <rPr>
            <b/>
            <sz val="9"/>
            <color indexed="81"/>
            <rFont val="Tahoma"/>
            <family val="2"/>
          </rPr>
          <t>Rifat Tahmid:</t>
        </r>
        <r>
          <rPr>
            <sz val="9"/>
            <color indexed="81"/>
            <rFont val="Tahoma"/>
            <family val="2"/>
          </rPr>
          <t xml:space="preserve">
Source: SpaceX S-1, Consolidated Balance Sheet as of Dec 31, 2025 (p. F-4).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Rifat Tahmid</author>
  </authors>
  <commentList>
    <comment ref="B7" authorId="0" shapeId="0" xr:uid="{2A44129D-4C3C-4901-9D4E-24AFDB7E6CD9}">
      <text>
        <r>
          <rPr>
            <b/>
            <sz val="9"/>
            <color indexed="81"/>
            <rFont val="Tahoma"/>
            <family val="2"/>
          </rPr>
          <t>Rifat Tahmid:</t>
        </r>
        <r>
          <rPr>
            <sz val="9"/>
            <color indexed="81"/>
            <rFont val="Tahoma"/>
            <family val="2"/>
          </rPr>
          <t xml:space="preserve">
Source: SpaceX S-1 — Note 19 Segments (FY2023-2025 annual). Total revenue from Consolidated Statement of Operations. FY26-28E columns link live to the segment DCF tabs.</t>
        </r>
      </text>
    </comment>
    <comment ref="B11" authorId="0" shapeId="0" xr:uid="{B0C76E54-AFA8-4F78-97DE-6224CF0E48A1}">
      <text>
        <r>
          <rPr>
            <b/>
            <sz val="9"/>
            <color indexed="81"/>
            <rFont val="Tahoma"/>
            <charset val="1"/>
          </rPr>
          <t>Rifat Tahmid:</t>
        </r>
        <r>
          <rPr>
            <sz val="9"/>
            <color indexed="81"/>
            <rFont val="Tahoma"/>
            <charset val="1"/>
          </rPr>
          <t xml:space="preserve">
S-1 Connectivity Adj EBITDA FY2023 = $1,602M</t>
        </r>
      </text>
    </comment>
    <comment ref="C11" authorId="0" shapeId="0" xr:uid="{B44BB579-0758-4845-A8A8-CFF50F09C61D}">
      <text>
        <r>
          <rPr>
            <b/>
            <sz val="9"/>
            <color indexed="81"/>
            <rFont val="Tahoma"/>
            <charset val="1"/>
          </rPr>
          <t>Rifat Tahmid:</t>
        </r>
        <r>
          <rPr>
            <sz val="9"/>
            <color indexed="81"/>
            <rFont val="Tahoma"/>
            <charset val="1"/>
          </rPr>
          <t xml:space="preserve">
S-1 Connectivity Adj EBITDA FY2024 = $3,849M</t>
        </r>
      </text>
    </comment>
    <comment ref="B12" authorId="0" shapeId="0" xr:uid="{9819A55A-D5AD-4E5A-8E98-0DB135FE8200}">
      <text>
        <r>
          <rPr>
            <b/>
            <sz val="9"/>
            <color indexed="81"/>
            <rFont val="Tahoma"/>
            <charset val="1"/>
          </rPr>
          <t>Rifat Tahmid:</t>
        </r>
        <r>
          <rPr>
            <sz val="9"/>
            <color indexed="81"/>
            <rFont val="Tahoma"/>
            <charset val="1"/>
          </rPr>
          <t xml:space="preserve">
S-1 Space Adj EBITDA FY2023 = $997M</t>
        </r>
      </text>
    </comment>
    <comment ref="C12" authorId="0" shapeId="0" xr:uid="{5D4C74B4-9DE6-48BC-8086-816311CF33C3}">
      <text>
        <r>
          <rPr>
            <b/>
            <sz val="9"/>
            <color indexed="81"/>
            <rFont val="Tahoma"/>
            <charset val="1"/>
          </rPr>
          <t>Rifat Tahmid:</t>
        </r>
        <r>
          <rPr>
            <sz val="9"/>
            <color indexed="81"/>
            <rFont val="Tahoma"/>
            <charset val="1"/>
          </rPr>
          <t xml:space="preserve">
S-1 Space Adj EBITDA FY2024 = $1,154M</t>
        </r>
      </text>
    </comment>
    <comment ref="B13" authorId="0" shapeId="0" xr:uid="{A5658956-5EE0-4D08-A6F7-8281E442018C}">
      <text>
        <r>
          <rPr>
            <b/>
            <sz val="9"/>
            <color indexed="81"/>
            <rFont val="Tahoma"/>
            <charset val="1"/>
          </rPr>
          <t>Rifat Tahmid:</t>
        </r>
        <r>
          <rPr>
            <sz val="9"/>
            <color indexed="81"/>
            <rFont val="Tahoma"/>
            <charset val="1"/>
          </rPr>
          <t xml:space="preserve">
S-1 AI Adj EBITDA FY2023 = $1,222M</t>
        </r>
      </text>
    </comment>
    <comment ref="C13" authorId="0" shapeId="0" xr:uid="{7FD299A9-0EEC-4304-90EF-AD5E4F34677C}">
      <text>
        <r>
          <rPr>
            <b/>
            <sz val="9"/>
            <color indexed="81"/>
            <rFont val="Tahoma"/>
            <charset val="1"/>
          </rPr>
          <t>Rifat Tahmid:</t>
        </r>
        <r>
          <rPr>
            <sz val="9"/>
            <color indexed="81"/>
            <rFont val="Tahoma"/>
            <charset val="1"/>
          </rPr>
          <t xml:space="preserve">
S-1 AI Adj EBITDA FY2024 = $347M</t>
        </r>
      </text>
    </comment>
    <comment ref="B14" authorId="0" shapeId="0" xr:uid="{14F07419-AA31-44A5-8F0B-708A9538E436}">
      <text>
        <r>
          <rPr>
            <b/>
            <sz val="9"/>
            <color indexed="81"/>
            <rFont val="Tahoma"/>
            <charset val="1"/>
          </rPr>
          <t>Rifat Tahmid:
S-1 Connectivity D&amp;A FY2023 = $884M (Note 19, p.F-59)</t>
        </r>
      </text>
    </comment>
    <comment ref="C14" authorId="0" shapeId="0" xr:uid="{86123029-B8D9-43F2-9E22-6458B6205507}">
      <text>
        <r>
          <rPr>
            <b/>
            <sz val="9"/>
            <color indexed="81"/>
            <rFont val="Tahoma"/>
            <charset val="1"/>
          </rPr>
          <t>Rifat Tahmid:
S-1 Connectivity D&amp;A FY2024 = $1,508M (Note 19, p.F-58)</t>
        </r>
      </text>
    </comment>
    <comment ref="D14" authorId="0" shapeId="0" xr:uid="{76AD1770-89F3-4AFF-B534-121178A0FFEB}">
      <text>
        <r>
          <rPr>
            <b/>
            <sz val="9"/>
            <color indexed="81"/>
            <rFont val="Tahoma"/>
            <charset val="1"/>
          </rPr>
          <t>Rifat Tahmid:
S-1 Connectivity D&amp;A FY2025 = $2,376M (Note 19, p.F-58)</t>
        </r>
      </text>
    </comment>
    <comment ref="B15" authorId="0" shapeId="0" xr:uid="{6AB7D3EF-5E3D-4D1D-90BE-7EED2CB54984}">
      <text>
        <r>
          <rPr>
            <b/>
            <sz val="9"/>
            <color indexed="81"/>
            <rFont val="Tahoma"/>
            <charset val="1"/>
          </rPr>
          <t>Rifat Tahmid:
S-1 Space D&amp;A FY2023 = $571M (Note 19, p.F-59)</t>
        </r>
      </text>
    </comment>
    <comment ref="C15" authorId="0" shapeId="0" xr:uid="{E33C7C69-6BE7-41F9-8CEF-D23B61027570}">
      <text>
        <r>
          <rPr>
            <b/>
            <sz val="9"/>
            <color indexed="81"/>
            <rFont val="Tahoma"/>
            <charset val="1"/>
          </rPr>
          <t>Rifat Tahmid:
S-1 Space D&amp;A FY2024 = $637M (Note 19, p.F-58)</t>
        </r>
      </text>
    </comment>
    <comment ref="D15" authorId="0" shapeId="0" xr:uid="{1BBEBBF3-1A20-4E95-9AF6-817B533FE8ED}">
      <text>
        <r>
          <rPr>
            <b/>
            <sz val="9"/>
            <color indexed="81"/>
            <rFont val="Tahoma"/>
            <charset val="1"/>
          </rPr>
          <t>Rifat Tahmid:
S-1 Space D&amp;A FY2025 = $757M (Note 19, p.F-58)</t>
        </r>
      </text>
    </comment>
    <comment ref="B16" authorId="0" shapeId="0" xr:uid="{FC4A4F6A-2945-4A21-8141-98EDC194DA97}">
      <text>
        <r>
          <rPr>
            <b/>
            <sz val="9"/>
            <color indexed="81"/>
            <rFont val="Tahoma"/>
            <charset val="1"/>
          </rPr>
          <t>Rifat Tahmid:
S-1 AI D&amp;A FY2023 = $1,180M (Note 19, p.F-59)</t>
        </r>
      </text>
    </comment>
    <comment ref="C16" authorId="0" shapeId="0" xr:uid="{79CDE10E-F283-4B2D-BB27-FB0040EF2E85}">
      <text>
        <r>
          <rPr>
            <b/>
            <sz val="9"/>
            <color indexed="81"/>
            <rFont val="Tahoma"/>
            <charset val="1"/>
          </rPr>
          <t>Rifat Tahmid:
S-1 AI D&amp;A FY2024 = $1,679M (Note 19, p.F-58)</t>
        </r>
      </text>
    </comment>
    <comment ref="D16" authorId="0" shapeId="0" xr:uid="{4DBD4165-0280-41A1-8FD0-39DEF4457429}">
      <text>
        <r>
          <rPr>
            <b/>
            <sz val="9"/>
            <color indexed="81"/>
            <rFont val="Tahoma"/>
            <charset val="1"/>
          </rPr>
          <t>Rifat Tahmid:
S-1 AI D&amp;A FY2025 = $3,568M (Note 19, p.F-58)</t>
        </r>
      </text>
    </comment>
    <comment ref="B18" authorId="0" shapeId="0" xr:uid="{7879946A-5779-4732-99E4-57743B06767D}">
      <text>
        <r>
          <rPr>
            <b/>
            <sz val="9"/>
            <color indexed="81"/>
            <rFont val="Tahoma"/>
            <charset val="1"/>
          </rPr>
          <t>Rifat Tahmid:
S-1 Connectivity Capex FY2023 = $2,455M (Note 19, p.F-59)</t>
        </r>
      </text>
    </comment>
    <comment ref="C18" authorId="0" shapeId="0" xr:uid="{5A17CABB-3B86-405A-A7A3-240EBC967B04}">
      <text>
        <r>
          <rPr>
            <b/>
            <sz val="9"/>
            <color indexed="81"/>
            <rFont val="Tahoma"/>
            <charset val="1"/>
          </rPr>
          <t>Rifat Tahmid:
S-1 Connectivity Capex FY2024 = $3,498M (Note 19, p.F-58)</t>
        </r>
      </text>
    </comment>
    <comment ref="D18" authorId="0" shapeId="0" xr:uid="{32018493-08A8-4C8C-96F0-3836F9E0338E}">
      <text>
        <r>
          <rPr>
            <b/>
            <sz val="9"/>
            <color indexed="81"/>
            <rFont val="Tahoma"/>
            <charset val="1"/>
          </rPr>
          <t>Rifat Tahmid:
S-1 Connectivity Capex FY2025 = $4,178M (Note 19, p.F-58)</t>
        </r>
      </text>
    </comment>
    <comment ref="B19" authorId="0" shapeId="0" xr:uid="{4018365F-5593-409F-AB62-F543E0412753}">
      <text>
        <r>
          <rPr>
            <b/>
            <sz val="9"/>
            <color indexed="81"/>
            <rFont val="Tahoma"/>
            <charset val="1"/>
          </rPr>
          <t>Rifat Tahmid:
S-1 Space Capex FY2023 = $1,497M (Note 19, p.F-59)</t>
        </r>
      </text>
    </comment>
    <comment ref="C19" authorId="0" shapeId="0" xr:uid="{C91ED040-6E39-435E-BF12-4BF705037025}">
      <text>
        <r>
          <rPr>
            <b/>
            <sz val="9"/>
            <color indexed="81"/>
            <rFont val="Tahoma"/>
            <charset val="1"/>
          </rPr>
          <t>Rifat Tahmid:
S-1 Space Capex FY2024 = $2,032M (Note 19, p.F-58)</t>
        </r>
      </text>
    </comment>
    <comment ref="D19" authorId="0" shapeId="0" xr:uid="{D9A851A3-E017-4DE3-930B-B8FEAE0BC0C5}">
      <text>
        <r>
          <rPr>
            <b/>
            <sz val="9"/>
            <color indexed="81"/>
            <rFont val="Tahoma"/>
            <charset val="1"/>
          </rPr>
          <t>Rifat Tahmid:
S-1 Space Capex FY2025 = $3,832M (Note 19, p.F-58)</t>
        </r>
      </text>
    </comment>
    <comment ref="B20" authorId="0" shapeId="0" xr:uid="{215F31A1-C398-4CEB-AC41-CEB35E1A1E17}">
      <text>
        <r>
          <rPr>
            <b/>
            <sz val="9"/>
            <color indexed="81"/>
            <rFont val="Tahoma"/>
            <charset val="1"/>
          </rPr>
          <t>Rifat Tahmid:
S-1 AI Capex FY2023 = $463M (Note 19, p.F-59)</t>
        </r>
      </text>
    </comment>
    <comment ref="C20" authorId="0" shapeId="0" xr:uid="{464C8987-B40E-4090-A11F-FB46F737FD3D}">
      <text>
        <r>
          <rPr>
            <b/>
            <sz val="9"/>
            <color indexed="81"/>
            <rFont val="Tahoma"/>
            <charset val="1"/>
          </rPr>
          <t>Rifat Tahmid:
S-1 AI Capex FY2024 = $5,633M (Note 19, p.F-58)</t>
        </r>
      </text>
    </comment>
    <comment ref="D20" authorId="0" shapeId="0" xr:uid="{31238090-16AB-42EA-AB4C-3B5AB68D9858}">
      <text>
        <r>
          <rPr>
            <b/>
            <sz val="9"/>
            <color indexed="81"/>
            <rFont val="Tahoma"/>
            <charset val="1"/>
          </rPr>
          <t>Rifat Tahmid:
S-1 AI Capex FY2025 = $12,727M (Note 19, p.F-58)</t>
        </r>
      </text>
    </comment>
    <comment ref="B27" authorId="0" shapeId="0" xr:uid="{305A3D28-A0B7-4FE1-9AD4-C01886E6575E}">
      <text>
        <r>
          <rPr>
            <b/>
            <sz val="9"/>
            <color indexed="81"/>
            <rFont val="Tahoma"/>
            <family val="2"/>
          </rPr>
          <t>Rifat Tahmid:</t>
        </r>
        <r>
          <rPr>
            <sz val="9"/>
            <color indexed="81"/>
            <rFont val="Tahoma"/>
            <family val="2"/>
          </rPr>
          <t xml:space="preserve">
Q1 2026 actuals from SpaceX S-1 Note 18 (Three Months Ended March 31, 2026). Q2–Q4 2026E are estimates phased from the annual FY2026E forecast (weights 32%/34%/34% of the remaining full-year amount after Q1). Replace each Q with actuals as reported; the FY check column confirms quarters sum to the annual estimate.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Rifat Tahmid</author>
  </authors>
  <commentList>
    <comment ref="B8" authorId="0" shapeId="0" xr:uid="{7B8D3E70-2CD0-4238-B0A8-B2EE3742D45E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S-1 F-5: Total revenues FY2023. Source: sec.gov SpaceX S-1.</t>
        </r>
      </text>
    </comment>
    <comment ref="C8" authorId="0" shapeId="0" xr:uid="{4DEA3C10-DF93-47EE-8E25-C095EEFEC9E0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S-1 F-5: Total revenues FY2024.</t>
        </r>
      </text>
    </comment>
    <comment ref="D8" authorId="0" shapeId="0" xr:uid="{1BB6CEC1-D259-4D48-B80B-6A701B74504D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S-1 F-5: Total revenues FY2025.</t>
        </r>
      </text>
    </comment>
    <comment ref="F8" authorId="0" shapeId="0" xr:uid="{772AA119-4B43-4023-B8B0-EE6DC5D38C29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S-1 F-64: Total revenues Q1 2025 (unaudited).</t>
        </r>
      </text>
    </comment>
    <comment ref="J8" authorId="0" shapeId="0" xr:uid="{8FCFC729-2DAE-4438-A707-DA0B692E2B83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S-1 F-64: Total revenues Q1 2026 (unaudited).</t>
        </r>
      </text>
    </comment>
    <comment ref="B55" authorId="0" shapeId="0" xr:uid="{24DE926A-6108-4C75-B454-4E23BC4A15FC}">
      <text>
        <r>
          <rPr>
            <b/>
            <sz val="9"/>
            <color indexed="81"/>
            <rFont val="Tahoma"/>
            <charset val="1"/>
          </rPr>
          <t>Rifat Tahmid:</t>
        </r>
        <r>
          <rPr>
            <sz val="9"/>
            <color indexed="81"/>
            <rFont val="Tahoma"/>
            <charset val="1"/>
          </rPr>
          <t xml:space="preserve">
FY2023 Space segment D&amp;A. Derived: Total D&amp;A $2,635M less Connectivity ($884M) and AI ($1,180M). S-1 did not disclose FY2023 segment D&amp;A split.</t>
        </r>
      </text>
    </comment>
    <comment ref="B56" authorId="0" shapeId="0" xr:uid="{C3EF7505-32C8-4B72-9657-394C5D0CC750}">
      <text>
        <r>
          <rPr>
            <b/>
            <sz val="9"/>
            <color indexed="81"/>
            <rFont val="Tahoma"/>
            <charset val="1"/>
          </rPr>
          <t>Rifat Tahmid:</t>
        </r>
        <r>
          <rPr>
            <sz val="9"/>
            <color indexed="81"/>
            <rFont val="Tahoma"/>
            <charset val="1"/>
          </rPr>
          <t xml:space="preserve">
FY2023 Connectivity segment D&amp;A. Derived: Total D&amp;A $2,635M less Space ($571M) and AI ($1,180M). S-1 did not disclose FY2023 segment D&amp;A split.</t>
        </r>
      </text>
    </comment>
    <comment ref="B57" authorId="0" shapeId="0" xr:uid="{E5B6AD7D-97D0-4F0E-8BA9-0102BE59AE5E}">
      <text>
        <r>
          <rPr>
            <b/>
            <sz val="9"/>
            <color indexed="81"/>
            <rFont val="Tahoma"/>
            <charset val="1"/>
          </rPr>
          <t>Rifat Tahmid:</t>
        </r>
        <r>
          <rPr>
            <sz val="9"/>
            <color indexed="81"/>
            <rFont val="Tahoma"/>
            <charset val="1"/>
          </rPr>
          <t xml:space="preserve">
FY2023 AI segment D&amp;A. Derived: Total D&amp;A $2,635M less Space ($571M) and Connectivity ($884M). S-1 did not disclose FY2023 segment D&amp;A split.</t>
        </r>
      </text>
    </comment>
    <comment ref="D107" authorId="0" shapeId="0" xr:uid="{FAF6D730-058F-4572-A902-F491DD43A7B1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S-1: Total backlog $28,377M as of Dec 31, 2025. ~32% recognized within 1 yr, ~53% in 2027-2028, ~15% thereafter.</t>
        </r>
      </text>
    </comment>
    <comment ref="D108" authorId="0" shapeId="0" xr:uid="{46D084EE-C9FF-42DD-B481-86F9EB0924D3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S-1: Total deferred revenue $12,116M as of Dec 31, 2025.</t>
        </r>
      </text>
    </comment>
  </commentList>
</comments>
</file>

<file path=xl/sharedStrings.xml><?xml version="1.0" encoding="utf-8"?>
<sst xmlns="http://schemas.openxmlformats.org/spreadsheetml/2006/main" count="1509" uniqueCount="937">
  <si>
    <t>Revenue ($M)</t>
  </si>
  <si>
    <t>Total Revenue ($M)</t>
  </si>
  <si>
    <t>May 2026  |  Sum-of-the-Parts Segment WACCs  |  $M</t>
  </si>
  <si>
    <t xml:space="preserve">  MACRO INPUTS</t>
  </si>
  <si>
    <t>Value</t>
  </si>
  <si>
    <t>Note</t>
  </si>
  <si>
    <t>Risk-Free Rate (10Y US Treasury)</t>
  </si>
  <si>
    <t>US Treasury, Jun 2026</t>
  </si>
  <si>
    <t>Equity Risk Premium</t>
  </si>
  <si>
    <t>Damodaran Jan 2026 (US ERP)</t>
  </si>
  <si>
    <t>Tax Rate</t>
  </si>
  <si>
    <t>US statutory; SpaceX has large NOL carryforwards</t>
  </si>
  <si>
    <t>Segment</t>
  </si>
  <si>
    <t>Space</t>
  </si>
  <si>
    <t>Selected Unlevered β</t>
  </si>
  <si>
    <t>Rationale</t>
  </si>
  <si>
    <t>Connectivity (Starlink)</t>
  </si>
  <si>
    <t>Space (Launch)</t>
  </si>
  <si>
    <t>AI (X + xAI)</t>
  </si>
  <si>
    <t xml:space="preserve">  COST OF EQUITY BY SEGMENT</t>
  </si>
  <si>
    <t>Connectivity</t>
  </si>
  <si>
    <t>AI</t>
  </si>
  <si>
    <t>Formula</t>
  </si>
  <si>
    <t>Target D/E (post-IPO est.)</t>
  </si>
  <si>
    <t>Based on Dec 2025 debt / est. post-IPO market cap by seg</t>
  </si>
  <si>
    <t>Relevered β</t>
  </si>
  <si>
    <t>βL = βU × (1 + (1-t) × D/E)</t>
  </si>
  <si>
    <t>Cost of Equity (CAPM)</t>
  </si>
  <si>
    <t xml:space="preserve">  COST OF DEBT</t>
  </si>
  <si>
    <t>Pre-Tax Cost of Debt</t>
  </si>
  <si>
    <t>Based on SpaceX credit facility + X debt yields, Jun 2026</t>
  </si>
  <si>
    <t>After-Tax Cost of Debt</t>
  </si>
  <si>
    <t>Kd × (1-t)</t>
  </si>
  <si>
    <t xml:space="preserve">  WACC CALCULATION</t>
  </si>
  <si>
    <t>Equity Weight</t>
  </si>
  <si>
    <t>E/(E+D) = 1/(1+D/E)</t>
  </si>
  <si>
    <t>Debt Weight</t>
  </si>
  <si>
    <t>D/(E+D) = (D/E)/(1+D/E)</t>
  </si>
  <si>
    <t>WACC</t>
  </si>
  <si>
    <t>WACC = Ke×We + Kd×Wd</t>
  </si>
  <si>
    <t xml:space="preserve">  WACC SUMMARY (referenced by DCF sheets)</t>
  </si>
  <si>
    <t>Terminal Growth (Base)</t>
  </si>
  <si>
    <t>SCENARIO SELECTOR</t>
  </si>
  <si>
    <t>(1 = Bear  |  2 = Base  |  3 = Bull)</t>
  </si>
  <si>
    <t xml:space="preserve">  BEAR CASE ASSUMPTIONS</t>
  </si>
  <si>
    <t>FY2023A</t>
  </si>
  <si>
    <t>FY2024A</t>
  </si>
  <si>
    <t>FY2025A</t>
  </si>
  <si>
    <t>FY2026E</t>
  </si>
  <si>
    <t>FY2027E</t>
  </si>
  <si>
    <t>FY2028E</t>
  </si>
  <si>
    <t>FY2029E</t>
  </si>
  <si>
    <t>FY2030E</t>
  </si>
  <si>
    <t>FY2031E</t>
  </si>
  <si>
    <t>FY2032E</t>
  </si>
  <si>
    <t>FY2033E</t>
  </si>
  <si>
    <t>FY2034E</t>
  </si>
  <si>
    <t>FY2035E</t>
  </si>
  <si>
    <t>Revenue Growth % (YoY)</t>
  </si>
  <si>
    <t>EBITDA Margin %</t>
  </si>
  <si>
    <t>D&amp;A % of Revenue</t>
  </si>
  <si>
    <t>Capex % of Revenue</t>
  </si>
  <si>
    <t>ΔNW Cap % of ΔRevenue</t>
  </si>
  <si>
    <t>Terminal Growth Rate</t>
  </si>
  <si>
    <t xml:space="preserve">  BASE CASE ASSUMPTIONS</t>
  </si>
  <si>
    <t xml:space="preserve">  BULL CASE ASSUMPTIONS</t>
  </si>
  <si>
    <t xml:space="preserve">  SELECTED CASE ASSUMPTIONS  (auto-updates with Scenario Selector)</t>
  </si>
  <si>
    <t>Revenue</t>
  </si>
  <si>
    <t xml:space="preserve">  % YoY Growth</t>
  </si>
  <si>
    <t>EBITDA</t>
  </si>
  <si>
    <t xml:space="preserve">  EBITDA Margin %</t>
  </si>
  <si>
    <t>Depreciation &amp; Amortization</t>
  </si>
  <si>
    <t>EBIT (EBITDA − D&amp;A)</t>
  </si>
  <si>
    <t xml:space="preserve">  EBIT Margin %</t>
  </si>
  <si>
    <t>NOPAT</t>
  </si>
  <si>
    <t xml:space="preserve">  (+) D&amp;A</t>
  </si>
  <si>
    <t xml:space="preserve">  (–) Capital Expenditures</t>
  </si>
  <si>
    <t xml:space="preserve">  (–) Increase in Net Working Capital</t>
  </si>
  <si>
    <t xml:space="preserve">  FCF Margin %</t>
  </si>
  <si>
    <t>Discount Period (mid-year)</t>
  </si>
  <si>
    <t>Discount Factor</t>
  </si>
  <si>
    <t>Unlevered FCF ($M)</t>
  </si>
  <si>
    <t>PV of FCF ($M)</t>
  </si>
  <si>
    <t xml:space="preserve">  TERMINAL VALUE</t>
  </si>
  <si>
    <t>Gordon Growth Model</t>
  </si>
  <si>
    <t xml:space="preserve">  Terminal Year FCF ($M)</t>
  </si>
  <si>
    <t xml:space="preserve">  Terminal FCF × (1+g)</t>
  </si>
  <si>
    <t xml:space="preserve">  Terminal Value (Gordon Growth)</t>
  </si>
  <si>
    <t xml:space="preserve">  PV of Terminal Value (Gordon Growth)</t>
  </si>
  <si>
    <t>EV/EBITDA Exit Multiple Method</t>
  </si>
  <si>
    <t xml:space="preserve">  Terminal Year EBITDA ($M)</t>
  </si>
  <si>
    <t xml:space="preserve">  Terminal Value (Exit Multiple)</t>
  </si>
  <si>
    <t xml:space="preserve">  PV of Terminal Value (Exit Multiple)</t>
  </si>
  <si>
    <t xml:space="preserve">  CONNECTIVITY SEGMENT VALUATION SUMMARY</t>
  </si>
  <si>
    <t>Gordon Growth</t>
  </si>
  <si>
    <t>Exit Multiple</t>
  </si>
  <si>
    <t>Sum of PV of FCFs ($M)</t>
  </si>
  <si>
    <t>PV of Terminal Value ($M)</t>
  </si>
  <si>
    <t>TV % of Enterprise Value</t>
  </si>
  <si>
    <t xml:space="preserve">  SELECTED CASE ASSUMPTIONS</t>
  </si>
  <si>
    <t xml:space="preserve">  (–) Tax on EBIT</t>
  </si>
  <si>
    <t xml:space="preserve">  Terminal FCF ($M)</t>
  </si>
  <si>
    <t xml:space="preserve">  SPACE SEGMENT VALUATION SUMMARY</t>
  </si>
  <si>
    <t>⚠  AI segment includes X (social/advertising), xAI (Grok/models), and compute infrastructure.  Op losses reflect heavy investment phase; TV captures mature-state value.</t>
  </si>
  <si>
    <t>EV/Revenue Exit Multiple Method (preferred for pre-profit businesses)</t>
  </si>
  <si>
    <t xml:space="preserve">  Terminal Year Revenue ($M)</t>
  </si>
  <si>
    <t xml:space="preserve">  Terminal Value (Exit EV/Rev)</t>
  </si>
  <si>
    <t xml:space="preserve">  PV of Terminal Value (Exit EV/Rev)</t>
  </si>
  <si>
    <t xml:space="preserve">  AI SEGMENT VALUATION SUMMARY</t>
  </si>
  <si>
    <t>Sum-of-the-Parts DCF Valuation  |  S-1 Filed May 20, 2026  |  $ in Millions (except per share)</t>
  </si>
  <si>
    <t xml:space="preserve">  SEGMENT ENTERPRISE VALUE SUMMARY  ($M)</t>
  </si>
  <si>
    <t>% of Total SOTP</t>
  </si>
  <si>
    <t>Space (Launch + Starship)</t>
  </si>
  <si>
    <t>AI (X / xAI / Grok)</t>
  </si>
  <si>
    <t>Total Enterprise Value (SOTP)</t>
  </si>
  <si>
    <t>Average</t>
  </si>
  <si>
    <t xml:space="preserve">  (–) Total Debt &amp; Finance Leases</t>
  </si>
  <si>
    <t xml:space="preserve">  (+) Cash &amp; Marketable Securities</t>
  </si>
  <si>
    <t xml:space="preserve">  (–) Redeemable Preferred Stock</t>
  </si>
  <si>
    <t xml:space="preserve">  Post-IPO Preferred Conversion Adjustment</t>
  </si>
  <si>
    <t xml:space="preserve">  IMPLIED PRICE PER SHARE  (Post-IPO Fully Diluted)</t>
  </si>
  <si>
    <t xml:space="preserve">  SOTP COMPONENT BREAKDOWN  ($M)</t>
  </si>
  <si>
    <t>EV (Avg)</t>
  </si>
  <si>
    <t>Per Share (Basic)</t>
  </si>
  <si>
    <t>% of Total EV</t>
  </si>
  <si>
    <t>Segment WACC</t>
  </si>
  <si>
    <t>Key Value Driver</t>
  </si>
  <si>
    <t>Subscriber growth + enterprise adoption; 63%+ EBITDA margins</t>
  </si>
  <si>
    <t>Starship cost curve + reusability; long-term capex normalization</t>
  </si>
  <si>
    <t>AI (X / xAI)</t>
  </si>
  <si>
    <t>Grok monetization + compute infra; margin ramp from -39% to +46%</t>
  </si>
  <si>
    <t xml:space="preserve">  KEY METRICS SNAPSHOT  (FY2025 Actuals  |  Source: SpaceX S-1)</t>
  </si>
  <si>
    <t>Q1 2026</t>
  </si>
  <si>
    <t>S-1 Consolidated Statements of Operations</t>
  </si>
  <si>
    <t xml:space="preserve">  Connectivity ($M)</t>
  </si>
  <si>
    <t>Starlink Consumer + Enterprise/Gov't</t>
  </si>
  <si>
    <t xml:space="preserve">  Space ($M)</t>
  </si>
  <si>
    <t>Launch Services + Launch &amp; Development</t>
  </si>
  <si>
    <t xml:space="preserve">  AI ($M)</t>
  </si>
  <si>
    <t>X advertising + AI Solutions &amp; Infrastructure</t>
  </si>
  <si>
    <t>Total Capex ($M)</t>
  </si>
  <si>
    <t>Massive AI infra build (xAI: $12.7B in 2025)</t>
  </si>
  <si>
    <t>Operating Cash Flow ($M)</t>
  </si>
  <si>
    <t>Net Income (Loss) ($M)</t>
  </si>
  <si>
    <t>R&amp;D ($8.6B) + AI losses dominate 2025</t>
  </si>
  <si>
    <t>Connectivity EBITDA Margin</t>
  </si>
  <si>
    <t>From S-1 Segment Adjusted EBITDA disclosure</t>
  </si>
  <si>
    <t xml:space="preserve">  ① ENTER PRICE TO SEE UPSIDE / DOWNSIDE</t>
  </si>
  <si>
    <t xml:space="preserve">  ② VALUATION SUMMARY  (Base Case)</t>
  </si>
  <si>
    <t>Total SOTP Enterprise Value ($M)</t>
  </si>
  <si>
    <t xml:space="preserve">  Connectivity Segment EV ($M)</t>
  </si>
  <si>
    <t xml:space="preserve">  Space Segment EV ($M)</t>
  </si>
  <si>
    <t xml:space="preserve">  AI Segment EV ($M)</t>
  </si>
  <si>
    <t>Equity Value ($M)</t>
  </si>
  <si>
    <t>After debt, cash, pref conversion</t>
  </si>
  <si>
    <t xml:space="preserve">  Implied Share Price</t>
  </si>
  <si>
    <t>Shares Basis</t>
  </si>
  <si>
    <t>Current / IPO Price</t>
  </si>
  <si>
    <t>Scenario (1/2/3)</t>
  </si>
  <si>
    <t>Selected</t>
  </si>
  <si>
    <t>Gordon Growth (Perpetuity)</t>
  </si>
  <si>
    <t>Changes with Scenario Selector (B28:B30 above)</t>
  </si>
  <si>
    <t xml:space="preserve">  ⑦ KEY SEGMENT FINANCIALS  (FY2025 Actuals  |  Source: SpaceX S-1)</t>
  </si>
  <si>
    <t>Q1 2026A</t>
  </si>
  <si>
    <t>Total Revenue</t>
  </si>
  <si>
    <t xml:space="preserve">  Connectivity Revenue</t>
  </si>
  <si>
    <t xml:space="preserve">  Space Revenue</t>
  </si>
  <si>
    <t xml:space="preserve">  AI Revenue</t>
  </si>
  <si>
    <t>Connectivity Op. Income</t>
  </si>
  <si>
    <t>Space Op. Income</t>
  </si>
  <si>
    <t>AI Op. Income</t>
  </si>
  <si>
    <t>Total Operating Cash Flow</t>
  </si>
  <si>
    <t>Total Capex</t>
  </si>
  <si>
    <t>Net Income (Loss)</t>
  </si>
  <si>
    <t xml:space="preserve">  ⑤ VALUATION SUMMARY  (Implied Price/Share, Basic  |  Selected Scenario)</t>
  </si>
  <si>
    <t>Source</t>
  </si>
  <si>
    <t>n/a</t>
  </si>
  <si>
    <t>Understates: excludes converted pref + xAI shares</t>
  </si>
  <si>
    <t>Our Implied Price (Fully-Diluted)</t>
  </si>
  <si>
    <t>FY2036E</t>
  </si>
  <si>
    <t>FY2037E</t>
  </si>
  <si>
    <t>FY2038E</t>
  </si>
  <si>
    <t>FY2039E</t>
  </si>
  <si>
    <t>FY2040E</t>
  </si>
  <si>
    <t>FY2041E</t>
  </si>
  <si>
    <t>FY2042E</t>
  </si>
  <si>
    <t>FY2043E</t>
  </si>
  <si>
    <t>FY2044E</t>
  </si>
  <si>
    <t>FY2045E</t>
  </si>
  <si>
    <t>S-1 Filed May 20, 2026  |  20-Year Explicit Forecast FY2026E–FY2045E  |  $ in Millions</t>
  </si>
  <si>
    <t>EV/Revenue (Primary)</t>
  </si>
  <si>
    <t>Gordon (Cross-Check)</t>
  </si>
  <si>
    <t>Method 1 EV ¹</t>
  </si>
  <si>
    <t>Method 2 EV ²</t>
  </si>
  <si>
    <t>² Method 2 = EV/EBITDA Exit Multiple for Connectivity &amp; Space; Gordon Growth (cross-check only) for AI.</t>
  </si>
  <si>
    <t>Addressable Rural Households (M)</t>
  </si>
  <si>
    <t>Market Penetration %</t>
  </si>
  <si>
    <t>Subscribers (M)</t>
  </si>
  <si>
    <t>Monthly ARPU ($)</t>
  </si>
  <si>
    <t>Consumer Revenue ($M)</t>
  </si>
  <si>
    <t>Commercial + Enterprise + Gov't Rev ($M)</t>
  </si>
  <si>
    <t xml:space="preserve">  (growth % YoY)</t>
  </si>
  <si>
    <t>Total Bottom-Up Revenue ($M)</t>
  </si>
  <si>
    <t>Top-Down Revenue (row 48) ($M)</t>
  </si>
  <si>
    <t xml:space="preserve">  Bottom-Up vs Top-Down Variance %</t>
  </si>
  <si>
    <t>Global AI Data-Center Capacity (GW)</t>
  </si>
  <si>
    <t>SpaceX Market Share %</t>
  </si>
  <si>
    <t>SpaceX Capacity (MW)</t>
  </si>
  <si>
    <t>Compute Revenue per MW ($M/yr)</t>
  </si>
  <si>
    <t>Compute Revenue ($M)</t>
  </si>
  <si>
    <t>X / Grok / Other AI Rev ($M)</t>
  </si>
  <si>
    <t>Top-Down Revenue (row 49) ($M)</t>
  </si>
  <si>
    <t>External Launches per Day</t>
  </si>
  <si>
    <t>External Launches per Year</t>
  </si>
  <si>
    <t>Revenue per Launch ($M)</t>
  </si>
  <si>
    <t>Launch Services Revenue ($M)</t>
  </si>
  <si>
    <t>Dragon + Dev Contracts Rev ($M)</t>
  </si>
  <si>
    <t>Segment EV Contribution ($B)</t>
  </si>
  <si>
    <t>Avg EV ($B)</t>
  </si>
  <si>
    <t>Equity/EV Value ($B)</t>
  </si>
  <si>
    <t>M&amp;I SOTP</t>
  </si>
  <si>
    <t>Morningstar</t>
  </si>
  <si>
    <t>IPO ($135)</t>
  </si>
  <si>
    <t>ARK (2030 FV)</t>
  </si>
  <si>
    <t>Value ($B)</t>
  </si>
  <si>
    <t>Cumulative ($B)</t>
  </si>
  <si>
    <t>Our DCF Intrinsic Equity (avg)</t>
  </si>
  <si>
    <t>S-1 AI compute-in-space thesis; not in our cash-flow base</t>
  </si>
  <si>
    <t>ARK/Mach33 value Mars by accumulated book value; long-dated optionality</t>
  </si>
  <si>
    <t>Semiconductor fab ($119B, Sacra); not modeled in base</t>
  </si>
  <si>
    <t>Reuters: $135/share × ~12.96B shares = $1.75T</t>
  </si>
  <si>
    <t>Market IPO Valuation (= total)</t>
  </si>
  <si>
    <t xml:space="preserve">  (+) AI Optionality</t>
  </si>
  <si>
    <t xml:space="preserve">  (+) Orbital Data Centers / Compute</t>
  </si>
  <si>
    <t xml:space="preserve">  (+) Mars / Starshield Upside</t>
  </si>
  <si>
    <t xml:space="preserve">  (+) Terafab + Other Future Markets</t>
  </si>
  <si>
    <t xml:space="preserve">  (+) Hype / Index-Inclusion / Scarcity</t>
  </si>
  <si>
    <t>Multiples at our intrinsic value vs. $135 IPO  |  $ in Millions  |  FY2025A actuals from S-1</t>
  </si>
  <si>
    <t xml:space="preserve">  MARKET &amp; VALUATION INPUTS</t>
  </si>
  <si>
    <t>Our Intrinsic Equity Value (avg, $M)</t>
  </si>
  <si>
    <t>Our Intrinsic EV (avg, $M)</t>
  </si>
  <si>
    <t>IPO Price / Share ($)</t>
  </si>
  <si>
    <t>Fully-Diluted Shares (M)</t>
  </si>
  <si>
    <t>IPO Market Cap ($M)</t>
  </si>
  <si>
    <t>IPO Enterprise Value ($M)</t>
  </si>
  <si>
    <t xml:space="preserve">  FY2025A FINANCIALS  (S-1 actuals)</t>
  </si>
  <si>
    <t>Connectivity Revenue ($M)</t>
  </si>
  <si>
    <t>Space Revenue ($M)</t>
  </si>
  <si>
    <t>AI Revenue ($M)</t>
  </si>
  <si>
    <t>Consolidated Adj. EBITDA ($M)</t>
  </si>
  <si>
    <t>Connectivity EBITDA ($M)</t>
  </si>
  <si>
    <t>At Our Intrinsic</t>
  </si>
  <si>
    <t>At $135 IPO</t>
  </si>
  <si>
    <t>Comp Benchmark</t>
  </si>
  <si>
    <t>EV / Revenue (trailing)</t>
  </si>
  <si>
    <t>RKLB 118x | PLTR 81x | TSLA 17x</t>
  </si>
  <si>
    <t>EV / Connectivity Rev</t>
  </si>
  <si>
    <t>(blended proxy)</t>
  </si>
  <si>
    <t>EV / EBITDA (Connectivity)</t>
  </si>
  <si>
    <t>Telecom 7-10x</t>
  </si>
  <si>
    <t>EV / EBITDA (consolidated)</t>
  </si>
  <si>
    <t>N/M if EBITDA low</t>
  </si>
  <si>
    <t>P / E</t>
  </si>
  <si>
    <t>SpaceX FY25 net loss $(4.9)B</t>
  </si>
  <si>
    <t>Market Cap / Revenue</t>
  </si>
  <si>
    <t xml:space="preserve">  BALANCE SHEET  (Dec 2025, S-1 actuals)</t>
  </si>
  <si>
    <t>Cash &amp; Marketable Securities ($M)</t>
  </si>
  <si>
    <t>Total Current Assets ($M)</t>
  </si>
  <si>
    <t>Total Assets ($M)</t>
  </si>
  <si>
    <t>Total Current Liabilities ($M)</t>
  </si>
  <si>
    <t>Total Debt &amp; Finance Leases ($M)</t>
  </si>
  <si>
    <t>Total Liabilities ($M)</t>
  </si>
  <si>
    <t>Total Shareholders' Equity ($M)</t>
  </si>
  <si>
    <t xml:space="preserve">  FINANCIAL HEALTH RATIOS</t>
  </si>
  <si>
    <t>Current Ratio</t>
  </si>
  <si>
    <t>Current assets / current liabilities</t>
  </si>
  <si>
    <t>Quick Ratio (approx)</t>
  </si>
  <si>
    <t>Cash &amp; securities / current liab</t>
  </si>
  <si>
    <t>Debt / Equity</t>
  </si>
  <si>
    <t>Total debt / shareholders' equity</t>
  </si>
  <si>
    <t>Debt / EBITDA</t>
  </si>
  <si>
    <t>Leverage vs consolidated adj. EBITDA</t>
  </si>
  <si>
    <t>Net Debt / EBITDA</t>
  </si>
  <si>
    <t>Net debt / consolidated adj. EBITDA</t>
  </si>
  <si>
    <t>Total Liabilities / Assets</t>
  </si>
  <si>
    <t>Balance sheet leverage</t>
  </si>
  <si>
    <t>Return on Equity (ROE)</t>
  </si>
  <si>
    <t>Return on Assets (ROA)</t>
  </si>
  <si>
    <t>Net Margin</t>
  </si>
  <si>
    <t>Net loss / revenue</t>
  </si>
  <si>
    <t>EBITDA Margin (consolidated)</t>
  </si>
  <si>
    <t>Adj. EBITDA / revenue</t>
  </si>
  <si>
    <t>Space Rev</t>
  </si>
  <si>
    <t>AI Rev</t>
  </si>
  <si>
    <t>Space EBITDA</t>
  </si>
  <si>
    <t>AI EBITDA</t>
  </si>
  <si>
    <t>Total D&amp;A</t>
  </si>
  <si>
    <t>FY2023</t>
  </si>
  <si>
    <t>FY2024</t>
  </si>
  <si>
    <t>FY2025</t>
  </si>
  <si>
    <t>Actual (enter)</t>
  </si>
  <si>
    <t>Status</t>
  </si>
  <si>
    <t>Connectivity EBITDA</t>
  </si>
  <si>
    <t>DCF stays annual (refreshed ~yearly). Quarterly actuals tracked vs explicit quarterly estimates. $ in Millions. Source: SpaceX S-1.</t>
  </si>
  <si>
    <t>Q2 2026E</t>
  </si>
  <si>
    <t>Q3 2026E</t>
  </si>
  <si>
    <t>Q4 2026E</t>
  </si>
  <si>
    <t>FY2026E (check)</t>
  </si>
  <si>
    <t>Forecast</t>
  </si>
  <si>
    <t>Var %</t>
  </si>
  <si>
    <t>Connectivity Rev</t>
  </si>
  <si>
    <t>Estimate</t>
  </si>
  <si>
    <t xml:space="preserve">  HOW TO UPDATE  (maintenance playbook)</t>
  </si>
  <si>
    <t>STRUCTURE: Line items run DOWN rows; periods run ACROSS columns (JPM/IB convention). Actuals = blue, forecast links = green, formulas = black.</t>
  </si>
  <si>
    <t>WHEN A QUARTER REPORTS: enter the actual into the Quarterly Variance 'Actual' column (C35:C38). Var% + Beat/Miss computes automatically. Then roll the estimate row (Q2→Q3) by re-pointing B35:B38 to the next quarter's estimate column (D20→E20).</t>
  </si>
  <si>
    <t>SEGMENT D&amp;A &amp; CAPEX: this tab carries only TOTAL D&amp;A/capex. Segment-level D&amp;A/capex base values live as blue hardcodes on each segment DCF (row 53 / row 59).</t>
  </si>
  <si>
    <t>SINGLE SOURCE OF TRUTH: segment revenue &amp; EBITDA base year (FY2025A) live HERE (D7-D12); segment DCFs link to them. Don't hardcode them on the segment tabs.</t>
  </si>
  <si>
    <t>Rifat's DCF (Avg)</t>
  </si>
  <si>
    <t>Rifat's DCF (Gordon)</t>
  </si>
  <si>
    <t>Total Unlevered FCF</t>
  </si>
  <si>
    <t>Mkt Cap</t>
  </si>
  <si>
    <t>Rev Growth</t>
  </si>
  <si>
    <t>Scenarios are controlled on the COVER tab (B28:B30). This sheet reflects the selected case live.</t>
  </si>
  <si>
    <t>S-1 Dec'25 BS</t>
  </si>
  <si>
    <t>Pre-IPO; converts at IPO</t>
  </si>
  <si>
    <t>Cl. A+B+C (S-1 Q1'26)</t>
  </si>
  <si>
    <t>$1.75T ÷ $135 reconciled</t>
  </si>
  <si>
    <t xml:space="preserve">  </t>
  </si>
  <si>
    <t xml:space="preserve">  VALUATION SENSITIVITY ANALYSIS  (Method 1: Gordon Growth for Connectivity &amp; Space, EV/Revenue for AI)</t>
  </si>
  <si>
    <t xml:space="preserve">  (+) Net Cash (Cash − Total Debt) ($M)</t>
  </si>
  <si>
    <t>Ticker</t>
  </si>
  <si>
    <t>Levered</t>
  </si>
  <si>
    <t>Debt</t>
  </si>
  <si>
    <t>% Debt</t>
  </si>
  <si>
    <t>Preferred</t>
  </si>
  <si>
    <t>% Pref</t>
  </si>
  <si>
    <t>Equity</t>
  </si>
  <si>
    <t>% Equity</t>
  </si>
  <si>
    <t>Tax</t>
  </si>
  <si>
    <t>Unlevered</t>
  </si>
  <si>
    <t># Subs</t>
  </si>
  <si>
    <t>ARPU</t>
  </si>
  <si>
    <t>LTM</t>
  </si>
  <si>
    <t>Gross</t>
  </si>
  <si>
    <t>Capex %</t>
  </si>
  <si>
    <t>3-Yr Ann.</t>
  </si>
  <si>
    <t>TEV /</t>
  </si>
  <si>
    <t>Beta</t>
  </si>
  <si>
    <t>($M)</t>
  </si>
  <si>
    <t>Stock ($M)</t>
  </si>
  <si>
    <t>Value ($M)</t>
  </si>
  <si>
    <t>Rate</t>
  </si>
  <si>
    <t>(M)</t>
  </si>
  <si>
    <t>($)</t>
  </si>
  <si>
    <t>Margin</t>
  </si>
  <si>
    <t>Iridium Communications</t>
  </si>
  <si>
    <t>NasdaqGS:IRDM</t>
  </si>
  <si>
    <t>EchoStar Corporation</t>
  </si>
  <si>
    <t>NasdaqGS:SATS</t>
  </si>
  <si>
    <t>Globalstar, Inc.</t>
  </si>
  <si>
    <t>NasdaqGS:GSAT</t>
  </si>
  <si>
    <t>AST SpaceMobile, Inc.</t>
  </si>
  <si>
    <t>NasdaqGS:ASTS</t>
  </si>
  <si>
    <t>Viasat, Inc.</t>
  </si>
  <si>
    <t>NasdaqGS:VSAT</t>
  </si>
  <si>
    <t>SES S.A.</t>
  </si>
  <si>
    <t>ENXTPA:SESG</t>
  </si>
  <si>
    <t>Eutelsat Communications</t>
  </si>
  <si>
    <t>ENXTPA:ETL</t>
  </si>
  <si>
    <t>Telesat Corporation</t>
  </si>
  <si>
    <t>NasdaqGS:TSAT</t>
  </si>
  <si>
    <t>Min:</t>
  </si>
  <si>
    <t>25th Pctl:</t>
  </si>
  <si>
    <t>Median:</t>
  </si>
  <si>
    <t>Mean:</t>
  </si>
  <si>
    <t>75th Pctl:</t>
  </si>
  <si>
    <t>Max:</t>
  </si>
  <si>
    <t>Bharti Airtel Limited</t>
  </si>
  <si>
    <t>BSE:532454</t>
  </si>
  <si>
    <t>MTN Group Limited</t>
  </si>
  <si>
    <t>JSE:MTN</t>
  </si>
  <si>
    <t>Vodacom Group Limited</t>
  </si>
  <si>
    <t>JSE:VOD</t>
  </si>
  <si>
    <t>Vodafone Idea Limited</t>
  </si>
  <si>
    <t>NSEI:IDEA</t>
  </si>
  <si>
    <t>VEON Ltd.</t>
  </si>
  <si>
    <t>NasdaqGS:VEON</t>
  </si>
  <si>
    <t>Mobile Telecom Co. (Zain)</t>
  </si>
  <si>
    <t>KWSE:ZAIN</t>
  </si>
  <si>
    <t>Safaricom PLC</t>
  </si>
  <si>
    <t>NASE:SCOM</t>
  </si>
  <si>
    <t>PT XLSMART Telecom</t>
  </si>
  <si>
    <t>IDX:EXCL</t>
  </si>
  <si>
    <t>América Móvil</t>
  </si>
  <si>
    <t>BMV:AMX B</t>
  </si>
  <si>
    <t>China Mobile Limited</t>
  </si>
  <si>
    <t>SEHK:941</t>
  </si>
  <si>
    <t>T-Mobile US, Inc.</t>
  </si>
  <si>
    <t>NasdaqGS:TMUS</t>
  </si>
  <si>
    <t>China Unicom</t>
  </si>
  <si>
    <t>SHSE:600050</t>
  </si>
  <si>
    <t>Charter Communications</t>
  </si>
  <si>
    <t>NasdaqGS:CHTR</t>
  </si>
  <si>
    <t>SoftBank Corp.</t>
  </si>
  <si>
    <t>TSE:9434</t>
  </si>
  <si>
    <t>Vodafone Group plc</t>
  </si>
  <si>
    <t>LSE:VOD</t>
  </si>
  <si>
    <t>KDDI Corporation</t>
  </si>
  <si>
    <t>TSE:9433</t>
  </si>
  <si>
    <t>Backlog</t>
  </si>
  <si>
    <t>Rocket Lab Corporation</t>
  </si>
  <si>
    <t>NasdaqGS:RKLB</t>
  </si>
  <si>
    <t>AeroVironment, Inc.</t>
  </si>
  <si>
    <t>NasdaqGS:AVAV</t>
  </si>
  <si>
    <t>Kratos Defense &amp; Security</t>
  </si>
  <si>
    <t>NasdaqGS:KTOS</t>
  </si>
  <si>
    <t>Redwire Corporation</t>
  </si>
  <si>
    <t>NYSE:RDW</t>
  </si>
  <si>
    <t>MDA Space Ltd.</t>
  </si>
  <si>
    <t>TSX:MDA</t>
  </si>
  <si>
    <t>York Space Systems</t>
  </si>
  <si>
    <t>NYSE:YSS</t>
  </si>
  <si>
    <t>Intuitive Machines</t>
  </si>
  <si>
    <t>NasdaqGM:LUNR</t>
  </si>
  <si>
    <t>Firefly Aerospace Inc.</t>
  </si>
  <si>
    <t>NasdaqGM:FLY</t>
  </si>
  <si>
    <t>Voyager Technologies</t>
  </si>
  <si>
    <t>NYSE:VOYG</t>
  </si>
  <si>
    <t>The Boeing Company</t>
  </si>
  <si>
    <t>NYSE:BA</t>
  </si>
  <si>
    <t>RTX Corporation</t>
  </si>
  <si>
    <t>NYSE:RTX</t>
  </si>
  <si>
    <t>Lockheed Martin</t>
  </si>
  <si>
    <t>NYSE:LMT</t>
  </si>
  <si>
    <t>General Dynamics</t>
  </si>
  <si>
    <t>NYSE:GD</t>
  </si>
  <si>
    <t>Northrop Grumman</t>
  </si>
  <si>
    <t>NYSE:NOC</t>
  </si>
  <si>
    <t>Comparable Public Companies by Maturity &amp; Industry  |  Compute Infrastructure + Social Media  |  $ in Millions</t>
  </si>
  <si>
    <t>Current-stage anchor = GPU Neoclouds / Infra Hosting  •  Mature-stage anchor = Social Media. Input cells (blue) to be populated from terminal (CapIQ/Bloomberg).</t>
  </si>
  <si>
    <t>CoreWeave, Inc.</t>
  </si>
  <si>
    <t>NasdaqGS:CRWV</t>
  </si>
  <si>
    <t>Nebius Group N.V.</t>
  </si>
  <si>
    <t>NasdaqGS:NBIS</t>
  </si>
  <si>
    <t>WhiteFiber, Inc.</t>
  </si>
  <si>
    <t>NasdaqCM:WYFI</t>
  </si>
  <si>
    <t>IREN Limited</t>
  </si>
  <si>
    <t>NasdaqGS:IREN</t>
  </si>
  <si>
    <t>Applied Digital Corp.</t>
  </si>
  <si>
    <t>NasdaqGS:APLD</t>
  </si>
  <si>
    <t>TeraWulf Inc.</t>
  </si>
  <si>
    <t>NasdaqCM:WULF</t>
  </si>
  <si>
    <t>Cipher Mining Inc.</t>
  </si>
  <si>
    <t>NasdaqGS:CIFR</t>
  </si>
  <si>
    <t>Snap Inc.</t>
  </si>
  <si>
    <t>NYSE:SNAP</t>
  </si>
  <si>
    <t>Pinterest, Inc.</t>
  </si>
  <si>
    <t>NYSE:PINS</t>
  </si>
  <si>
    <t>Reddit, Inc.</t>
  </si>
  <si>
    <t>NYSE:RDDT</t>
  </si>
  <si>
    <t>Match Group, Inc.</t>
  </si>
  <si>
    <t>NasdaqGS:MTCH</t>
  </si>
  <si>
    <t>Mature Wireless comp median unlevered β (fallback 0.85)</t>
  </si>
  <si>
    <t>Big-5 Defense comp median unlevered β (fallback 1.10)</t>
  </si>
  <si>
    <t>Social Media comp median unlevered β (fallback 1.35); excludes high-β neoclouds</t>
  </si>
  <si>
    <t>Enterprise</t>
  </si>
  <si>
    <t>Mkt</t>
  </si>
  <si>
    <t>NM</t>
  </si>
  <si>
    <t>Tg (Base)</t>
  </si>
  <si>
    <t>Tg (Bear)</t>
  </si>
  <si>
    <t>Tg (Bull)</t>
  </si>
  <si>
    <t>Backlog /</t>
  </si>
  <si>
    <t>Rev (x)</t>
  </si>
  <si>
    <t>Power</t>
  </si>
  <si>
    <t>(MW)</t>
  </si>
  <si>
    <t>Rev /</t>
  </si>
  <si>
    <t>MW ($M)</t>
  </si>
  <si>
    <t>Historical Financial Statements  |  Source: S-1 (SEC EDGAR, Filed May 20, 2026)  |  $ in Millions</t>
  </si>
  <si>
    <t>Segments: Space + Connectivity (Starlink) + AI (X / xAI / Grok)  |  FY2023-FY2025 Audited  |  Q1 2025-Q1 2026 Unaudited</t>
  </si>
  <si>
    <t>Q1 2025</t>
  </si>
  <si>
    <t xml:space="preserve">  CONSOLIDATED INCOME STATEMENT</t>
  </si>
  <si>
    <t xml:space="preserve">  Cost of revenue</t>
  </si>
  <si>
    <t>Gross Profit</t>
  </si>
  <si>
    <t xml:space="preserve">  Gross Margin %</t>
  </si>
  <si>
    <t xml:space="preserve">  Research and development</t>
  </si>
  <si>
    <t xml:space="preserve">  Selling, general &amp; administrative</t>
  </si>
  <si>
    <t xml:space="preserve">  Restructuring charges</t>
  </si>
  <si>
    <t xml:space="preserve">  Impairment</t>
  </si>
  <si>
    <t>Total costs and expenses</t>
  </si>
  <si>
    <t>Income (loss) from operations</t>
  </si>
  <si>
    <t xml:space="preserve">  Operating Margin %</t>
  </si>
  <si>
    <t>Interest expense</t>
  </si>
  <si>
    <t>Interest income</t>
  </si>
  <si>
    <t>Other income (expense), net</t>
  </si>
  <si>
    <t>Income (loss) before taxes</t>
  </si>
  <si>
    <t>Provision for (benefit from) taxes</t>
  </si>
  <si>
    <t>Net income (loss)</t>
  </si>
  <si>
    <t xml:space="preserve">  Net Margin %</t>
  </si>
  <si>
    <t xml:space="preserve">  SEGMENT REVENUE BREAKDOWN</t>
  </si>
  <si>
    <t>Space segment</t>
  </si>
  <si>
    <t xml:space="preserve">  Launch Services</t>
  </si>
  <si>
    <t xml:space="preserve">  Launch &amp; Development</t>
  </si>
  <si>
    <t>Connectivity segment</t>
  </si>
  <si>
    <t xml:space="preserve">  Consumer</t>
  </si>
  <si>
    <t xml:space="preserve">  Enterprise &amp; Government</t>
  </si>
  <si>
    <t>AI segment</t>
  </si>
  <si>
    <t xml:space="preserve">  Advertising (X)</t>
  </si>
  <si>
    <t xml:space="preserve">  AI Solutions &amp; Infrastructure</t>
  </si>
  <si>
    <t>Total Revenue (check)</t>
  </si>
  <si>
    <t xml:space="preserve">  SEGMENT OPERATING PERFORMANCE</t>
  </si>
  <si>
    <t>Segment Income (Loss) from Operations</t>
  </si>
  <si>
    <t xml:space="preserve">  Space</t>
  </si>
  <si>
    <t xml:space="preserve">  Connectivity</t>
  </si>
  <si>
    <t xml:space="preserve">  AI</t>
  </si>
  <si>
    <t xml:space="preserve">  Total (check)</t>
  </si>
  <si>
    <t>Segment Adjusted EBITDA</t>
  </si>
  <si>
    <t xml:space="preserve">  Total Adjusted EBITDA</t>
  </si>
  <si>
    <t>Segment D&amp;A</t>
  </si>
  <si>
    <t xml:space="preserve">  Total D&amp;A</t>
  </si>
  <si>
    <t>Segment Capital Expenditures</t>
  </si>
  <si>
    <t xml:space="preserve">  Total CapEx</t>
  </si>
  <si>
    <t xml:space="preserve">  CapEx / Revenue %</t>
  </si>
  <si>
    <t xml:space="preserve">  CONSOLIDATED BALANCE SHEET</t>
  </si>
  <si>
    <t>Cash and cash equivalents</t>
  </si>
  <si>
    <t>Total current assets</t>
  </si>
  <si>
    <t>Property, plant &amp; equipment, net</t>
  </si>
  <si>
    <t>Goodwill</t>
  </si>
  <si>
    <t>Total assets</t>
  </si>
  <si>
    <t>Debt &amp; finance leases, current</t>
  </si>
  <si>
    <t>Total current liabilities</t>
  </si>
  <si>
    <t>Debt &amp; finance leases, non-current</t>
  </si>
  <si>
    <t>Total liabilities</t>
  </si>
  <si>
    <t>Redeemable convertible preferred stock</t>
  </si>
  <si>
    <t>Total shareholders' equity</t>
  </si>
  <si>
    <t>Total debt (current + non-current)</t>
  </si>
  <si>
    <t>Net debt (debt - cash)</t>
  </si>
  <si>
    <t xml:space="preserve">  CONSOLIDATED CASH FLOW STATEMENT</t>
  </si>
  <si>
    <t>Net cash from operating activities</t>
  </si>
  <si>
    <t>Capital expenditures</t>
  </si>
  <si>
    <t>Free Cash Flow (CFO - CapEx)</t>
  </si>
  <si>
    <t>Net cash from investing activities</t>
  </si>
  <si>
    <t>Net cash from financing activities</t>
  </si>
  <si>
    <t xml:space="preserve">  KEY OPERATING METRICS</t>
  </si>
  <si>
    <t>Starlink Subscribers (millions)</t>
  </si>
  <si>
    <t>Starlink ARPU ($/month)</t>
  </si>
  <si>
    <t>Launches (#)</t>
  </si>
  <si>
    <t>Mass to Orbit (metric tons)</t>
  </si>
  <si>
    <t>AI nameplate compute (gigawatts)</t>
  </si>
  <si>
    <t xml:space="preserve">  GROWTH RATES (YoY)</t>
  </si>
  <si>
    <t>Revenue growth</t>
  </si>
  <si>
    <t xml:space="preserve">  Space segment</t>
  </si>
  <si>
    <t xml:space="preserve">  Connectivity segment</t>
  </si>
  <si>
    <t xml:space="preserve">  AI segment</t>
  </si>
  <si>
    <t>Starlink sub growth</t>
  </si>
  <si>
    <t>CapEx growth</t>
  </si>
  <si>
    <t>CFO growth</t>
  </si>
  <si>
    <t>Backlog ($M)</t>
  </si>
  <si>
    <t>Deferred revenue ($M)</t>
  </si>
  <si>
    <t>Shares outstanding (basic, millions)</t>
  </si>
  <si>
    <t>CapEx /</t>
  </si>
  <si>
    <t xml:space="preserve">  INVESTMENT THESIS</t>
  </si>
  <si>
    <t>SpaceX is pursuing an IPO at $135/share, implying a fully diluted market cap of ~$1.75T. The company operates three segments:</t>
  </si>
  <si>
    <t>Our 3-segment SOTP DCF analysis uses 20-year explicit forecasts per segment with comp-driven WACCs and terminal values.</t>
  </si>
  <si>
    <t>Two methodologies are applied: (1) Gordon Growth / EV-Revenue and (2) Exit Multiple / Gordon cross-check.</t>
  </si>
  <si>
    <t xml:space="preserve">  VALUATION CONCLUSION</t>
  </si>
  <si>
    <t>Method 1 ¹</t>
  </si>
  <si>
    <t>Method 2 ²</t>
  </si>
  <si>
    <t>Notes</t>
  </si>
  <si>
    <t>Total Enterprise Value ($M)</t>
  </si>
  <si>
    <t>Implied Price / Share (fully diluted)</t>
  </si>
  <si>
    <t>IPO Reference Price</t>
  </si>
  <si>
    <t>Upside / (Downside) to IPO</t>
  </si>
  <si>
    <t>¹ Gordon Growth (Conn/Space) + EV/Revenue (AI)</t>
  </si>
  <si>
    <t>² Exit Multiple (Conn/Space) + Gordon (AI cross-check)</t>
  </si>
  <si>
    <t>Fully diluted: 12,960M shares (preferred conversion + xAI merger + RSUs + IPO)</t>
  </si>
  <si>
    <t xml:space="preserve">  Exit EV/EBITDA Multiple</t>
  </si>
  <si>
    <t xml:space="preserve">  SEGMENT VALUATION BREAKDOWN</t>
  </si>
  <si>
    <t>Avg EV ($M)</t>
  </si>
  <si>
    <t>% of SOTP</t>
  </si>
  <si>
    <t>Tg</t>
  </si>
  <si>
    <t>Primary Methodology</t>
  </si>
  <si>
    <t>Gordon Growth perpetuity + EV/EBITDA exit cross-check</t>
  </si>
  <si>
    <t xml:space="preserve">  KEY ASSUMPTIONS  (Base Case)</t>
  </si>
  <si>
    <t>Forecast Horizon</t>
  </si>
  <si>
    <t>20 years</t>
  </si>
  <si>
    <t>DCF sheet assumptions</t>
  </si>
  <si>
    <t>Comp-driven; WACC sheet</t>
  </si>
  <si>
    <t>WACC sheet</t>
  </si>
  <si>
    <t>Risk-Free Rate</t>
  </si>
  <si>
    <t>10Y UST, Jun 2026</t>
  </si>
  <si>
    <t>Damodaran implied ERP, Jan 2026</t>
  </si>
  <si>
    <t>US statutory; large NOL carryforwards</t>
  </si>
  <si>
    <t xml:space="preserve">  FY2025 ACTUALS  (S-1 Source)</t>
  </si>
  <si>
    <t>YoY</t>
  </si>
  <si>
    <t>60.9% of total; 63% EBITDA margin</t>
  </si>
  <si>
    <t>21.9% of total; Falcon 9 cadence + Starship</t>
  </si>
  <si>
    <t>17.1% of total; X ads + xAI compute</t>
  </si>
  <si>
    <t>Net Income ($M)</t>
  </si>
  <si>
    <t>AI segment losses dominate; R&amp;D $8.6B</t>
  </si>
  <si>
    <t>Cash-generative despite heavy capex cycle</t>
  </si>
  <si>
    <t>AI infra $12.7B = 61% of total capex</t>
  </si>
  <si>
    <t xml:space="preserve">  KEY RISKS &amp; SENSITIVITIES</t>
  </si>
  <si>
    <t>per share</t>
  </si>
  <si>
    <t>per share (Method 1)</t>
  </si>
  <si>
    <t>AI capex burn exceeds forecasts; xAI margin ramp delayed</t>
  </si>
  <si>
    <t>Starlink subscriber growth stalls; enterprise adoption slower than modelled</t>
  </si>
  <si>
    <t>Regulatory / spectrum risk; international market access restrictions</t>
  </si>
  <si>
    <t>Conn / Space</t>
  </si>
  <si>
    <t>Method 1 vs Method 2 divergence ($184 vs $56) flags terminal-value sensitivity</t>
  </si>
  <si>
    <t>All</t>
  </si>
  <si>
    <t>Dual-class + Musk governance concentration; key-person dependence</t>
  </si>
  <si>
    <t>Starship development delays or cost overruns; launch cadence miss</t>
  </si>
  <si>
    <t xml:space="preserve">  MODEL MAP</t>
  </si>
  <si>
    <t>Purpose</t>
  </si>
  <si>
    <t>COVER</t>
  </si>
  <si>
    <t>SOTP</t>
  </si>
  <si>
    <t>Sum-of-the-parts roll-up, EV bridge, implied share price, WACC sensitivity tables</t>
  </si>
  <si>
    <t>Conn DCF</t>
  </si>
  <si>
    <t>Space DCF</t>
  </si>
  <si>
    <t>AI DCF</t>
  </si>
  <si>
    <t>Comp-driven betas, CAPM cost of equity, segment WACCs, capital structure</t>
  </si>
  <si>
    <t>Ratios</t>
  </si>
  <si>
    <t>Conn/Space/AI Comps</t>
  </si>
  <si>
    <t>Actuals</t>
  </si>
  <si>
    <t>FY2023–FY2025 actual financials by segment (source: S-1)</t>
  </si>
  <si>
    <t>Historicals</t>
  </si>
  <si>
    <t>All financial data sourced from SpaceX S-1 (SEC EDGAR, filed 20-May-2026). Comparable company data from public filings.</t>
  </si>
  <si>
    <t>Space Exploration Technologies Corp. (SpaceX)  |  $SPCX  |  Sum-of-the-Parts DCF Valuation</t>
  </si>
  <si>
    <t>Comparable Public Companies by Maturity &amp; Industry  |  Satellite Broadband + Telecom Infrastructure  |  $ in Millions</t>
  </si>
  <si>
    <t>Current-stage anchor = Satellite / LEO Broadband  •  Mature-stage anchor = Telecom Infrastructure. Input cells (blue) to be populated from terminal (CapIQ/Bloomberg).</t>
  </si>
  <si>
    <t>Comparable Public Companies by Maturity &amp; Industry  |  Launch Services + Defense / Aerospace  |  $ in Millions</t>
  </si>
  <si>
    <t>Current-stage anchor = Launch Services / NewSpace  •  Mature-stage anchor = Big-5 Defense Primes. Input cells (blue) to be populated from terminal (CapIQ/Bloomberg).</t>
  </si>
  <si>
    <t>Segments: Connectivity (Starlink) + Space (Launch/Starship) + AI (X/xAI/Grok)  |  20-Year DCF with Gordon Growth &amp; Exit Multiple cross-check</t>
  </si>
  <si>
    <t>Phasing Weight (%)</t>
  </si>
  <si>
    <t>Target Mkt Val ($B)</t>
  </si>
  <si>
    <t>Meta Platforms, Inc.</t>
  </si>
  <si>
    <t>NasdaqGS:META</t>
  </si>
  <si>
    <t>Specific Risk Premium (Size / Illiquidity)</t>
  </si>
  <si>
    <t>Ke = Rf + βL × ERP + SRP</t>
  </si>
  <si>
    <t xml:space="preserve">  Exit EV/Revenue Multiple (= Tier 3 Social Media comp median, fallback 6.0x)</t>
  </si>
  <si>
    <t>Pre-IPO illiquidity + size/execution risk; 2–3% typical for late-stage private</t>
  </si>
  <si>
    <t>Comp Data Status</t>
  </si>
  <si>
    <t xml:space="preserve">  TIME-WEIGHTED BETA &amp; WACC</t>
  </si>
  <si>
    <t xml:space="preserve">  Tier 1 (Satellite) Unlevered β</t>
  </si>
  <si>
    <t xml:space="preserve">  Tier 2 (EM Telecom) Unlevered β</t>
  </si>
  <si>
    <t xml:space="preserve">  Tier 3 (Mature Wireless) Unlevered β</t>
  </si>
  <si>
    <t xml:space="preserve">  Tier 1 Weight</t>
  </si>
  <si>
    <t xml:space="preserve">  Tier 2 Weight</t>
  </si>
  <si>
    <t xml:space="preserve">  Tier 3 Weight (= 1 – T1 – T2)</t>
  </si>
  <si>
    <t xml:space="preserve">  Blended Unlevered β</t>
  </si>
  <si>
    <t xml:space="preserve">  Relevered β (Hamada)</t>
  </si>
  <si>
    <t xml:space="preserve">  Cost of Equity (Ke)</t>
  </si>
  <si>
    <t xml:space="preserve">  Time-Varying WACC</t>
  </si>
  <si>
    <t>Satellite Operators</t>
  </si>
  <si>
    <t>EM Telecom</t>
  </si>
  <si>
    <t>Mature Wireless</t>
  </si>
  <si>
    <t>→</t>
  </si>
  <si>
    <t xml:space="preserve">  Tier 1 (NewSpace / Launch) Unlevered β</t>
  </si>
  <si>
    <t xml:space="preserve">  Tier 2 (Big-5 Defense) Unlevered β</t>
  </si>
  <si>
    <t xml:space="preserve">  Tier 3 (N/A)</t>
  </si>
  <si>
    <t>NewSpace / Launch</t>
  </si>
  <si>
    <t>Big-5 Defense</t>
  </si>
  <si>
    <t xml:space="preserve">  Tier 1 (GPU Neoclouds) Unlevered β</t>
  </si>
  <si>
    <t xml:space="preserve">  Tier 2 (Infra Hosting) Unlevered β</t>
  </si>
  <si>
    <t xml:space="preserve">  Tier 3 (Social Media) Unlevered β</t>
  </si>
  <si>
    <t>GPU Neoclouds</t>
  </si>
  <si>
    <t>Infra Hosting (wt = 0)</t>
  </si>
  <si>
    <t>Social Media</t>
  </si>
  <si>
    <t xml:space="preserve">  TIME-WEIGHTED WACC (per-year, used in primary DCF valuation)</t>
  </si>
  <si>
    <t>Year 1 WACC</t>
  </si>
  <si>
    <t>Year 20 WACC</t>
  </si>
  <si>
    <t>Static WACC</t>
  </si>
  <si>
    <t>Yr 1 Δ</t>
  </si>
  <si>
    <t>Time-weighted beta glides from Tier 1 (satellite) → Tier 3 (mature wireless) over 20 years</t>
  </si>
  <si>
    <t>Glides from Tier 1 (NewSpace) → Tier 2 (Big-5 Defense) over 20 years</t>
  </si>
  <si>
    <t>Glides from Tier 1 (GPU Neoclouds) → Tier 3 (Social Media); Tier 2 (Infra Hosting) excluded (β=3.1 unreliable)</t>
  </si>
  <si>
    <t>Time-Varying WACC</t>
  </si>
  <si>
    <t>→ Terminal</t>
  </si>
  <si>
    <t>B = Yr 1, C = Yr 20</t>
  </si>
  <si>
    <t>(see E→X for glide)</t>
  </si>
  <si>
    <t>Space Exploration Technologies Corp. (SpaceX)  |  $SPCX  | Valuation Executive Summary</t>
  </si>
  <si>
    <t xml:space="preserve">  NOL Opening Balance ($M)</t>
  </si>
  <si>
    <t xml:space="preserve">  (–) NOL Utilization (IRC §172, 80% cap)</t>
  </si>
  <si>
    <t xml:space="preserve">  NOL Closing Balance ($M)</t>
  </si>
  <si>
    <t xml:space="preserve">  Key Physical Assumptions</t>
  </si>
  <si>
    <t xml:space="preserve">  Satellite Avg Useful Life (years)</t>
  </si>
  <si>
    <t xml:space="preserve">  Blended Satellite Unit Cost ($M)</t>
  </si>
  <si>
    <t xml:space="preserve">  Active Fleet at End of FY2025 (S-1)</t>
  </si>
  <si>
    <t xml:space="preserve">  Ground Infra D&amp;A (% of Satellite D&amp;A)</t>
  </si>
  <si>
    <t>S-1: useful lives of 3–5 years; 4yr mid-range</t>
  </si>
  <si>
    <t>Implied from S-1: Conn capex $4,178M ÷ ~4,000 sats launched. ARK uses $650/kg × ~1,200kg avg mass</t>
  </si>
  <si>
    <t xml:space="preserve">  Satellite Fleet Dynamics</t>
  </si>
  <si>
    <t xml:space="preserve">  Fleet Growth (net new satellites)</t>
  </si>
  <si>
    <t xml:space="preserve">  Replacement Satellites</t>
  </si>
  <si>
    <t xml:space="preserve">  Total New Satellites (gross)</t>
  </si>
  <si>
    <t xml:space="preserve">  Annual Satellite Investment ($M)</t>
  </si>
  <si>
    <t xml:space="preserve">  Cumulative Investment ($M)</t>
  </si>
  <si>
    <t xml:space="preserve">  Ground/Facilities D&amp;A ($M)</t>
  </si>
  <si>
    <t xml:space="preserve">  FULLY DILUTED SHARE COUNT RECONCILIATION</t>
  </si>
  <si>
    <t>Shares (M)</t>
  </si>
  <si>
    <t>Source / Note</t>
  </si>
  <si>
    <t xml:space="preserve">  Class A Common Stock (pro forma)</t>
  </si>
  <si>
    <t>S-1 Cap Table: 6,824,581,339 shares</t>
  </si>
  <si>
    <t xml:space="preserve">  Class B Common Stock (pro forma)</t>
  </si>
  <si>
    <t>S-1 Cap Table: 5,695,729,430 shares</t>
  </si>
  <si>
    <t xml:space="preserve">  Class C (reclassified to A pre-IPO)</t>
  </si>
  <si>
    <t>494M pre-reclass shares converted to Class A</t>
  </si>
  <si>
    <t>Total Basic Pro Forma</t>
  </si>
  <si>
    <t>= 12,520,310,769 shares</t>
  </si>
  <si>
    <t xml:space="preserve">  Dilutive: Stock Options</t>
  </si>
  <si>
    <t>S-1 EPS Note: FY2024 diluted denominator</t>
  </si>
  <si>
    <t xml:space="preserve">  Dilutive: RSUs</t>
  </si>
  <si>
    <t xml:space="preserve">  Dilutive: Other (ESPP + est.)</t>
  </si>
  <si>
    <t>Residual to reconcile to model FD count</t>
  </si>
  <si>
    <t>= SOTP B25 (12,960M shares)</t>
  </si>
  <si>
    <t xml:space="preserve">  Musk Performance Shares (not in FD)</t>
  </si>
  <si>
    <t>12 tranches x 66.7M; vest at $500B-$6.5T mkt cap</t>
  </si>
  <si>
    <t xml:space="preserve">  IPO Terms (Reuters, pre-final)</t>
  </si>
  <si>
    <t>$135/sh | 555.6M shares | ~$75B gross | ~$1.75T</t>
  </si>
  <si>
    <t>D&amp;A (Physical Fleet Model)</t>
  </si>
  <si>
    <t xml:space="preserve">  SATELLITE FLEET &amp; PHYSICAL D&amp;A MODEL  (drives IS row 53)</t>
  </si>
  <si>
    <t>Total Physical D&amp;A ($M)</t>
  </si>
  <si>
    <t xml:space="preserve">  TV % of Enterprise Value</t>
  </si>
  <si>
    <t xml:space="preserve">  Unlevered Free Cash Flow</t>
  </si>
  <si>
    <t xml:space="preserve">  Enterprise Value ($M)</t>
  </si>
  <si>
    <t xml:space="preserve">  Driver</t>
  </si>
  <si>
    <t xml:space="preserve">  Measure</t>
  </si>
  <si>
    <t xml:space="preserve">  Segment</t>
  </si>
  <si>
    <t xml:space="preserve">  Total SOTP</t>
  </si>
  <si>
    <t xml:space="preserve">  Item</t>
  </si>
  <si>
    <t xml:space="preserve">  Metric</t>
  </si>
  <si>
    <t xml:space="preserve">  Sensitivity Range (SOTP, fully diluted):</t>
  </si>
  <si>
    <t xml:space="preserve">  Risk</t>
  </si>
  <si>
    <t xml:space="preserve">  Sheet</t>
  </si>
  <si>
    <t xml:space="preserve">  Fully Diluted, Post-IPO (12,960M)</t>
  </si>
  <si>
    <t xml:space="preserve">  Implied Upside / (Downside)</t>
  </si>
  <si>
    <t xml:space="preserve">  Method</t>
  </si>
  <si>
    <t xml:space="preserve">  Average (Gordon &amp; Exit)</t>
  </si>
  <si>
    <t xml:space="preserve">  Metric ($M)</t>
  </si>
  <si>
    <t xml:space="preserve">  Layer</t>
  </si>
  <si>
    <t xml:space="preserve">  Total Enterprise Value (SOTP)</t>
  </si>
  <si>
    <t xml:space="preserve">  Equity Value</t>
  </si>
  <si>
    <t xml:space="preserve">  Total</t>
  </si>
  <si>
    <t xml:space="preserve">  Total Fully Diluted (Model)</t>
  </si>
  <si>
    <t xml:space="preserve">  WACC</t>
  </si>
  <si>
    <t xml:space="preserve">  Multiple</t>
  </si>
  <si>
    <t xml:space="preserve">  Ratio</t>
  </si>
  <si>
    <t xml:space="preserve">  Name</t>
  </si>
  <si>
    <t xml:space="preserve">  Line Item ($M)</t>
  </si>
  <si>
    <t xml:space="preserve">  FY2026 Metric</t>
  </si>
  <si>
    <t xml:space="preserve">  Q2 2026 Metric</t>
  </si>
  <si>
    <t>Current Share Price ($)</t>
  </si>
  <si>
    <t>← Enter the current trading price here</t>
  </si>
  <si>
    <t>Method 1 (Gordon + EV/Rev):</t>
  </si>
  <si>
    <t>Method 2 (Exit Mult + Gordon):</t>
  </si>
  <si>
    <t>WACC sensitivity range (±2% Conn WACC):</t>
  </si>
  <si>
    <t xml:space="preserve">  Connectivity WACC  ↓ \ Terminal Growth Rate  →</t>
  </si>
  <si>
    <t>Blended WACC (Sensitivity Center)</t>
  </si>
  <si>
    <t xml:space="preserve">  GG-Implied Exit EV/EBITDA</t>
  </si>
  <si>
    <t xml:space="preserve">  GG-Implied Exit EV/Revenue</t>
  </si>
  <si>
    <t>SBC (% of Revenue)</t>
  </si>
  <si>
    <t xml:space="preserve">  WACC ↓ \ Terminal Growth Rate →</t>
  </si>
  <si>
    <t xml:space="preserve">  Launch Vehicle Fleet</t>
  </si>
  <si>
    <t>Total Launches (F9 + Starship)</t>
  </si>
  <si>
    <t>F9 D&amp;A per Launch ($M)</t>
  </si>
  <si>
    <t xml:space="preserve">  Space Segment Allocation &amp; Other D&amp;A</t>
  </si>
  <si>
    <t>Space Segment Launch Share (%)</t>
  </si>
  <si>
    <t>Dragon &amp; Crew Capsule D&amp;A ($M)</t>
  </si>
  <si>
    <t>Infrastructure &amp; Facilities D&amp;A ($M)</t>
  </si>
  <si>
    <t>Property of Rifat Tahmid®™</t>
  </si>
  <si>
    <t>Active Fleet (End of Period)</t>
  </si>
  <si>
    <t>Active Fleet (from Scenario Assumptions)</t>
  </si>
  <si>
    <t>Total Falcon 9 Launches</t>
  </si>
  <si>
    <t>Total Starship Launches</t>
  </si>
  <si>
    <t>Starship D&amp;A / Launch ($M)</t>
  </si>
  <si>
    <t>Total Falcon 9 Launches (from Scenario Assumptions)</t>
  </si>
  <si>
    <t>Total Starship Launches (from Scenario Assumptions)</t>
  </si>
  <si>
    <t>Starship D&amp;A per Launch (from Scenario Assumptions)</t>
  </si>
  <si>
    <t xml:space="preserve">  (+) IPO Proceeds (555.6M shares @ $135)</t>
  </si>
  <si>
    <t>555.6M primary × $135</t>
  </si>
  <si>
    <t xml:space="preserve">  CURSOR PRO-FORMA  (all-stock acquisition, pending Q3'26 close)</t>
  </si>
  <si>
    <t xml:space="preserve">  (+) Cursor Acquisition EV (444M shares @ ~$135)</t>
  </si>
  <si>
    <t>All-stock; 3.4% dilution at IPO val</t>
  </si>
  <si>
    <t xml:space="preserve">  Pro-Forma Equity Value</t>
  </si>
  <si>
    <t xml:space="preserve">  Pro-Forma FD Shares (12,960 + 444M Cursor)</t>
  </si>
  <si>
    <t>$60B ÷ $135 = 444M new shares</t>
  </si>
  <si>
    <t xml:space="preserve">  LOCK-UP &amp; FLOAT SCHEDULE  (Source: SEC Filing, Jun 17 2026 | Boyan Girginov analysis)</t>
  </si>
  <si>
    <t xml:space="preserve">  4.9% IPO float (incl. greenshoe)  |  Musk 46.1% stake unlocks Day 366 (Jun 12, 2027)  |  Full unlock ~Sep 2027</t>
  </si>
  <si>
    <t>Date</t>
  </si>
  <si>
    <t>Event</t>
  </si>
  <si>
    <t>Cumulative % Float</t>
  </si>
  <si>
    <t>Shares Tradeable (M)</t>
  </si>
  <si>
    <t>Float-Adj Mkt Cap ($M)</t>
  </si>
  <si>
    <t>Accelerated Early Unlock Begins</t>
  </si>
  <si>
    <t>Early Release Window</t>
  </si>
  <si>
    <t>Accelerated Window Closes</t>
  </si>
  <si>
    <t>Normal Unlock Schedule Begins</t>
  </si>
  <si>
    <t>Extended Lock-Up Pool</t>
  </si>
  <si>
    <t>⚠ MUSK DAY 366 (+46.1% in ONE day)</t>
  </si>
  <si>
    <t>Musk Lock-Up Ends</t>
  </si>
  <si>
    <t xml:space="preserve">  Connectivity D&amp;A</t>
  </si>
  <si>
    <t xml:space="preserve">  Space D&amp;A</t>
  </si>
  <si>
    <t xml:space="preserve">  AI D&amp;A</t>
  </si>
  <si>
    <t xml:space="preserve">  Connectivity Capex</t>
  </si>
  <si>
    <t xml:space="preserve">  Space Capex</t>
  </si>
  <si>
    <t xml:space="preserve">  AI Capex</t>
  </si>
  <si>
    <t>FY2026</t>
  </si>
  <si>
    <t>Q2 2025</t>
  </si>
  <si>
    <t>Q3 2025</t>
  </si>
  <si>
    <t>Q4 2025</t>
  </si>
  <si>
    <t>Q2 2026</t>
  </si>
  <si>
    <t>Q3 2026</t>
  </si>
  <si>
    <t>Q4 2026</t>
  </si>
  <si>
    <t>FY2025 QUARTERS</t>
  </si>
  <si>
    <t>FY2026 QUARTERS</t>
  </si>
  <si>
    <t xml:space="preserve">  (1) Connectivity (Starlink) – satellite broadband, ~60% of FY2025 revenue, highest margin segment growing 50%+ YoY</t>
  </si>
  <si>
    <t xml:space="preserve">  (2) Space (Launch + Starship) – launch services and government contracts, ~22% of revenue, steady growth anchored by Falcon 9 cadence</t>
  </si>
  <si>
    <t xml:space="preserve">  (3) AI (X / xAI / Grok) – social media and AI compute infrastructure, ~17% of revenue, pre-profit but scaling rapidly</t>
  </si>
  <si>
    <t>Shares Outstanding – Fully Diluted (M)</t>
  </si>
  <si>
    <t>EV/Revenue multiple (primary) – Gordon distorts on loss-making FCF</t>
  </si>
  <si>
    <t>Consolidated – 3 segments</t>
  </si>
  <si>
    <t>Up from 46.2% in FY2024 – scale leverage</t>
  </si>
  <si>
    <t>High – AI is 45% of avg SOTP EV</t>
  </si>
  <si>
    <t>High – Conn is 46% of avg SOTP EV</t>
  </si>
  <si>
    <t>Medium – affects both Conn &amp; Space</t>
  </si>
  <si>
    <t>High – 3.3x range in implied price</t>
  </si>
  <si>
    <t>Medium – discount to intrinsic value</t>
  </si>
  <si>
    <t>Medium – capex normalisation thesis</t>
  </si>
  <si>
    <t>Connectivity (Starlink) 20-year segment DCF – IS, FCF, Gordon + exit multiple</t>
  </si>
  <si>
    <t>Space (Launch + Starship) 20-year segment DCF – IS, FCF, Gordon + exit multiple</t>
  </si>
  <si>
    <t>AI (X/xAI/Grok) 20-year segment DCF – IS, FCF, EV/Revenue primary + Gordon cross-check</t>
  </si>
  <si>
    <t>Historical financial ratios – profitability, leverage, liquidity, efficiency</t>
  </si>
  <si>
    <t>Comparable company data for each segment – trading multiples, betas, benchmarking</t>
  </si>
  <si>
    <t>Extended historical data – balance sheet, cash flow, segment detail from S-1</t>
  </si>
  <si>
    <t xml:space="preserve">  Basic – Common only (5,798M)</t>
  </si>
  <si>
    <t>Reconciled to actual $135 IPO / $1.75T – primary metric</t>
  </si>
  <si>
    <t xml:space="preserve">  ③ UPSIDE / (DOWNSIDE) vs. ENTERED PRICE  (Fully-Diluted shares – primary)</t>
  </si>
  <si>
    <t xml:space="preserve">  ④ SCENARIO SELECTORS  (1=Bear, 2=Base, 3=Bull – changes all 3 segment DCFs simultaneously)</t>
  </si>
  <si>
    <t>✓  Set scenarios here (B28:B30). 1=Bear, 2=Base, 3=Bull. Segment tabs follow automatically – whole valuation controlled from this page.</t>
  </si>
  <si>
    <t xml:space="preserve">  ⑥ SENSITIVITY: Implied Price/Share (Fully-Diluted)  –  Connectivity WACC vs. Terminal Growth Rate (Base Case)</t>
  </si>
  <si>
    <t xml:space="preserve">  ⑧ RECONCILIATION BRIDGE  –  Intrinsic Value → Market Price ($B)</t>
  </si>
  <si>
    <t>20-yr SOTP DCF, base case – validated by M&amp;I ($429B) &amp; Morningstar ($780B)</t>
  </si>
  <si>
    <t>xAI/Grok priced at ~$250B in Feb'26 deal vs our ~$64B DCF – market optionality premium</t>
  </si>
  <si>
    <t>Residual – 2x oversubscribed IPO, Nasdaq fast-track, Musk premium</t>
  </si>
  <si>
    <t>SpaceX – Sum-of-the-Parts Valuation</t>
  </si>
  <si>
    <t>Common Shares – Basic (Class A+B+C, S-1 Q1'26)</t>
  </si>
  <si>
    <t>Total Shares – Fully Diluted, Post-IPO</t>
  </si>
  <si>
    <t xml:space="preserve">  Implied Price/Share – on Basic (understates)</t>
  </si>
  <si>
    <t xml:space="preserve">  Implied Price/Share – Fully Diluted (primary)</t>
  </si>
  <si>
    <t xml:space="preserve">  Pro-Forma Price/Share – Fully Diluted</t>
  </si>
  <si>
    <t>¹ Method 1 = Gordon Growth (perpetuity) for Connectivity &amp; Space; EV/Revenue multiple (PRIMARY) for AI – Gordon distorts on AI's loss-making early FCF.</t>
  </si>
  <si>
    <t xml:space="preserve">  Table 1: SOTP Implied Price/Share (Fully-Diluted) – Connectivity WACC vs. Terminal Growth Rate (Base Case)</t>
  </si>
  <si>
    <t xml:space="preserve">  Table 2: Total SOTP Enterprise Value ($B) – Connectivity WACC vs. Terminal Growth Rate (Base Case)</t>
  </si>
  <si>
    <t>IPO – Initial Float</t>
  </si>
  <si>
    <t>Full Unlock – 100%</t>
  </si>
  <si>
    <t xml:space="preserve">  Cursor option scenario: +444M (new) shares if exercised at IPO price – see Pro-Forma section above</t>
  </si>
  <si>
    <t>SpaceX – Connectivity Segment DCF  (Starlink)</t>
  </si>
  <si>
    <t xml:space="preserve">  CONNECTIVITY SEGMENT – INCOME STATEMENT &amp; FREE CASH FLOW  ($M)</t>
  </si>
  <si>
    <t>–</t>
  </si>
  <si>
    <t xml:space="preserve">  DCF – DISCOUNT FACTORS &amp; PRESENT VALUES  (Mid-Year Convention)</t>
  </si>
  <si>
    <t xml:space="preserve">  SENSITIVITY ANALYSIS – CONNECTIVITY SEGMENT EV ($M)</t>
  </si>
  <si>
    <t xml:space="preserve">  Table 1: EV ($M) – WACC vs. Terminal Growth Rate (Gordon Growth)</t>
  </si>
  <si>
    <t xml:space="preserve">  Table 2: EV ($M) – Terminal EBITDA Margin vs. EV/EBITDA Exit Multiple (Exit Method)</t>
  </si>
  <si>
    <t xml:space="preserve">  Table 3: EV ($M) – WACC vs. EV/EBITDA Exit Multiple (Exit Method)</t>
  </si>
  <si>
    <t xml:space="preserve">  CONNECTIVITY – BOTTOM-UP OPERATING DRIVERS  (cross-check vs top-down revenue above)</t>
  </si>
  <si>
    <t xml:space="preserve">  Revenue per Satellite, FY2025 ($M) – derived</t>
  </si>
  <si>
    <t xml:space="preserve">  Revenue per Satellite ($M p.a.) – derived</t>
  </si>
  <si>
    <t xml:space="preserve">  Satellite D&amp;A – Steady State ($M)</t>
  </si>
  <si>
    <t>SpaceX – Space Segment DCF  (Launch &amp; Starship)</t>
  </si>
  <si>
    <t xml:space="preserve">  SPACE SEGMENT – INCOME STATEMENT &amp; FREE CASH FLOW  ($M)</t>
  </si>
  <si>
    <t xml:space="preserve">  SENSITIVITY ANALYSIS – SPACE SEGMENT EV ($M)</t>
  </si>
  <si>
    <t>Table 1: EV ($M) – WACC vs. Terminal Growth Rate (Gordon Growth)</t>
  </si>
  <si>
    <t>Table 2: EV ($M) – WACC vs. EV/EBITDA Exit Multiple</t>
  </si>
  <si>
    <t xml:space="preserve">  SPACE – BOTTOM-UP OPERATING DRIVERS  (launch-based, cross-check vs top-down revenue above)</t>
  </si>
  <si>
    <t xml:space="preserve">  SPACE – PHYSICAL LAUNCH FLEET D&amp;A MODEL</t>
  </si>
  <si>
    <t>Total Launch Vehicle D&amp;A – All Segments ($M)</t>
  </si>
  <si>
    <t>Vehicle D&amp;A – Space Allocated ($M)</t>
  </si>
  <si>
    <t>Total Physical D&amp;A – Space Segment ($M)</t>
  </si>
  <si>
    <t>SpaceX – AI Segment DCF  (X / xAI / Grok)</t>
  </si>
  <si>
    <t xml:space="preserve">  AI SEGMENT – INCOME STATEMENT &amp; FREE CASH FLOW  ($M)</t>
  </si>
  <si>
    <t xml:space="preserve">  SENSITIVITY ANALYSIS – AI SEGMENT EV ($M)</t>
  </si>
  <si>
    <t>Table 2: EV ($M) – WACC vs. EV/Revenue Exit Multiple</t>
  </si>
  <si>
    <t xml:space="preserve">  AI – BOTTOM-UP OPERATING DRIVERS  (capacity-based, cross-check vs top-down revenue above)</t>
  </si>
  <si>
    <t>SpaceX – Weighted Average Cost of Capital</t>
  </si>
  <si>
    <t xml:space="preserve">  UNLEVERED BETA BY SEGMENT (Comp-Driven – mature-stage tier median)</t>
  </si>
  <si>
    <t xml:space="preserve">  TIER 1 – PUBLIC SATELLITE OPERATORS  (current-stage anchor)</t>
  </si>
  <si>
    <t xml:space="preserve">  TIER 2 – EMERGING-MARKETS TELECOM / WIRELESS  (&gt;10% Projected Organic Revenue Growth)</t>
  </si>
  <si>
    <t xml:space="preserve">  TIER 3 – LARGE, MATURE WIRELESS  (&gt;$10B Revenue – Mature-Stage Anchor)</t>
  </si>
  <si>
    <t xml:space="preserve">  TIER 1 – SMALLER-SCALE ROCKET / SPACE TECH  (Current-Stage Anchor)</t>
  </si>
  <si>
    <t xml:space="preserve">  TIER 2 – "BIG 5" U.S. DEFENSE CONTRACTORS  (Mature-Stage Anchor)</t>
  </si>
  <si>
    <t xml:space="preserve">  TIER 1 – GPU-FIRST NEOCLOUDS  (Current-Stage Anchor)</t>
  </si>
  <si>
    <t xml:space="preserve">  TIER 2 – INFRASTRUCTURE-FIRST HOSTING  (No GPUs)</t>
  </si>
  <si>
    <t xml:space="preserve">  TIER 3 – SOCIAL MEDIA  (Mature-Stage Monetization Anchor)</t>
  </si>
  <si>
    <t>SpaceX – Financial Ratios &amp; Credit Metrics</t>
  </si>
  <si>
    <t xml:space="preserve">  VALUATION MULTIPLES  –  Our Intrinsic vs. $135 IPO</t>
  </si>
  <si>
    <t>N/M – net loss</t>
  </si>
  <si>
    <t>Net loss / equity – negative</t>
  </si>
  <si>
    <t>Net loss / assets – negative</t>
  </si>
  <si>
    <t>SpaceX – Exhibits &amp; Charts</t>
  </si>
  <si>
    <t>Valuation Comparison – All Sources ($B)</t>
  </si>
  <si>
    <t>SpaceX – Segment Actuals &amp; Estimates</t>
  </si>
  <si>
    <t xml:space="preserve">  ANNUAL  –  ACTUALS (FY23–FY25) + DCF FORECAST (FY26–FY28)</t>
  </si>
  <si>
    <t xml:space="preserve">  QUARTERLY  –  ACTUALS &amp; ESTIMATES  (Q1 2026A from S-1; Q2–Q4 2026E phased from annual FY26E)</t>
  </si>
  <si>
    <t xml:space="preserve">  ANNUAL VARIANCE  –  Model Forecast vs Full-Year Actual  (enter actual when FY reports)</t>
  </si>
  <si>
    <t xml:space="preserve">  QUARTERLY VARIANCE  –  Estimate vs Actual  (enter Q actual as reported)</t>
  </si>
  <si>
    <t>WHEN A FULL YEAR REPORTS: (1) enter the actual into Annual Variance 'Actual' col (C28:C31); (2) append the new FYxxA as a column in the annual block; (3) ask me to RE-BASE the DCF (shift forecast one year, repoint segment base-year links) – that's a structural change.</t>
  </si>
  <si>
    <t>SpaceX – Historical Financial Statements</t>
  </si>
  <si>
    <t>3-Segment SOTP  (Connectivity + Space + AI)  |  20-Year Explicit DCF  |  S-1 Filed May 20, 2026  |  $ in Millions (except per share)</t>
  </si>
  <si>
    <t>Selected EV</t>
  </si>
  <si>
    <t>EV-to-Equity Bridge ($M)</t>
  </si>
  <si>
    <t>CONNECTIVITY – COMPARABLE COMPANY ANALYSIS</t>
  </si>
  <si>
    <t>SPACE – COMPARABLE COMPANY ANALYSIS</t>
  </si>
  <si>
    <t>AI – COMPARABLE COMPANY ANALYSIS</t>
  </si>
  <si>
    <t>Price input, valuation summary dashboard, scenario selector, upside/downside</t>
  </si>
  <si>
    <t>Impact</t>
  </si>
  <si>
    <t>header</t>
  </si>
  <si>
    <t>WACC ↓  \  Tg →</t>
  </si>
  <si>
    <t>WACC ↓  \  EV/Rev →</t>
  </si>
  <si>
    <t>EBITDA Mgn ↓  \  EV/EBITDA →</t>
  </si>
  <si>
    <t>WACC ↓  \  EV/EBITDA →</t>
  </si>
  <si>
    <t>GG Weight</t>
  </si>
  <si>
    <t>Cerebras Systems, Inc.</t>
  </si>
  <si>
    <t>NasdaqGS:CBRS</t>
  </si>
  <si>
    <t>Period</t>
  </si>
  <si>
    <t>Total</t>
  </si>
  <si>
    <t>YoY Growth</t>
  </si>
  <si>
    <t>Q1'25</t>
  </si>
  <si>
    <t>Q1'26</t>
  </si>
  <si>
    <t>Adj EBITDA Margin</t>
  </si>
  <si>
    <t>Operating Margin</t>
  </si>
  <si>
    <t>FCF Margin</t>
  </si>
  <si>
    <t>OCF</t>
  </si>
  <si>
    <t>CapEx</t>
  </si>
  <si>
    <t>FCF</t>
  </si>
  <si>
    <t>Revenue by Segment ($M)</t>
  </si>
  <si>
    <t>Margin Trends (%)</t>
  </si>
  <si>
    <t>CapEx vs Operating Cash Flow ($M)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</si>
</sst>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3">
    <numFmt numFmtId="164" formatCode="_(* #,##0.00_);_(* \(#,##0.00\);_(* &quot;-&quot;??_);_(@_)"/>
    <numFmt numFmtId="165" formatCode="0.0%"/>
    <numFmt numFmtId="166" formatCode="#,##0.0"/>
    <numFmt numFmtId="167" formatCode="_(* #,##0_);_(* \(#,##0\);_(* &quot;-&quot;??_);_(@_)"/>
    <numFmt numFmtId="168" formatCode="&quot;$&quot;#,##0.00"/>
    <numFmt numFmtId="169" formatCode="&quot;$&quot;#,##0"/>
    <numFmt numFmtId="170" formatCode="[&gt;=0]\+0.0%;[&lt;0]\(0.0%\);@"/>
    <numFmt numFmtId="171" formatCode="&quot;$&quot;#,##0.00;&quot;$&quot;#,##0.00;&quot;—&quot;"/>
    <numFmt numFmtId="172" formatCode="&quot;$&quot;#,##0;\(&quot;$&quot;#,##0\);&quot;-&quot;"/>
    <numFmt numFmtId="173" formatCode="0.0"/>
    <numFmt numFmtId="174" formatCode="0.0000"/>
    <numFmt numFmtId="175" formatCode="0.0&quot;x&quot;"/>
    <numFmt numFmtId="176" formatCode="&quot;$&quot;#,##0.00;\(&quot;$&quot;#,##0.00\);&quot;-&quot;"/>
    <numFmt numFmtId="177" formatCode="&quot;$&quot;0"/>
    <numFmt numFmtId="178" formatCode="&quot;$&quot;#,##0;\(&quot;$&quot;#,##0\)"/>
    <numFmt numFmtId="179" formatCode="#,##0;\(#,##0\)"/>
    <numFmt numFmtId="180" formatCode="0.0%;\(0.0%\)"/>
    <numFmt numFmtId="181" formatCode="&quot;$&quot;#,##0.0"/>
    <numFmt numFmtId="182" formatCode="0.000"/>
    <numFmt numFmtId="183" formatCode="\+0.00%;\-0.00%"/>
    <numFmt numFmtId="184" formatCode="&quot;$&quot;#,##0.000"/>
    <numFmt numFmtId="185" formatCode="[$-F800]dddd\,\ mmmm\ dd\,\ yyyy"/>
    <numFmt numFmtId="186" formatCode="0.0\x"/>
  </numFmts>
  <fonts count="104" x14ac:knownFonts="1">
    <font>
      <sz val="11"/>
      <color theme="1"/>
      <name val="Calibri"/>
      <family val="2"/>
      <charset val="1"/>
    </font>
    <font>
      <sz val="10"/>
      <name val="Arial"/>
      <family val="2"/>
    </font>
    <font>
      <sz val="11"/>
      <color theme="1"/>
      <name val="Calibri"/>
      <family val="2"/>
      <charset val="1"/>
    </font>
    <font>
      <b/>
      <sz val="11"/>
      <color theme="1"/>
      <name val="Calibri"/>
      <family val="2"/>
      <charset val="1"/>
    </font>
    <font>
      <i/>
      <sz val="11"/>
      <color theme="1"/>
      <name val="Calibri"/>
      <family val="2"/>
      <charset val="1"/>
    </font>
    <font>
      <i/>
      <sz val="11"/>
      <color rgb="FF595959"/>
      <name val="Calibri"/>
      <family val="2"/>
      <charset val="1"/>
    </font>
    <font>
      <b/>
      <sz val="11"/>
      <color rgb="FFFFFFFF"/>
      <name val="Calibri"/>
      <family val="2"/>
      <charset val="1"/>
    </font>
    <font>
      <sz val="11"/>
      <color rgb="FF0000FF"/>
      <name val="Calibri"/>
      <family val="2"/>
      <charset val="1"/>
    </font>
    <font>
      <sz val="11"/>
      <color rgb="FF000000"/>
      <name val="Calibri"/>
      <family val="2"/>
      <charset val="1"/>
    </font>
    <font>
      <sz val="11"/>
      <color rgb="FF008000"/>
      <name val="Calibri"/>
      <family val="2"/>
      <charset val="1"/>
    </font>
    <font>
      <b/>
      <sz val="11"/>
      <color rgb="FF0000FF"/>
      <name val="Calibri"/>
      <family val="2"/>
      <charset val="1"/>
    </font>
    <font>
      <b/>
      <i/>
      <sz val="11"/>
      <color theme="1"/>
      <name val="Calibri"/>
      <family val="2"/>
      <charset val="1"/>
    </font>
    <font>
      <i/>
      <sz val="11"/>
      <color rgb="FF843C0C"/>
      <name val="Calibri"/>
      <family val="2"/>
      <charset val="1"/>
    </font>
    <font>
      <i/>
      <sz val="9"/>
      <color rgb="FFFFFFFF"/>
      <name val="Calibri"/>
      <family val="2"/>
      <charset val="1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indexed="81"/>
      <name val="Tahoma"/>
    </font>
    <font>
      <b/>
      <sz val="9"/>
      <color indexed="81"/>
      <name val="Tahoma"/>
    </font>
    <font>
      <i/>
      <sz val="8"/>
      <color rgb="FF595959"/>
      <name val="Calibri"/>
      <family val="2"/>
      <charset val="1"/>
    </font>
    <font>
      <b/>
      <sz val="9"/>
      <color theme="1"/>
      <name val="Calibri"/>
      <family val="2"/>
      <charset val="1"/>
    </font>
    <font>
      <b/>
      <sz val="11"/>
      <color rgb="FF000000"/>
      <name val="Calibri"/>
      <family val="2"/>
      <charset val="1"/>
    </font>
    <font>
      <b/>
      <sz val="11"/>
      <color theme="1"/>
      <name val="Calibri"/>
      <family val="2"/>
    </font>
    <font>
      <i/>
      <sz val="11"/>
      <color rgb="FF595959"/>
      <name val="Calibri"/>
      <family val="2"/>
    </font>
    <font>
      <b/>
      <sz val="11"/>
      <color rgb="FF000000"/>
      <name val="Calibri"/>
      <family val="2"/>
    </font>
    <font>
      <sz val="11"/>
      <color theme="1"/>
      <name val="Calibri"/>
      <family val="2"/>
    </font>
    <font>
      <i/>
      <sz val="9"/>
      <color rgb="FF595959"/>
      <name val="Calibri"/>
      <family val="2"/>
      <charset val="1"/>
    </font>
    <font>
      <b/>
      <sz val="14"/>
      <color rgb="FF008000"/>
      <name val="Calibri"/>
      <family val="2"/>
      <charset val="1"/>
    </font>
    <font>
      <i/>
      <sz val="9"/>
      <color rgb="FF808080"/>
      <name val="Calibri"/>
      <family val="2"/>
      <charset val="1"/>
    </font>
    <font>
      <i/>
      <sz val="9"/>
      <color rgb="FF808080"/>
      <name val="Calibri"/>
      <family val="2"/>
    </font>
    <font>
      <i/>
      <sz val="9"/>
      <color rgb="FF666666"/>
      <name val="Calibri"/>
      <family val="2"/>
      <charset val="1"/>
    </font>
    <font>
      <sz val="11"/>
      <color rgb="FF000000"/>
      <name val="Calibri"/>
    </font>
    <font>
      <i/>
      <sz val="11"/>
      <color rgb="FF000000"/>
      <name val="Calibri"/>
      <family val="2"/>
      <charset val="1"/>
    </font>
    <font>
      <b/>
      <u/>
      <sz val="11"/>
      <color theme="1"/>
      <name val="Calibri"/>
      <family val="2"/>
      <charset val="1"/>
    </font>
    <font>
      <sz val="11"/>
      <color theme="1"/>
      <name val="Calibri"/>
    </font>
    <font>
      <sz val="9"/>
      <color rgb="FF808080"/>
      <name val="Calibri"/>
    </font>
    <font>
      <i/>
      <sz val="9"/>
      <color rgb="FF808080"/>
      <name val="Calibri"/>
    </font>
    <font>
      <b/>
      <i/>
      <sz val="8"/>
      <color rgb="FF808080"/>
      <name val="Calibri"/>
    </font>
    <font>
      <i/>
      <sz val="9"/>
      <color rgb="FF666666"/>
      <name val="Calibri"/>
    </font>
    <font>
      <sz val="11"/>
      <color theme="0"/>
      <name val="Calibri"/>
      <family val="2"/>
      <charset val="1"/>
    </font>
    <font>
      <b/>
      <i/>
      <sz val="11"/>
      <color rgb="FF808080"/>
      <name val="Calibri"/>
      <family val="2"/>
      <charset val="1"/>
    </font>
    <font>
      <sz val="11"/>
      <color theme="0"/>
      <name val="Calibri"/>
      <family val="2"/>
    </font>
    <font>
      <b/>
      <sz val="11"/>
      <color theme="0"/>
      <name val="Calibri"/>
      <family val="2"/>
    </font>
    <font>
      <b/>
      <sz val="15"/>
      <color rgb="FFFFFFFF"/>
      <name val="Calibri"/>
      <family val="2"/>
    </font>
    <font>
      <sz val="11"/>
      <color rgb="FFFFFFFF"/>
      <name val="Calibri"/>
      <family val="2"/>
      <charset val="1"/>
    </font>
    <font>
      <b/>
      <i/>
      <sz val="9"/>
      <color rgb="FFFFFFFF"/>
      <name val="Calibri"/>
      <family val="2"/>
    </font>
    <font>
      <sz val="11"/>
      <color rgb="FFFFFFFF"/>
      <name val="Calibri"/>
      <family val="2"/>
    </font>
    <font>
      <i/>
      <sz val="9"/>
      <color rgb="FFFFFFFF"/>
      <name val="Calibri"/>
      <family val="2"/>
    </font>
    <font>
      <b/>
      <sz val="15"/>
      <color rgb="FF000000"/>
      <name val="Calibri"/>
      <family val="2"/>
    </font>
    <font>
      <b/>
      <i/>
      <sz val="8"/>
      <color rgb="FFFFFFFF"/>
      <name val="Calibri"/>
      <family val="2"/>
      <charset val="1"/>
    </font>
    <font>
      <b/>
      <i/>
      <sz val="11"/>
      <color rgb="FFFFFFFF"/>
      <name val="Calibri"/>
      <family val="2"/>
    </font>
    <font>
      <b/>
      <sz val="9"/>
      <color rgb="FFFFFFFF"/>
      <name val="Calibri"/>
      <family val="2"/>
      <charset val="1"/>
    </font>
    <font>
      <b/>
      <sz val="15"/>
      <color rgb="FF000000"/>
      <name val="Calibri"/>
    </font>
    <font>
      <sz val="11"/>
      <color rgb="FF008000"/>
      <name val="Calibri"/>
      <family val="2"/>
    </font>
    <font>
      <sz val="9"/>
      <color theme="1"/>
      <name val="Calibri"/>
      <family val="2"/>
    </font>
    <font>
      <i/>
      <sz val="9"/>
      <color theme="1"/>
      <name val="Calibri"/>
      <family val="2"/>
    </font>
    <font>
      <b/>
      <sz val="11"/>
      <color rgb="FFFFFFFF"/>
      <name val="Calibri"/>
      <family val="2"/>
    </font>
    <font>
      <sz val="11"/>
      <color rgb="FF404040"/>
      <name val="Calibri"/>
      <family val="2"/>
    </font>
    <font>
      <sz val="11"/>
      <color rgb="FF808080"/>
      <name val="Calibri"/>
      <family val="2"/>
    </font>
    <font>
      <b/>
      <sz val="11"/>
      <color rgb="FF008000"/>
      <name val="Calibri"/>
      <family val="2"/>
    </font>
    <font>
      <i/>
      <sz val="11"/>
      <color rgb="FF808080"/>
      <name val="Calibri"/>
      <family val="2"/>
    </font>
    <font>
      <sz val="11"/>
      <color rgb="FF008000"/>
      <name val="Arial"/>
      <family val="2"/>
    </font>
    <font>
      <sz val="11"/>
      <color rgb="FFC00000"/>
      <name val="Calibri"/>
      <family val="2"/>
    </font>
    <font>
      <sz val="11"/>
      <color rgb="FFED7D31"/>
      <name val="Calibri"/>
      <family val="2"/>
    </font>
    <font>
      <b/>
      <sz val="11"/>
      <color rgb="FF1F4E79"/>
      <name val="Calibri"/>
      <family val="2"/>
    </font>
    <font>
      <sz val="9"/>
      <color rgb="FF808080"/>
      <name val="Calibri"/>
      <family val="2"/>
    </font>
    <font>
      <i/>
      <sz val="11"/>
      <color rgb="FFFFFFFF"/>
      <name val="Calibri"/>
      <family val="2"/>
    </font>
    <font>
      <b/>
      <i/>
      <sz val="11"/>
      <color rgb="FFFFFFFF"/>
      <name val="Calibri"/>
      <family val="2"/>
      <charset val="1"/>
    </font>
    <font>
      <sz val="11"/>
      <color rgb="FF0000FF"/>
      <name val="Calibri"/>
      <family val="2"/>
    </font>
    <font>
      <sz val="9"/>
      <color rgb="FF595959"/>
      <name val="Calibri"/>
      <family val="2"/>
      <charset val="1"/>
    </font>
    <font>
      <sz val="11"/>
      <color rgb="FF000000"/>
      <name val="Calibri"/>
      <family val="2"/>
    </font>
    <font>
      <i/>
      <sz val="11"/>
      <color theme="1"/>
      <name val="Calibri"/>
    </font>
    <font>
      <i/>
      <sz val="11"/>
      <color rgb="FF808080"/>
      <name val="Calibri"/>
      <family val="2"/>
      <charset val="1"/>
    </font>
    <font>
      <sz val="9"/>
      <color theme="1"/>
      <name val="Calibri"/>
      <family val="2"/>
      <charset val="1"/>
    </font>
    <font>
      <b/>
      <sz val="11"/>
      <color theme="0"/>
      <name val="Calibri"/>
      <family val="2"/>
      <charset val="1"/>
    </font>
    <font>
      <i/>
      <sz val="9"/>
      <color rgb="FF595959"/>
      <name val="Calibri"/>
      <family val="2"/>
    </font>
    <font>
      <b/>
      <i/>
      <sz val="9"/>
      <color theme="0"/>
      <name val="Calibri"/>
      <family val="2"/>
    </font>
    <font>
      <sz val="11"/>
      <name val="Calibri"/>
      <family val="2"/>
      <charset val="1"/>
    </font>
    <font>
      <b/>
      <sz val="11"/>
      <name val="Calibri"/>
      <family val="2"/>
      <charset val="1"/>
    </font>
    <font>
      <b/>
      <sz val="11"/>
      <color rgb="FFFFFFFF"/>
      <name val="Calibri"/>
    </font>
    <font>
      <b/>
      <sz val="10"/>
      <color rgb="FFFFFFFF"/>
      <name val="Calibri"/>
    </font>
    <font>
      <sz val="10"/>
      <color rgb="FF000000"/>
      <name val="Calibri"/>
    </font>
    <font>
      <b/>
      <sz val="10"/>
      <color rgb="FF000000"/>
      <name val="Calibri"/>
    </font>
    <font>
      <b/>
      <sz val="11"/>
      <color rgb="FFFF0000"/>
      <name val="Calibri"/>
      <family val="2"/>
      <charset val="1"/>
    </font>
    <font>
      <b/>
      <i/>
      <sz val="9"/>
      <color rgb="FF808080"/>
      <name val="Calibri"/>
      <family val="2"/>
      <charset val="1"/>
    </font>
    <font>
      <b/>
      <sz val="11"/>
      <color rgb="FF008000"/>
      <name val="Calibri"/>
      <family val="2"/>
      <charset val="1"/>
    </font>
    <font>
      <i/>
      <sz val="9"/>
      <color rgb="FF008000"/>
      <name val="Calibri"/>
      <family val="2"/>
    </font>
    <font>
      <sz val="9"/>
      <color rgb="FF008000"/>
      <name val="Calibri"/>
      <family val="2"/>
    </font>
    <font>
      <sz val="10"/>
      <color rgb="FF0000FF"/>
      <name val="Calibri"/>
      <family val="2"/>
    </font>
    <font>
      <sz val="10"/>
      <color rgb="FF000000"/>
      <name val="Calibri"/>
      <family val="2"/>
    </font>
    <font>
      <b/>
      <sz val="10"/>
      <color rgb="FF0000FF"/>
      <name val="Calibri"/>
      <family val="2"/>
    </font>
    <font>
      <b/>
      <sz val="10"/>
      <color rgb="FF000000"/>
      <name val="Calibri"/>
      <family val="2"/>
    </font>
    <font>
      <sz val="11"/>
      <color rgb="FF000000"/>
      <name val="Arial"/>
      <family val="2"/>
    </font>
    <font>
      <i/>
      <sz val="9"/>
      <color rgb="FFC00000"/>
      <name val="Calibri"/>
      <family val="2"/>
    </font>
    <font>
      <i/>
      <sz val="9"/>
      <color rgb="FFED7D31"/>
      <name val="Calibri"/>
      <family val="2"/>
    </font>
    <font>
      <b/>
      <i/>
      <sz val="11"/>
      <color rgb="FF0000FF"/>
      <name val="Calibri"/>
      <family val="2"/>
    </font>
    <font>
      <i/>
      <sz val="9"/>
      <color theme="1" tint="0.249977111117893"/>
      <name val="Calibri"/>
      <family val="2"/>
      <charset val="1"/>
    </font>
    <font>
      <i/>
      <sz val="9"/>
      <color theme="1" tint="0.249977111117893"/>
      <name val="Calibri"/>
      <family val="2"/>
    </font>
    <font>
      <b/>
      <i/>
      <sz val="8"/>
      <color theme="1" tint="0.249977111117893"/>
      <name val="Calibri"/>
      <family val="2"/>
    </font>
    <font>
      <sz val="9"/>
      <color theme="1" tint="0.249977111117893"/>
      <name val="Calibri"/>
      <family val="2"/>
    </font>
    <font>
      <sz val="11"/>
      <color theme="1" tint="0.249977111117893"/>
      <name val="Calibri"/>
      <family val="2"/>
    </font>
    <font>
      <i/>
      <sz val="11"/>
      <color theme="1" tint="0.249977111117893"/>
      <name val="Calibri"/>
      <family val="2"/>
    </font>
    <font>
      <i/>
      <sz val="8"/>
      <color theme="1" tint="0.249977111117893"/>
      <name val="Calibri"/>
      <family val="2"/>
      <charset val="1"/>
    </font>
  </fonts>
  <fills count="1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0D0D0D"/>
        <bgColor indexed="64"/>
      </patternFill>
    </fill>
    <fill>
      <patternFill patternType="solid">
        <fgColor rgb="FF404040"/>
        <bgColor indexed="64"/>
      </patternFill>
    </fill>
    <fill>
      <patternFill patternType="solid">
        <fgColor rgb="FF808080"/>
        <bgColor indexed="64"/>
      </patternFill>
    </fill>
  </fills>
  <borders count="1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/>
      <right/>
      <top style="thick">
        <color rgb="FF000000"/>
      </top>
      <bottom/>
      <diagonal/>
    </border>
    <border>
      <left/>
      <right/>
      <top/>
      <bottom style="thick">
        <color rgb="FF000000"/>
      </bottom>
      <diagonal/>
    </border>
    <border>
      <left/>
      <right/>
      <top/>
      <bottom style="thin">
        <color rgb="FF1F4E79"/>
      </bottom>
      <diagonal/>
    </border>
    <border>
      <left/>
      <right/>
      <top style="thin">
        <color rgb="FFD9D9D9"/>
      </top>
      <bottom style="thick">
        <color indexed="64"/>
      </bottom>
      <diagonal/>
    </border>
    <border>
      <left/>
      <right/>
      <top/>
      <bottom style="thin">
        <color rgb="FFD9D9D9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C0C0C0"/>
      </right>
      <top/>
      <bottom/>
      <diagonal/>
    </border>
    <border>
      <left/>
      <right style="thin">
        <color rgb="FFC0C0C0"/>
      </right>
      <top/>
      <bottom style="thick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</borders>
  <cellStyleXfs count="3">
    <xf numFmtId="0" fontId="0" fillId="0" borderId="0"/>
    <xf numFmtId="9" fontId="1" fillId="0" borderId="0" applyBorder="0" applyAlignment="0" applyProtection="0"/>
    <xf numFmtId="164" fontId="2" fillId="0" borderId="0" applyFont="0" applyFill="0" applyBorder="0" applyAlignment="0" applyProtection="0"/>
  </cellStyleXfs>
  <cellXfs count="544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0" xfId="0" applyFont="1"/>
    <xf numFmtId="0" fontId="12" fillId="0" borderId="0" xfId="0" applyFont="1"/>
    <xf numFmtId="165" fontId="0" fillId="0" borderId="0" xfId="0" applyNumberFormat="1"/>
    <xf numFmtId="168" fontId="10" fillId="7" borderId="1" xfId="0" applyNumberFormat="1" applyFont="1" applyFill="1" applyBorder="1"/>
    <xf numFmtId="165" fontId="7" fillId="0" borderId="0" xfId="0" applyNumberFormat="1" applyFont="1"/>
    <xf numFmtId="165" fontId="8" fillId="0" borderId="0" xfId="0" applyNumberFormat="1" applyFont="1"/>
    <xf numFmtId="172" fontId="0" fillId="0" borderId="0" xfId="0" applyNumberFormat="1"/>
    <xf numFmtId="169" fontId="9" fillId="0" borderId="0" xfId="0" applyNumberFormat="1" applyFont="1"/>
    <xf numFmtId="168" fontId="9" fillId="0" borderId="0" xfId="0" applyNumberFormat="1" applyFont="1"/>
    <xf numFmtId="169" fontId="7" fillId="0" borderId="0" xfId="0" applyNumberFormat="1" applyFont="1"/>
    <xf numFmtId="2" fontId="7" fillId="0" borderId="0" xfId="0" applyNumberFormat="1" applyFont="1"/>
    <xf numFmtId="0" fontId="3" fillId="3" borderId="0" xfId="0" applyFont="1" applyFill="1" applyAlignment="1">
      <alignment horizontal="right"/>
    </xf>
    <xf numFmtId="0" fontId="0" fillId="0" borderId="0" xfId="0" applyAlignment="1">
      <alignment horizontal="right"/>
    </xf>
    <xf numFmtId="165" fontId="7" fillId="0" borderId="0" xfId="0" applyNumberFormat="1" applyFont="1" applyAlignment="1">
      <alignment horizontal="right"/>
    </xf>
    <xf numFmtId="165" fontId="7" fillId="0" borderId="3" xfId="0" applyNumberFormat="1" applyFont="1" applyBorder="1" applyAlignment="1">
      <alignment horizontal="right"/>
    </xf>
    <xf numFmtId="0" fontId="0" fillId="0" borderId="3" xfId="0" applyBorder="1" applyAlignment="1">
      <alignment horizontal="right"/>
    </xf>
    <xf numFmtId="2" fontId="7" fillId="0" borderId="0" xfId="0" applyNumberFormat="1" applyFont="1" applyAlignment="1">
      <alignment horizontal="right"/>
    </xf>
    <xf numFmtId="2" fontId="0" fillId="0" borderId="0" xfId="0" applyNumberFormat="1" applyAlignment="1">
      <alignment horizontal="right"/>
    </xf>
    <xf numFmtId="165" fontId="0" fillId="0" borderId="0" xfId="0" applyNumberFormat="1" applyAlignment="1">
      <alignment horizontal="right"/>
    </xf>
    <xf numFmtId="0" fontId="3" fillId="0" borderId="0" xfId="0" applyFont="1" applyAlignment="1">
      <alignment horizontal="right"/>
    </xf>
    <xf numFmtId="0" fontId="5" fillId="0" borderId="3" xfId="0" applyFont="1" applyBorder="1" applyAlignment="1">
      <alignment horizontal="right"/>
    </xf>
    <xf numFmtId="2" fontId="8" fillId="0" borderId="0" xfId="0" applyNumberFormat="1" applyFont="1" applyAlignment="1">
      <alignment horizontal="right"/>
    </xf>
    <xf numFmtId="10" fontId="8" fillId="0" borderId="3" xfId="0" applyNumberFormat="1" applyFont="1" applyBorder="1" applyAlignment="1">
      <alignment horizontal="right"/>
    </xf>
    <xf numFmtId="2" fontId="8" fillId="0" borderId="3" xfId="0" applyNumberFormat="1" applyFont="1" applyBorder="1" applyAlignment="1">
      <alignment horizontal="right"/>
    </xf>
    <xf numFmtId="0" fontId="0" fillId="0" borderId="0" xfId="0" applyAlignment="1">
      <alignment horizontal="left"/>
    </xf>
    <xf numFmtId="172" fontId="0" fillId="0" borderId="0" xfId="0" applyNumberFormat="1" applyAlignment="1">
      <alignment horizontal="left"/>
    </xf>
    <xf numFmtId="165" fontId="8" fillId="0" borderId="0" xfId="0" applyNumberFormat="1" applyFont="1" applyAlignment="1">
      <alignment horizontal="right"/>
    </xf>
    <xf numFmtId="0" fontId="7" fillId="0" borderId="0" xfId="0" applyFont="1" applyAlignment="1">
      <alignment horizontal="right"/>
    </xf>
    <xf numFmtId="172" fontId="7" fillId="4" borderId="0" xfId="0" applyNumberFormat="1" applyFont="1" applyFill="1" applyAlignment="1">
      <alignment horizontal="right"/>
    </xf>
    <xf numFmtId="172" fontId="0" fillId="0" borderId="0" xfId="0" applyNumberFormat="1" applyAlignment="1">
      <alignment horizontal="right"/>
    </xf>
    <xf numFmtId="165" fontId="0" fillId="4" borderId="0" xfId="0" applyNumberFormat="1" applyFill="1" applyAlignment="1">
      <alignment horizontal="right"/>
    </xf>
    <xf numFmtId="173" fontId="7" fillId="0" borderId="0" xfId="0" applyNumberFormat="1" applyFont="1" applyAlignment="1">
      <alignment horizontal="right"/>
    </xf>
    <xf numFmtId="175" fontId="7" fillId="0" borderId="0" xfId="0" applyNumberFormat="1" applyFont="1" applyAlignment="1">
      <alignment horizontal="right"/>
    </xf>
    <xf numFmtId="165" fontId="0" fillId="0" borderId="3" xfId="0" applyNumberFormat="1" applyBorder="1" applyAlignment="1">
      <alignment horizontal="right"/>
    </xf>
    <xf numFmtId="166" fontId="7" fillId="0" borderId="0" xfId="0" applyNumberFormat="1" applyFont="1" applyAlignment="1">
      <alignment horizontal="right"/>
    </xf>
    <xf numFmtId="169" fontId="0" fillId="0" borderId="0" xfId="0" applyNumberFormat="1" applyAlignment="1">
      <alignment horizontal="right"/>
    </xf>
    <xf numFmtId="169" fontId="7" fillId="0" borderId="0" xfId="0" applyNumberFormat="1" applyFont="1" applyAlignment="1">
      <alignment horizontal="right"/>
    </xf>
    <xf numFmtId="10" fontId="7" fillId="0" borderId="3" xfId="0" applyNumberFormat="1" applyFont="1" applyBorder="1" applyAlignment="1">
      <alignment horizontal="right"/>
    </xf>
    <xf numFmtId="0" fontId="6" fillId="2" borderId="0" xfId="0" applyFont="1" applyFill="1" applyAlignment="1">
      <alignment horizontal="right"/>
    </xf>
    <xf numFmtId="0" fontId="3" fillId="2" borderId="0" xfId="0" applyFont="1" applyFill="1" applyAlignment="1">
      <alignment horizontal="right"/>
    </xf>
    <xf numFmtId="177" fontId="7" fillId="0" borderId="0" xfId="0" applyNumberFormat="1" applyFont="1" applyAlignment="1">
      <alignment horizontal="right"/>
    </xf>
    <xf numFmtId="3" fontId="7" fillId="0" borderId="0" xfId="0" applyNumberFormat="1" applyFont="1" applyAlignment="1">
      <alignment horizontal="right"/>
    </xf>
    <xf numFmtId="0" fontId="11" fillId="0" borderId="0" xfId="0" applyFont="1" applyAlignment="1">
      <alignment horizontal="right"/>
    </xf>
    <xf numFmtId="172" fontId="9" fillId="0" borderId="0" xfId="0" applyNumberFormat="1" applyFont="1" applyAlignment="1">
      <alignment horizontal="right"/>
    </xf>
    <xf numFmtId="172" fontId="7" fillId="0" borderId="0" xfId="0" applyNumberFormat="1" applyFont="1" applyAlignment="1">
      <alignment horizontal="right"/>
    </xf>
    <xf numFmtId="3" fontId="9" fillId="0" borderId="0" xfId="0" applyNumberFormat="1" applyFont="1"/>
    <xf numFmtId="172" fontId="9" fillId="4" borderId="0" xfId="0" applyNumberFormat="1" applyFont="1" applyFill="1" applyAlignment="1">
      <alignment horizontal="right"/>
    </xf>
    <xf numFmtId="165" fontId="8" fillId="4" borderId="0" xfId="0" applyNumberFormat="1" applyFont="1" applyFill="1" applyAlignment="1">
      <alignment horizontal="right"/>
    </xf>
    <xf numFmtId="172" fontId="8" fillId="4" borderId="0" xfId="0" applyNumberFormat="1" applyFont="1" applyFill="1" applyAlignment="1">
      <alignment horizontal="right"/>
    </xf>
    <xf numFmtId="178" fontId="8" fillId="0" borderId="0" xfId="0" applyNumberFormat="1" applyFont="1" applyAlignment="1">
      <alignment horizontal="right"/>
    </xf>
    <xf numFmtId="169" fontId="9" fillId="0" borderId="0" xfId="0" applyNumberFormat="1" applyFont="1" applyAlignment="1">
      <alignment horizontal="right"/>
    </xf>
    <xf numFmtId="175" fontId="0" fillId="0" borderId="0" xfId="0" applyNumberFormat="1" applyAlignment="1">
      <alignment horizontal="right"/>
    </xf>
    <xf numFmtId="0" fontId="27" fillId="0" borderId="0" xfId="0" applyFont="1" applyAlignment="1">
      <alignment horizontal="right"/>
    </xf>
    <xf numFmtId="167" fontId="7" fillId="0" borderId="0" xfId="2" applyNumberFormat="1" applyFont="1"/>
    <xf numFmtId="0" fontId="28" fillId="0" borderId="0" xfId="0" applyFont="1"/>
    <xf numFmtId="0" fontId="29" fillId="0" borderId="0" xfId="0" applyFont="1"/>
    <xf numFmtId="178" fontId="9" fillId="0" borderId="0" xfId="0" applyNumberFormat="1" applyFont="1" applyAlignment="1">
      <alignment horizontal="right"/>
    </xf>
    <xf numFmtId="178" fontId="9" fillId="0" borderId="0" xfId="0" applyNumberFormat="1" applyFont="1"/>
    <xf numFmtId="175" fontId="8" fillId="0" borderId="0" xfId="0" applyNumberFormat="1" applyFont="1"/>
    <xf numFmtId="175" fontId="8" fillId="0" borderId="0" xfId="0" applyNumberFormat="1" applyFont="1" applyAlignment="1">
      <alignment horizontal="right"/>
    </xf>
    <xf numFmtId="1" fontId="7" fillId="0" borderId="0" xfId="0" applyNumberFormat="1" applyFont="1" applyAlignment="1">
      <alignment horizontal="right"/>
    </xf>
    <xf numFmtId="3" fontId="8" fillId="0" borderId="0" xfId="0" applyNumberFormat="1" applyFont="1" applyAlignment="1">
      <alignment horizontal="right"/>
    </xf>
    <xf numFmtId="0" fontId="31" fillId="0" borderId="0" xfId="0" applyFont="1"/>
    <xf numFmtId="9" fontId="7" fillId="0" borderId="0" xfId="0" applyNumberFormat="1" applyFont="1" applyAlignment="1">
      <alignment horizontal="right"/>
    </xf>
    <xf numFmtId="169" fontId="8" fillId="0" borderId="0" xfId="0" applyNumberFormat="1" applyFont="1" applyAlignment="1">
      <alignment horizontal="right"/>
    </xf>
    <xf numFmtId="173" fontId="8" fillId="0" borderId="0" xfId="0" applyNumberFormat="1" applyFont="1" applyAlignment="1">
      <alignment horizontal="right"/>
    </xf>
    <xf numFmtId="1" fontId="8" fillId="0" borderId="0" xfId="0" applyNumberFormat="1" applyFont="1" applyAlignment="1">
      <alignment horizontal="right"/>
    </xf>
    <xf numFmtId="0" fontId="34" fillId="0" borderId="0" xfId="0" applyFont="1"/>
    <xf numFmtId="179" fontId="7" fillId="0" borderId="0" xfId="0" applyNumberFormat="1" applyFont="1" applyAlignment="1">
      <alignment horizontal="right"/>
    </xf>
    <xf numFmtId="179" fontId="22" fillId="0" borderId="0" xfId="0" applyNumberFormat="1" applyFont="1" applyAlignment="1">
      <alignment horizontal="right"/>
    </xf>
    <xf numFmtId="165" fontId="33" fillId="0" borderId="0" xfId="0" applyNumberFormat="1" applyFont="1" applyAlignment="1">
      <alignment horizontal="right"/>
    </xf>
    <xf numFmtId="165" fontId="4" fillId="0" borderId="0" xfId="0" applyNumberFormat="1" applyFont="1" applyAlignment="1">
      <alignment horizontal="right"/>
    </xf>
    <xf numFmtId="179" fontId="3" fillId="0" borderId="0" xfId="0" applyNumberFormat="1" applyFont="1" applyAlignment="1">
      <alignment horizontal="right"/>
    </xf>
    <xf numFmtId="3" fontId="3" fillId="0" borderId="0" xfId="0" applyNumberFormat="1" applyFont="1" applyAlignment="1">
      <alignment horizontal="right"/>
    </xf>
    <xf numFmtId="3" fontId="10" fillId="0" borderId="0" xfId="0" applyNumberFormat="1" applyFont="1" applyAlignment="1">
      <alignment horizontal="right"/>
    </xf>
    <xf numFmtId="172" fontId="8" fillId="0" borderId="0" xfId="0" applyNumberFormat="1" applyFont="1" applyAlignment="1">
      <alignment horizontal="right"/>
    </xf>
    <xf numFmtId="175" fontId="9" fillId="0" borderId="0" xfId="0" applyNumberFormat="1" applyFont="1" applyAlignment="1">
      <alignment horizontal="right"/>
    </xf>
    <xf numFmtId="0" fontId="35" fillId="0" borderId="0" xfId="0" applyFont="1"/>
    <xf numFmtId="0" fontId="39" fillId="0" borderId="0" xfId="0" applyFont="1"/>
    <xf numFmtId="0" fontId="0" fillId="2" borderId="0" xfId="0" applyFill="1"/>
    <xf numFmtId="0" fontId="40" fillId="0" borderId="0" xfId="0" applyFont="1"/>
    <xf numFmtId="0" fontId="22" fillId="0" borderId="0" xfId="0" applyFont="1" applyAlignment="1">
      <alignment horizontal="right"/>
    </xf>
    <xf numFmtId="0" fontId="22" fillId="0" borderId="0" xfId="0" applyFont="1"/>
    <xf numFmtId="174" fontId="22" fillId="0" borderId="0" xfId="0" applyNumberFormat="1" applyFont="1" applyAlignment="1">
      <alignment horizontal="right"/>
    </xf>
    <xf numFmtId="0" fontId="0" fillId="9" borderId="0" xfId="0" applyFill="1"/>
    <xf numFmtId="0" fontId="0" fillId="10" borderId="0" xfId="0" applyFill="1"/>
    <xf numFmtId="0" fontId="35" fillId="10" borderId="0" xfId="0" applyFont="1" applyFill="1"/>
    <xf numFmtId="0" fontId="35" fillId="2" borderId="0" xfId="0" applyFont="1" applyFill="1"/>
    <xf numFmtId="0" fontId="45" fillId="14" borderId="0" xfId="0" applyFont="1" applyFill="1"/>
    <xf numFmtId="0" fontId="6" fillId="14" borderId="0" xfId="0" applyFont="1" applyFill="1"/>
    <xf numFmtId="0" fontId="6" fillId="15" borderId="0" xfId="0" applyFont="1" applyFill="1"/>
    <xf numFmtId="0" fontId="6" fillId="15" borderId="0" xfId="0" applyFont="1" applyFill="1" applyAlignment="1">
      <alignment horizontal="right"/>
    </xf>
    <xf numFmtId="0" fontId="6" fillId="16" borderId="0" xfId="0" applyFont="1" applyFill="1"/>
    <xf numFmtId="0" fontId="49" fillId="0" borderId="0" xfId="0" applyFont="1" applyAlignment="1">
      <alignment vertical="center"/>
    </xf>
    <xf numFmtId="0" fontId="6" fillId="14" borderId="4" xfId="0" applyFont="1" applyFill="1" applyBorder="1" applyAlignment="1">
      <alignment horizontal="left"/>
    </xf>
    <xf numFmtId="0" fontId="6" fillId="14" borderId="4" xfId="0" applyFont="1" applyFill="1" applyBorder="1"/>
    <xf numFmtId="0" fontId="6" fillId="15" borderId="0" xfId="0" applyFont="1" applyFill="1" applyAlignment="1">
      <alignment horizontal="left"/>
    </xf>
    <xf numFmtId="0" fontId="45" fillId="16" borderId="0" xfId="0" applyFont="1" applyFill="1" applyAlignment="1">
      <alignment horizontal="right"/>
    </xf>
    <xf numFmtId="0" fontId="45" fillId="16" borderId="0" xfId="0" applyFont="1" applyFill="1"/>
    <xf numFmtId="0" fontId="6" fillId="14" borderId="0" xfId="0" applyFont="1" applyFill="1" applyAlignment="1">
      <alignment horizontal="right"/>
    </xf>
    <xf numFmtId="172" fontId="6" fillId="14" borderId="0" xfId="0" applyNumberFormat="1" applyFont="1" applyFill="1" applyAlignment="1">
      <alignment horizontal="right"/>
    </xf>
    <xf numFmtId="173" fontId="6" fillId="14" borderId="0" xfId="0" applyNumberFormat="1" applyFont="1" applyFill="1" applyAlignment="1">
      <alignment horizontal="right"/>
    </xf>
    <xf numFmtId="0" fontId="53" fillId="0" borderId="0" xfId="0" applyFont="1" applyAlignment="1">
      <alignment vertical="center"/>
    </xf>
    <xf numFmtId="0" fontId="45" fillId="14" borderId="0" xfId="0" applyFont="1" applyFill="1" applyAlignment="1">
      <alignment horizontal="right"/>
    </xf>
    <xf numFmtId="0" fontId="6" fillId="15" borderId="0" xfId="0" applyFont="1" applyFill="1" applyAlignment="1">
      <alignment horizontal="center"/>
    </xf>
    <xf numFmtId="0" fontId="57" fillId="10" borderId="0" xfId="0" applyFont="1" applyFill="1"/>
    <xf numFmtId="0" fontId="26" fillId="10" borderId="0" xfId="0" applyFont="1" applyFill="1"/>
    <xf numFmtId="0" fontId="26" fillId="0" borderId="0" xfId="0" applyFont="1"/>
    <xf numFmtId="0" fontId="58" fillId="0" borderId="0" xfId="0" applyFont="1"/>
    <xf numFmtId="0" fontId="57" fillId="2" borderId="0" xfId="0" applyFont="1" applyFill="1"/>
    <xf numFmtId="0" fontId="26" fillId="2" borderId="0" xfId="0" applyFont="1" applyFill="1"/>
    <xf numFmtId="0" fontId="43" fillId="11" borderId="0" xfId="0" applyFont="1" applyFill="1"/>
    <xf numFmtId="0" fontId="43" fillId="11" borderId="0" xfId="0" applyFont="1" applyFill="1" applyAlignment="1">
      <alignment horizontal="right"/>
    </xf>
    <xf numFmtId="0" fontId="43" fillId="11" borderId="0" xfId="0" applyFont="1" applyFill="1" applyAlignment="1">
      <alignment horizontal="left"/>
    </xf>
    <xf numFmtId="0" fontId="38" fillId="0" borderId="0" xfId="0" applyFont="1"/>
    <xf numFmtId="0" fontId="6" fillId="14" borderId="4" xfId="0" applyFont="1" applyFill="1" applyBorder="1" applyAlignment="1">
      <alignment horizontal="right"/>
    </xf>
    <xf numFmtId="0" fontId="6" fillId="14" borderId="2" xfId="0" applyFont="1" applyFill="1" applyBorder="1"/>
    <xf numFmtId="0" fontId="6" fillId="14" borderId="2" xfId="0" applyFont="1" applyFill="1" applyBorder="1" applyAlignment="1">
      <alignment horizontal="right"/>
    </xf>
    <xf numFmtId="0" fontId="3" fillId="8" borderId="0" xfId="0" applyFont="1" applyFill="1" applyAlignment="1">
      <alignment horizontal="right"/>
    </xf>
    <xf numFmtId="174" fontId="6" fillId="15" borderId="0" xfId="0" applyNumberFormat="1" applyFont="1" applyFill="1" applyAlignment="1">
      <alignment horizontal="right"/>
    </xf>
    <xf numFmtId="172" fontId="6" fillId="2" borderId="0" xfId="0" applyNumberFormat="1" applyFont="1" applyFill="1" applyAlignment="1">
      <alignment horizontal="right"/>
    </xf>
    <xf numFmtId="172" fontId="6" fillId="2" borderId="0" xfId="0" applyNumberFormat="1" applyFont="1" applyFill="1"/>
    <xf numFmtId="0" fontId="70" fillId="0" borderId="0" xfId="0" applyFont="1"/>
    <xf numFmtId="0" fontId="57" fillId="14" borderId="0" xfId="0" applyFont="1" applyFill="1"/>
    <xf numFmtId="182" fontId="71" fillId="0" borderId="0" xfId="0" applyNumberFormat="1" applyFont="1" applyAlignment="1">
      <alignment horizontal="right"/>
    </xf>
    <xf numFmtId="165" fontId="71" fillId="0" borderId="0" xfId="0" applyNumberFormat="1" applyFont="1" applyAlignment="1">
      <alignment horizontal="right"/>
    </xf>
    <xf numFmtId="0" fontId="71" fillId="0" borderId="0" xfId="0" applyFont="1"/>
    <xf numFmtId="165" fontId="69" fillId="0" borderId="0" xfId="0" applyNumberFormat="1" applyFont="1" applyAlignment="1">
      <alignment horizontal="right"/>
    </xf>
    <xf numFmtId="182" fontId="25" fillId="0" borderId="0" xfId="0" applyNumberFormat="1" applyFont="1" applyAlignment="1">
      <alignment horizontal="right"/>
    </xf>
    <xf numFmtId="0" fontId="61" fillId="0" borderId="0" xfId="0" applyFont="1" applyAlignment="1">
      <alignment horizontal="left"/>
    </xf>
    <xf numFmtId="0" fontId="72" fillId="0" borderId="0" xfId="0" applyFont="1"/>
    <xf numFmtId="0" fontId="45" fillId="15" borderId="0" xfId="0" applyFont="1" applyFill="1"/>
    <xf numFmtId="0" fontId="6" fillId="9" borderId="0" xfId="0" applyFont="1" applyFill="1"/>
    <xf numFmtId="184" fontId="8" fillId="0" borderId="0" xfId="0" applyNumberFormat="1" applyFont="1"/>
    <xf numFmtId="172" fontId="6" fillId="15" borderId="0" xfId="0" applyNumberFormat="1" applyFont="1" applyFill="1" applyAlignment="1">
      <alignment horizontal="right"/>
    </xf>
    <xf numFmtId="172" fontId="6" fillId="16" borderId="0" xfId="0" applyNumberFormat="1" applyFont="1" applyFill="1" applyAlignment="1">
      <alignment horizontal="right"/>
    </xf>
    <xf numFmtId="172" fontId="45" fillId="16" borderId="0" xfId="0" applyNumberFormat="1" applyFont="1" applyFill="1"/>
    <xf numFmtId="172" fontId="45" fillId="16" borderId="0" xfId="0" applyNumberFormat="1" applyFont="1" applyFill="1" applyAlignment="1">
      <alignment horizontal="right"/>
    </xf>
    <xf numFmtId="172" fontId="6" fillId="15" borderId="0" xfId="0" applyNumberFormat="1" applyFont="1" applyFill="1"/>
    <xf numFmtId="0" fontId="6" fillId="10" borderId="2" xfId="0" applyFont="1" applyFill="1" applyBorder="1" applyAlignment="1">
      <alignment horizontal="right"/>
    </xf>
    <xf numFmtId="0" fontId="6" fillId="2" borderId="0" xfId="0" applyFont="1" applyFill="1"/>
    <xf numFmtId="0" fontId="6" fillId="9" borderId="0" xfId="0" applyFont="1" applyFill="1" applyAlignment="1">
      <alignment horizontal="right"/>
    </xf>
    <xf numFmtId="0" fontId="30" fillId="0" borderId="0" xfId="0" applyFont="1" applyAlignment="1">
      <alignment horizontal="left"/>
    </xf>
    <xf numFmtId="0" fontId="40" fillId="11" borderId="0" xfId="0" applyFont="1" applyFill="1"/>
    <xf numFmtId="0" fontId="69" fillId="0" borderId="0" xfId="0" applyFont="1"/>
    <xf numFmtId="172" fontId="71" fillId="0" borderId="0" xfId="0" applyNumberFormat="1" applyFont="1"/>
    <xf numFmtId="0" fontId="45" fillId="2" borderId="0" xfId="0" applyFont="1" applyFill="1"/>
    <xf numFmtId="0" fontId="6" fillId="9" borderId="2" xfId="0" applyFont="1" applyFill="1" applyBorder="1"/>
    <xf numFmtId="0" fontId="76" fillId="0" borderId="0" xfId="0" applyFont="1"/>
    <xf numFmtId="0" fontId="30" fillId="0" borderId="3" xfId="0" applyFont="1" applyBorder="1"/>
    <xf numFmtId="0" fontId="76" fillId="0" borderId="3" xfId="0" applyFont="1" applyBorder="1"/>
    <xf numFmtId="0" fontId="3" fillId="9" borderId="2" xfId="0" applyFont="1" applyFill="1" applyBorder="1"/>
    <xf numFmtId="0" fontId="77" fillId="12" borderId="3" xfId="0" applyFont="1" applyFill="1" applyBorder="1"/>
    <xf numFmtId="10" fontId="0" fillId="0" borderId="0" xfId="0" applyNumberFormat="1"/>
    <xf numFmtId="10" fontId="0" fillId="0" borderId="3" xfId="0" applyNumberFormat="1" applyBorder="1"/>
    <xf numFmtId="175" fontId="26" fillId="0" borderId="0" xfId="0" applyNumberFormat="1" applyFont="1" applyAlignment="1">
      <alignment horizontal="right"/>
    </xf>
    <xf numFmtId="0" fontId="57" fillId="10" borderId="6" xfId="0" applyFont="1" applyFill="1" applyBorder="1"/>
    <xf numFmtId="0" fontId="26" fillId="10" borderId="6" xfId="0" applyFont="1" applyFill="1" applyBorder="1"/>
    <xf numFmtId="0" fontId="35" fillId="10" borderId="6" xfId="0" applyFont="1" applyFill="1" applyBorder="1"/>
    <xf numFmtId="0" fontId="26" fillId="0" borderId="3" xfId="0" applyFont="1" applyBorder="1"/>
    <xf numFmtId="0" fontId="35" fillId="0" borderId="3" xfId="0" applyFont="1" applyBorder="1"/>
    <xf numFmtId="0" fontId="0" fillId="0" borderId="3" xfId="0" applyBorder="1"/>
    <xf numFmtId="0" fontId="43" fillId="12" borderId="7" xfId="0" applyFont="1" applyFill="1" applyBorder="1"/>
    <xf numFmtId="169" fontId="43" fillId="12" borderId="7" xfId="0" applyNumberFormat="1" applyFont="1" applyFill="1" applyBorder="1" applyAlignment="1">
      <alignment horizontal="right"/>
    </xf>
    <xf numFmtId="165" fontId="43" fillId="12" borderId="7" xfId="0" applyNumberFormat="1" applyFont="1" applyFill="1" applyBorder="1" applyAlignment="1">
      <alignment horizontal="right"/>
    </xf>
    <xf numFmtId="0" fontId="42" fillId="12" borderId="7" xfId="0" applyFont="1" applyFill="1" applyBorder="1"/>
    <xf numFmtId="0" fontId="3" fillId="0" borderId="3" xfId="0" applyFont="1" applyBorder="1"/>
    <xf numFmtId="0" fontId="6" fillId="16" borderId="3" xfId="0" applyFont="1" applyFill="1" applyBorder="1"/>
    <xf numFmtId="176" fontId="6" fillId="16" borderId="3" xfId="0" applyNumberFormat="1" applyFont="1" applyFill="1" applyBorder="1" applyAlignment="1">
      <alignment horizontal="right"/>
    </xf>
    <xf numFmtId="176" fontId="47" fillId="16" borderId="3" xfId="0" applyNumberFormat="1" applyFont="1" applyFill="1" applyBorder="1" applyAlignment="1">
      <alignment horizontal="right"/>
    </xf>
    <xf numFmtId="176" fontId="67" fillId="16" borderId="3" xfId="0" applyNumberFormat="1" applyFont="1" applyFill="1" applyBorder="1" applyAlignment="1">
      <alignment horizontal="right"/>
    </xf>
    <xf numFmtId="176" fontId="48" fillId="16" borderId="3" xfId="0" applyNumberFormat="1" applyFont="1" applyFill="1" applyBorder="1" applyAlignment="1">
      <alignment horizontal="left"/>
    </xf>
    <xf numFmtId="176" fontId="3" fillId="12" borderId="3" xfId="0" applyNumberFormat="1" applyFont="1" applyFill="1" applyBorder="1" applyAlignment="1">
      <alignment horizontal="right"/>
    </xf>
    <xf numFmtId="0" fontId="57" fillId="16" borderId="3" xfId="0" applyFont="1" applyFill="1" applyBorder="1"/>
    <xf numFmtId="176" fontId="57" fillId="16" borderId="3" xfId="0" applyNumberFormat="1" applyFont="1" applyFill="1" applyBorder="1" applyAlignment="1">
      <alignment horizontal="right"/>
    </xf>
    <xf numFmtId="176" fontId="6" fillId="16" borderId="3" xfId="0" applyNumberFormat="1" applyFont="1" applyFill="1" applyBorder="1" applyAlignment="1">
      <alignment horizontal="left"/>
    </xf>
    <xf numFmtId="176" fontId="3" fillId="12" borderId="3" xfId="0" applyNumberFormat="1" applyFont="1" applyFill="1" applyBorder="1" applyAlignment="1">
      <alignment horizontal="left"/>
    </xf>
    <xf numFmtId="0" fontId="74" fillId="0" borderId="3" xfId="0" applyFont="1" applyBorder="1" applyAlignment="1">
      <alignment horizontal="left"/>
    </xf>
    <xf numFmtId="176" fontId="57" fillId="16" borderId="3" xfId="0" applyNumberFormat="1" applyFont="1" applyFill="1" applyBorder="1" applyAlignment="1">
      <alignment horizontal="left"/>
    </xf>
    <xf numFmtId="176" fontId="23" fillId="12" borderId="3" xfId="0" applyNumberFormat="1" applyFont="1" applyFill="1" applyBorder="1" applyAlignment="1">
      <alignment horizontal="left"/>
    </xf>
    <xf numFmtId="0" fontId="29" fillId="0" borderId="3" xfId="0" applyFont="1" applyBorder="1" applyAlignment="1">
      <alignment horizontal="right"/>
    </xf>
    <xf numFmtId="0" fontId="47" fillId="2" borderId="0" xfId="0" applyFont="1" applyFill="1" applyAlignment="1">
      <alignment horizontal="right"/>
    </xf>
    <xf numFmtId="0" fontId="47" fillId="2" borderId="0" xfId="0" applyFont="1" applyFill="1" applyAlignment="1">
      <alignment horizontal="left"/>
    </xf>
    <xf numFmtId="0" fontId="57" fillId="15" borderId="0" xfId="0" applyFont="1" applyFill="1"/>
    <xf numFmtId="0" fontId="57" fillId="15" borderId="0" xfId="0" applyFont="1" applyFill="1" applyAlignment="1">
      <alignment horizontal="right"/>
    </xf>
    <xf numFmtId="0" fontId="51" fillId="15" borderId="0" xfId="0" applyFont="1" applyFill="1" applyAlignment="1">
      <alignment horizontal="right"/>
    </xf>
    <xf numFmtId="0" fontId="57" fillId="15" borderId="0" xfId="0" applyFont="1" applyFill="1" applyAlignment="1">
      <alignment horizontal="left"/>
    </xf>
    <xf numFmtId="0" fontId="23" fillId="11" borderId="0" xfId="0" applyFont="1" applyFill="1"/>
    <xf numFmtId="0" fontId="29" fillId="0" borderId="0" xfId="0" applyFont="1" applyAlignment="1">
      <alignment horizontal="left"/>
    </xf>
    <xf numFmtId="0" fontId="29" fillId="0" borderId="0" xfId="0" applyFont="1" applyAlignment="1">
      <alignment horizontal="right"/>
    </xf>
    <xf numFmtId="0" fontId="6" fillId="2" borderId="0" xfId="0" applyFont="1" applyFill="1" applyAlignment="1">
      <alignment horizontal="left"/>
    </xf>
    <xf numFmtId="0" fontId="5" fillId="0" borderId="0" xfId="0" applyFont="1" applyAlignment="1">
      <alignment horizontal="left"/>
    </xf>
    <xf numFmtId="165" fontId="6" fillId="16" borderId="7" xfId="0" applyNumberFormat="1" applyFont="1" applyFill="1" applyBorder="1" applyAlignment="1">
      <alignment horizontal="right"/>
    </xf>
    <xf numFmtId="0" fontId="6" fillId="16" borderId="7" xfId="0" applyFont="1" applyFill="1" applyBorder="1" applyAlignment="1">
      <alignment horizontal="right"/>
    </xf>
    <xf numFmtId="0" fontId="45" fillId="16" borderId="7" xfId="0" applyFont="1" applyFill="1" applyBorder="1"/>
    <xf numFmtId="0" fontId="45" fillId="12" borderId="5" xfId="0" applyFont="1" applyFill="1" applyBorder="1" applyAlignment="1">
      <alignment horizontal="right"/>
    </xf>
    <xf numFmtId="0" fontId="45" fillId="12" borderId="5" xfId="0" applyFont="1" applyFill="1" applyBorder="1"/>
    <xf numFmtId="176" fontId="6" fillId="16" borderId="0" xfId="0" applyNumberFormat="1" applyFont="1" applyFill="1" applyAlignment="1">
      <alignment horizontal="right"/>
    </xf>
    <xf numFmtId="0" fontId="6" fillId="16" borderId="7" xfId="0" applyFont="1" applyFill="1" applyBorder="1"/>
    <xf numFmtId="0" fontId="50" fillId="14" borderId="4" xfId="0" applyFont="1" applyFill="1" applyBorder="1"/>
    <xf numFmtId="0" fontId="50" fillId="2" borderId="0" xfId="0" applyFont="1" applyFill="1"/>
    <xf numFmtId="0" fontId="68" fillId="15" borderId="0" xfId="0" applyFont="1" applyFill="1"/>
    <xf numFmtId="0" fontId="6" fillId="12" borderId="5" xfId="0" applyFont="1" applyFill="1" applyBorder="1"/>
    <xf numFmtId="0" fontId="20" fillId="0" borderId="0" xfId="0" applyFont="1"/>
    <xf numFmtId="0" fontId="11" fillId="0" borderId="0" xfId="0" applyFont="1"/>
    <xf numFmtId="0" fontId="73" fillId="0" borderId="0" xfId="0" applyFont="1"/>
    <xf numFmtId="0" fontId="6" fillId="16" borderId="7" xfId="0" applyFont="1" applyFill="1" applyBorder="1" applyAlignment="1">
      <alignment horizontal="left"/>
    </xf>
    <xf numFmtId="169" fontId="0" fillId="5" borderId="3" xfId="0" applyNumberFormat="1" applyFill="1" applyBorder="1" applyAlignment="1">
      <alignment horizontal="right"/>
    </xf>
    <xf numFmtId="0" fontId="73" fillId="0" borderId="3" xfId="0" applyFont="1" applyBorder="1"/>
    <xf numFmtId="172" fontId="0" fillId="0" borderId="3" xfId="0" applyNumberFormat="1" applyBorder="1" applyAlignment="1">
      <alignment horizontal="right"/>
    </xf>
    <xf numFmtId="0" fontId="41" fillId="0" borderId="0" xfId="0" applyFont="1" applyAlignment="1">
      <alignment horizontal="right"/>
    </xf>
    <xf numFmtId="172" fontId="0" fillId="0" borderId="3" xfId="0" applyNumberFormat="1" applyBorder="1"/>
    <xf numFmtId="0" fontId="4" fillId="0" borderId="3" xfId="0" applyFont="1" applyBorder="1"/>
    <xf numFmtId="173" fontId="6" fillId="2" borderId="0" xfId="0" applyNumberFormat="1" applyFont="1" applyFill="1" applyAlignment="1">
      <alignment horizontal="right"/>
    </xf>
    <xf numFmtId="0" fontId="3" fillId="14" borderId="0" xfId="0" applyFont="1" applyFill="1" applyAlignment="1">
      <alignment horizontal="right"/>
    </xf>
    <xf numFmtId="172" fontId="6" fillId="9" borderId="0" xfId="0" applyNumberFormat="1" applyFont="1" applyFill="1" applyAlignment="1">
      <alignment horizontal="right"/>
    </xf>
    <xf numFmtId="172" fontId="6" fillId="14" borderId="0" xfId="0" applyNumberFormat="1" applyFont="1" applyFill="1"/>
    <xf numFmtId="172" fontId="6" fillId="9" borderId="0" xfId="0" applyNumberFormat="1" applyFont="1" applyFill="1"/>
    <xf numFmtId="10" fontId="78" fillId="0" borderId="0" xfId="0" applyNumberFormat="1" applyFont="1" applyAlignment="1">
      <alignment horizontal="right"/>
    </xf>
    <xf numFmtId="0" fontId="78" fillId="0" borderId="0" xfId="0" applyFont="1" applyAlignment="1">
      <alignment horizontal="right"/>
    </xf>
    <xf numFmtId="0" fontId="79" fillId="14" borderId="0" xfId="0" applyFont="1" applyFill="1" applyAlignment="1">
      <alignment horizontal="right"/>
    </xf>
    <xf numFmtId="0" fontId="51" fillId="16" borderId="7" xfId="0" applyFont="1" applyFill="1" applyBorder="1" applyAlignment="1">
      <alignment horizontal="right"/>
    </xf>
    <xf numFmtId="175" fontId="8" fillId="0" borderId="3" xfId="0" applyNumberFormat="1" applyFont="1" applyBorder="1" applyAlignment="1">
      <alignment horizontal="right"/>
    </xf>
    <xf numFmtId="3" fontId="8" fillId="0" borderId="3" xfId="0" applyNumberFormat="1" applyFont="1" applyBorder="1" applyAlignment="1">
      <alignment horizontal="right"/>
    </xf>
    <xf numFmtId="169" fontId="8" fillId="0" borderId="3" xfId="0" applyNumberFormat="1" applyFont="1" applyBorder="1" applyAlignment="1">
      <alignment horizontal="right"/>
    </xf>
    <xf numFmtId="0" fontId="52" fillId="9" borderId="0" xfId="0" applyFont="1" applyFill="1"/>
    <xf numFmtId="0" fontId="52" fillId="9" borderId="0" xfId="0" applyFont="1" applyFill="1" applyAlignment="1">
      <alignment horizontal="right"/>
    </xf>
    <xf numFmtId="165" fontId="8" fillId="0" borderId="3" xfId="0" applyNumberFormat="1" applyFont="1" applyBorder="1" applyAlignment="1">
      <alignment horizontal="right"/>
    </xf>
    <xf numFmtId="1" fontId="8" fillId="0" borderId="3" xfId="0" applyNumberFormat="1" applyFont="1" applyBorder="1" applyAlignment="1">
      <alignment horizontal="right"/>
    </xf>
    <xf numFmtId="173" fontId="8" fillId="0" borderId="3" xfId="0" applyNumberFormat="1" applyFont="1" applyBorder="1" applyAlignment="1">
      <alignment horizontal="right"/>
    </xf>
    <xf numFmtId="178" fontId="9" fillId="0" borderId="3" xfId="0" applyNumberFormat="1" applyFont="1" applyBorder="1"/>
    <xf numFmtId="0" fontId="27" fillId="0" borderId="3" xfId="0" applyFont="1" applyBorder="1" applyAlignment="1">
      <alignment horizontal="right"/>
    </xf>
    <xf numFmtId="169" fontId="7" fillId="0" borderId="3" xfId="0" applyNumberFormat="1" applyFont="1" applyBorder="1"/>
    <xf numFmtId="165" fontId="4" fillId="0" borderId="3" xfId="0" applyNumberFormat="1" applyFont="1" applyBorder="1" applyAlignment="1">
      <alignment horizontal="right"/>
    </xf>
    <xf numFmtId="3" fontId="3" fillId="0" borderId="3" xfId="0" applyNumberFormat="1" applyFont="1" applyBorder="1" applyAlignment="1">
      <alignment horizontal="right"/>
    </xf>
    <xf numFmtId="179" fontId="7" fillId="0" borderId="3" xfId="0" applyNumberFormat="1" applyFont="1" applyBorder="1" applyAlignment="1">
      <alignment horizontal="right"/>
    </xf>
    <xf numFmtId="173" fontId="7" fillId="0" borderId="3" xfId="0" applyNumberFormat="1" applyFont="1" applyBorder="1" applyAlignment="1">
      <alignment horizontal="right"/>
    </xf>
    <xf numFmtId="3" fontId="7" fillId="0" borderId="3" xfId="0" applyNumberFormat="1" applyFont="1" applyBorder="1" applyAlignment="1">
      <alignment horizontal="right"/>
    </xf>
    <xf numFmtId="0" fontId="23" fillId="2" borderId="0" xfId="0" applyFont="1" applyFill="1" applyAlignment="1">
      <alignment horizontal="right"/>
    </xf>
    <xf numFmtId="0" fontId="23" fillId="2" borderId="0" xfId="0" applyFont="1" applyFill="1"/>
    <xf numFmtId="181" fontId="7" fillId="0" borderId="0" xfId="0" applyNumberFormat="1" applyFont="1"/>
    <xf numFmtId="168" fontId="7" fillId="0" borderId="0" xfId="0" applyNumberFormat="1" applyFont="1" applyAlignment="1">
      <alignment horizontal="right"/>
    </xf>
    <xf numFmtId="0" fontId="6" fillId="11" borderId="0" xfId="0" applyFont="1" applyFill="1"/>
    <xf numFmtId="0" fontId="6" fillId="11" borderId="0" xfId="0" applyFont="1" applyFill="1" applyAlignment="1">
      <alignment horizontal="right"/>
    </xf>
    <xf numFmtId="169" fontId="54" fillId="0" borderId="0" xfId="0" applyNumberFormat="1" applyFont="1" applyAlignment="1">
      <alignment horizontal="right"/>
    </xf>
    <xf numFmtId="0" fontId="66" fillId="0" borderId="0" xfId="0" applyFont="1"/>
    <xf numFmtId="0" fontId="36" fillId="0" borderId="0" xfId="0" applyFont="1"/>
    <xf numFmtId="0" fontId="23" fillId="0" borderId="0" xfId="0" applyFont="1"/>
    <xf numFmtId="168" fontId="60" fillId="0" borderId="0" xfId="0" applyNumberFormat="1" applyFont="1" applyAlignment="1">
      <alignment horizontal="right"/>
    </xf>
    <xf numFmtId="0" fontId="59" fillId="0" borderId="0" xfId="0" applyFont="1"/>
    <xf numFmtId="0" fontId="55" fillId="0" borderId="0" xfId="0" applyFont="1"/>
    <xf numFmtId="0" fontId="59" fillId="0" borderId="3" xfId="0" applyFont="1" applyBorder="1"/>
    <xf numFmtId="0" fontId="55" fillId="0" borderId="3" xfId="0" applyFont="1" applyBorder="1"/>
    <xf numFmtId="0" fontId="42" fillId="11" borderId="0" xfId="0" applyFont="1" applyFill="1"/>
    <xf numFmtId="0" fontId="43" fillId="11" borderId="0" xfId="0" applyFont="1" applyFill="1" applyAlignment="1">
      <alignment horizontal="left" wrapText="1"/>
    </xf>
    <xf numFmtId="165" fontId="54" fillId="0" borderId="0" xfId="0" applyNumberFormat="1" applyFont="1" applyAlignment="1">
      <alignment horizontal="right"/>
    </xf>
    <xf numFmtId="10" fontId="54" fillId="0" borderId="0" xfId="0" applyNumberFormat="1" applyFont="1" applyAlignment="1">
      <alignment horizontal="right"/>
    </xf>
    <xf numFmtId="0" fontId="37" fillId="0" borderId="0" xfId="0" applyFont="1"/>
    <xf numFmtId="0" fontId="26" fillId="0" borderId="0" xfId="0" applyFont="1" applyAlignment="1">
      <alignment horizontal="right"/>
    </xf>
    <xf numFmtId="165" fontId="62" fillId="0" borderId="3" xfId="1" applyNumberFormat="1" applyFont="1" applyBorder="1"/>
    <xf numFmtId="172" fontId="54" fillId="0" borderId="0" xfId="0" applyNumberFormat="1" applyFont="1" applyAlignment="1">
      <alignment horizontal="right"/>
    </xf>
    <xf numFmtId="165" fontId="54" fillId="0" borderId="3" xfId="0" applyNumberFormat="1" applyFont="1" applyBorder="1" applyAlignment="1">
      <alignment horizontal="right"/>
    </xf>
    <xf numFmtId="0" fontId="26" fillId="0" borderId="3" xfId="0" applyFont="1" applyBorder="1" applyAlignment="1">
      <alignment horizontal="right"/>
    </xf>
    <xf numFmtId="0" fontId="37" fillId="0" borderId="3" xfId="0" applyFont="1" applyBorder="1"/>
    <xf numFmtId="0" fontId="58" fillId="0" borderId="3" xfId="0" applyFont="1" applyBorder="1"/>
    <xf numFmtId="0" fontId="60" fillId="0" borderId="3" xfId="0" applyFont="1" applyBorder="1" applyAlignment="1">
      <alignment horizontal="right"/>
    </xf>
    <xf numFmtId="0" fontId="58" fillId="0" borderId="0" xfId="0" applyFont="1" applyAlignment="1">
      <alignment horizontal="left"/>
    </xf>
    <xf numFmtId="0" fontId="26" fillId="0" borderId="0" xfId="0" applyFont="1" applyAlignment="1">
      <alignment wrapText="1"/>
    </xf>
    <xf numFmtId="0" fontId="63" fillId="0" borderId="0" xfId="0" applyFont="1" applyAlignment="1">
      <alignment horizontal="left"/>
    </xf>
    <xf numFmtId="0" fontId="63" fillId="0" borderId="0" xfId="0" applyFont="1" applyAlignment="1">
      <alignment wrapText="1"/>
    </xf>
    <xf numFmtId="0" fontId="64" fillId="0" borderId="0" xfId="0" applyFont="1" applyAlignment="1">
      <alignment horizontal="left"/>
    </xf>
    <xf numFmtId="0" fontId="64" fillId="0" borderId="0" xfId="0" applyFont="1" applyAlignment="1">
      <alignment wrapText="1"/>
    </xf>
    <xf numFmtId="0" fontId="58" fillId="0" borderId="3" xfId="0" applyFont="1" applyBorder="1" applyAlignment="1">
      <alignment horizontal="left"/>
    </xf>
    <xf numFmtId="0" fontId="26" fillId="0" borderId="3" xfId="0" applyFont="1" applyBorder="1" applyAlignment="1">
      <alignment wrapText="1"/>
    </xf>
    <xf numFmtId="0" fontId="64" fillId="0" borderId="3" xfId="0" applyFont="1" applyBorder="1" applyAlignment="1">
      <alignment horizontal="left"/>
    </xf>
    <xf numFmtId="0" fontId="64" fillId="0" borderId="3" xfId="0" applyFont="1" applyBorder="1" applyAlignment="1">
      <alignment wrapText="1"/>
    </xf>
    <xf numFmtId="0" fontId="25" fillId="0" borderId="0" xfId="0" applyFont="1"/>
    <xf numFmtId="0" fontId="65" fillId="0" borderId="0" xfId="0" applyFont="1"/>
    <xf numFmtId="0" fontId="25" fillId="0" borderId="3" xfId="0" applyFont="1" applyBorder="1"/>
    <xf numFmtId="0" fontId="65" fillId="0" borderId="3" xfId="0" applyFont="1" applyBorder="1"/>
    <xf numFmtId="0" fontId="47" fillId="14" borderId="0" xfId="0" applyFont="1" applyFill="1"/>
    <xf numFmtId="0" fontId="47" fillId="14" borderId="0" xfId="0" applyFont="1" applyFill="1" applyAlignment="1">
      <alignment horizontal="left"/>
    </xf>
    <xf numFmtId="0" fontId="26" fillId="9" borderId="0" xfId="0" applyFont="1" applyFill="1"/>
    <xf numFmtId="0" fontId="74" fillId="0" borderId="0" xfId="0" applyFont="1" applyAlignment="1">
      <alignment horizontal="left"/>
    </xf>
    <xf numFmtId="0" fontId="47" fillId="2" borderId="0" xfId="0" applyFont="1" applyFill="1"/>
    <xf numFmtId="0" fontId="3" fillId="11" borderId="0" xfId="0" applyFont="1" applyFill="1"/>
    <xf numFmtId="0" fontId="21" fillId="0" borderId="0" xfId="0" applyFont="1" applyAlignment="1">
      <alignment horizontal="left"/>
    </xf>
    <xf numFmtId="176" fontId="47" fillId="16" borderId="0" xfId="0" applyNumberFormat="1" applyFont="1" applyFill="1" applyAlignment="1">
      <alignment horizontal="right"/>
    </xf>
    <xf numFmtId="176" fontId="67" fillId="16" borderId="0" xfId="0" applyNumberFormat="1" applyFont="1" applyFill="1" applyAlignment="1">
      <alignment horizontal="right"/>
    </xf>
    <xf numFmtId="176" fontId="48" fillId="16" borderId="0" xfId="0" applyNumberFormat="1" applyFont="1" applyFill="1" applyAlignment="1">
      <alignment horizontal="left"/>
    </xf>
    <xf numFmtId="176" fontId="3" fillId="12" borderId="0" xfId="0" applyNumberFormat="1" applyFont="1" applyFill="1" applyAlignment="1">
      <alignment horizontal="right"/>
    </xf>
    <xf numFmtId="0" fontId="47" fillId="14" borderId="0" xfId="0" applyFont="1" applyFill="1" applyAlignment="1">
      <alignment horizontal="right"/>
    </xf>
    <xf numFmtId="0" fontId="10" fillId="7" borderId="0" xfId="0" applyFont="1" applyFill="1" applyAlignment="1">
      <alignment horizontal="right"/>
    </xf>
    <xf numFmtId="168" fontId="6" fillId="15" borderId="0" xfId="0" applyNumberFormat="1" applyFont="1" applyFill="1" applyAlignment="1">
      <alignment horizontal="right"/>
    </xf>
    <xf numFmtId="165" fontId="6" fillId="15" borderId="0" xfId="0" applyNumberFormat="1" applyFont="1" applyFill="1" applyAlignment="1">
      <alignment horizontal="right"/>
    </xf>
    <xf numFmtId="10" fontId="10" fillId="2" borderId="0" xfId="0" applyNumberFormat="1" applyFont="1" applyFill="1" applyAlignment="1">
      <alignment horizontal="right"/>
    </xf>
    <xf numFmtId="176" fontId="0" fillId="5" borderId="0" xfId="0" applyNumberFormat="1" applyFill="1" applyAlignment="1">
      <alignment horizontal="right"/>
    </xf>
    <xf numFmtId="165" fontId="10" fillId="2" borderId="0" xfId="0" applyNumberFormat="1" applyFont="1" applyFill="1" applyAlignment="1">
      <alignment horizontal="right"/>
    </xf>
    <xf numFmtId="0" fontId="0" fillId="14" borderId="0" xfId="0" applyFill="1"/>
    <xf numFmtId="0" fontId="0" fillId="15" borderId="0" xfId="0" applyFill="1"/>
    <xf numFmtId="0" fontId="56" fillId="0" borderId="0" xfId="0" applyFont="1"/>
    <xf numFmtId="0" fontId="30" fillId="0" borderId="0" xfId="0" applyFont="1"/>
    <xf numFmtId="0" fontId="56" fillId="0" borderId="0" xfId="0" quotePrefix="1" applyFont="1"/>
    <xf numFmtId="0" fontId="30" fillId="0" borderId="0" xfId="0" quotePrefix="1" applyFont="1"/>
    <xf numFmtId="3" fontId="6" fillId="16" borderId="0" xfId="0" applyNumberFormat="1" applyFont="1" applyFill="1"/>
    <xf numFmtId="0" fontId="46" fillId="16" borderId="0" xfId="0" quotePrefix="1" applyFont="1" applyFill="1"/>
    <xf numFmtId="0" fontId="0" fillId="16" borderId="0" xfId="0" applyFill="1"/>
    <xf numFmtId="10" fontId="7" fillId="0" borderId="0" xfId="0" applyNumberFormat="1" applyFont="1" applyAlignment="1">
      <alignment horizontal="right"/>
    </xf>
    <xf numFmtId="0" fontId="5" fillId="0" borderId="0" xfId="0" applyFont="1" applyAlignment="1">
      <alignment horizontal="right"/>
    </xf>
    <xf numFmtId="10" fontId="69" fillId="0" borderId="0" xfId="0" applyNumberFormat="1" applyFont="1" applyAlignment="1">
      <alignment horizontal="right"/>
    </xf>
    <xf numFmtId="2" fontId="6" fillId="15" borderId="0" xfId="0" applyNumberFormat="1" applyFont="1" applyFill="1" applyAlignment="1">
      <alignment horizontal="right"/>
    </xf>
    <xf numFmtId="0" fontId="6" fillId="10" borderId="2" xfId="0" applyFont="1" applyFill="1" applyBorder="1"/>
    <xf numFmtId="0" fontId="3" fillId="11" borderId="0" xfId="0" applyFont="1" applyFill="1" applyAlignment="1">
      <alignment horizontal="right"/>
    </xf>
    <xf numFmtId="0" fontId="24" fillId="0" borderId="0" xfId="0" applyFont="1" applyAlignment="1">
      <alignment horizontal="right"/>
    </xf>
    <xf numFmtId="2" fontId="0" fillId="0" borderId="0" xfId="0" applyNumberFormat="1"/>
    <xf numFmtId="0" fontId="6" fillId="10" borderId="0" xfId="0" applyFont="1" applyFill="1"/>
    <xf numFmtId="2" fontId="45" fillId="10" borderId="0" xfId="0" applyNumberFormat="1" applyFont="1" applyFill="1"/>
    <xf numFmtId="10" fontId="45" fillId="10" borderId="0" xfId="0" applyNumberFormat="1" applyFont="1" applyFill="1"/>
    <xf numFmtId="10" fontId="42" fillId="10" borderId="0" xfId="0" applyNumberFormat="1" applyFont="1" applyFill="1"/>
    <xf numFmtId="0" fontId="39" fillId="0" borderId="3" xfId="0" applyFont="1" applyBorder="1"/>
    <xf numFmtId="178" fontId="9" fillId="0" borderId="3" xfId="0" applyNumberFormat="1" applyFont="1" applyBorder="1" applyAlignment="1">
      <alignment horizontal="right"/>
    </xf>
    <xf numFmtId="0" fontId="32" fillId="0" borderId="0" xfId="0" applyFont="1"/>
    <xf numFmtId="3" fontId="8" fillId="0" borderId="0" xfId="0" applyNumberFormat="1" applyFont="1"/>
    <xf numFmtId="168" fontId="8" fillId="0" borderId="0" xfId="0" applyNumberFormat="1" applyFont="1" applyAlignment="1">
      <alignment horizontal="right"/>
    </xf>
    <xf numFmtId="0" fontId="32" fillId="0" borderId="8" xfId="0" applyFont="1" applyBorder="1"/>
    <xf numFmtId="0" fontId="0" fillId="0" borderId="8" xfId="0" applyBorder="1" applyAlignment="1">
      <alignment horizontal="right"/>
    </xf>
    <xf numFmtId="0" fontId="0" fillId="0" borderId="8" xfId="0" applyBorder="1"/>
    <xf numFmtId="0" fontId="45" fillId="12" borderId="0" xfId="0" applyFont="1" applyFill="1"/>
    <xf numFmtId="0" fontId="45" fillId="0" borderId="0" xfId="0" applyFont="1" applyAlignment="1">
      <alignment horizontal="right"/>
    </xf>
    <xf numFmtId="0" fontId="45" fillId="0" borderId="0" xfId="0" applyFont="1"/>
    <xf numFmtId="0" fontId="8" fillId="0" borderId="0" xfId="0" applyFont="1"/>
    <xf numFmtId="176" fontId="8" fillId="0" borderId="0" xfId="0" applyNumberFormat="1" applyFont="1" applyAlignment="1">
      <alignment horizontal="right"/>
    </xf>
    <xf numFmtId="0" fontId="8" fillId="0" borderId="0" xfId="0" applyFont="1" applyAlignment="1">
      <alignment horizontal="right"/>
    </xf>
    <xf numFmtId="0" fontId="80" fillId="14" borderId="0" xfId="0" applyFont="1" applyFill="1"/>
    <xf numFmtId="176" fontId="80" fillId="14" borderId="0" xfId="0" applyNumberFormat="1" applyFont="1" applyFill="1" applyAlignment="1">
      <alignment horizontal="right"/>
    </xf>
    <xf numFmtId="0" fontId="80" fillId="14" borderId="0" xfId="0" applyFont="1" applyFill="1" applyAlignment="1">
      <alignment horizontal="right"/>
    </xf>
    <xf numFmtId="0" fontId="80" fillId="16" borderId="9" xfId="0" applyFont="1" applyFill="1" applyBorder="1"/>
    <xf numFmtId="0" fontId="80" fillId="16" borderId="9" xfId="0" applyFont="1" applyFill="1" applyBorder="1" applyAlignment="1">
      <alignment horizontal="right"/>
    </xf>
    <xf numFmtId="185" fontId="82" fillId="0" borderId="0" xfId="0" applyNumberFormat="1" applyFont="1" applyAlignment="1">
      <alignment horizontal="left"/>
    </xf>
    <xf numFmtId="185" fontId="83" fillId="7" borderId="0" xfId="0" applyNumberFormat="1" applyFont="1" applyFill="1" applyAlignment="1">
      <alignment horizontal="left"/>
    </xf>
    <xf numFmtId="185" fontId="83" fillId="0" borderId="0" xfId="0" applyNumberFormat="1" applyFont="1" applyAlignment="1">
      <alignment horizontal="left"/>
    </xf>
    <xf numFmtId="0" fontId="0" fillId="11" borderId="0" xfId="0" applyFill="1"/>
    <xf numFmtId="0" fontId="81" fillId="15" borderId="0" xfId="0" applyFont="1" applyFill="1" applyAlignment="1">
      <alignment horizontal="left"/>
    </xf>
    <xf numFmtId="0" fontId="82" fillId="0" borderId="0" xfId="0" applyFont="1" applyAlignment="1">
      <alignment horizontal="left"/>
    </xf>
    <xf numFmtId="0" fontId="83" fillId="7" borderId="0" xfId="0" applyFont="1" applyFill="1" applyAlignment="1">
      <alignment horizontal="left"/>
    </xf>
    <xf numFmtId="0" fontId="83" fillId="0" borderId="0" xfId="0" applyFont="1" applyAlignment="1">
      <alignment horizontal="left"/>
    </xf>
    <xf numFmtId="0" fontId="81" fillId="15" borderId="0" xfId="0" applyFont="1" applyFill="1" applyAlignment="1">
      <alignment horizontal="right"/>
    </xf>
    <xf numFmtId="0" fontId="45" fillId="9" borderId="10" xfId="0" applyFont="1" applyFill="1" applyBorder="1"/>
    <xf numFmtId="0" fontId="58" fillId="0" borderId="3" xfId="0" applyFont="1" applyBorder="1" applyAlignment="1">
      <alignment wrapText="1"/>
    </xf>
    <xf numFmtId="0" fontId="44" fillId="9" borderId="0" xfId="0" applyFont="1" applyFill="1" applyAlignment="1">
      <alignment vertical="center"/>
    </xf>
    <xf numFmtId="0" fontId="58" fillId="0" borderId="0" xfId="0" applyFont="1" applyAlignment="1">
      <alignment wrapText="1"/>
    </xf>
    <xf numFmtId="0" fontId="44" fillId="13" borderId="0" xfId="0" applyFont="1" applyFill="1" applyAlignment="1">
      <alignment vertical="center"/>
    </xf>
    <xf numFmtId="169" fontId="0" fillId="5" borderId="0" xfId="0" applyNumberFormat="1" applyFill="1" applyAlignment="1">
      <alignment horizontal="right"/>
    </xf>
    <xf numFmtId="172" fontId="9" fillId="0" borderId="3" xfId="0" applyNumberFormat="1" applyFont="1" applyBorder="1" applyAlignment="1">
      <alignment horizontal="right"/>
    </xf>
    <xf numFmtId="178" fontId="0" fillId="0" borderId="0" xfId="0" applyNumberFormat="1" applyAlignment="1">
      <alignment horizontal="right"/>
    </xf>
    <xf numFmtId="178" fontId="0" fillId="0" borderId="3" xfId="0" applyNumberFormat="1" applyBorder="1" applyAlignment="1">
      <alignment horizontal="right"/>
    </xf>
    <xf numFmtId="169" fontId="0" fillId="0" borderId="3" xfId="0" applyNumberFormat="1" applyBorder="1" applyAlignment="1">
      <alignment horizontal="right"/>
    </xf>
    <xf numFmtId="0" fontId="85" fillId="0" borderId="0" xfId="0" applyFont="1"/>
    <xf numFmtId="0" fontId="0" fillId="0" borderId="12" xfId="0" applyBorder="1"/>
    <xf numFmtId="0" fontId="84" fillId="3" borderId="12" xfId="0" applyFont="1" applyFill="1" applyBorder="1" applyAlignment="1">
      <alignment horizontal="right"/>
    </xf>
    <xf numFmtId="0" fontId="3" fillId="2" borderId="12" xfId="0" applyFont="1" applyFill="1" applyBorder="1" applyAlignment="1">
      <alignment horizontal="right"/>
    </xf>
    <xf numFmtId="0" fontId="45" fillId="14" borderId="12" xfId="0" applyFont="1" applyFill="1" applyBorder="1" applyAlignment="1">
      <alignment horizontal="right"/>
    </xf>
    <xf numFmtId="3" fontId="7" fillId="0" borderId="12" xfId="0" applyNumberFormat="1" applyFont="1" applyBorder="1" applyAlignment="1">
      <alignment horizontal="right"/>
    </xf>
    <xf numFmtId="179" fontId="7" fillId="0" borderId="12" xfId="0" applyNumberFormat="1" applyFont="1" applyBorder="1" applyAlignment="1">
      <alignment horizontal="right"/>
    </xf>
    <xf numFmtId="179" fontId="22" fillId="0" borderId="12" xfId="0" applyNumberFormat="1" applyFont="1" applyBorder="1" applyAlignment="1">
      <alignment horizontal="right"/>
    </xf>
    <xf numFmtId="165" fontId="33" fillId="0" borderId="12" xfId="0" applyNumberFormat="1" applyFont="1" applyBorder="1" applyAlignment="1">
      <alignment horizontal="right"/>
    </xf>
    <xf numFmtId="0" fontId="0" fillId="0" borderId="12" xfId="0" applyBorder="1" applyAlignment="1">
      <alignment horizontal="right"/>
    </xf>
    <xf numFmtId="165" fontId="4" fillId="0" borderId="12" xfId="0" applyNumberFormat="1" applyFont="1" applyBorder="1" applyAlignment="1">
      <alignment horizontal="right"/>
    </xf>
    <xf numFmtId="179" fontId="3" fillId="0" borderId="12" xfId="0" applyNumberFormat="1" applyFont="1" applyBorder="1" applyAlignment="1">
      <alignment horizontal="right"/>
    </xf>
    <xf numFmtId="165" fontId="4" fillId="0" borderId="13" xfId="0" applyNumberFormat="1" applyFont="1" applyBorder="1" applyAlignment="1">
      <alignment horizontal="right"/>
    </xf>
    <xf numFmtId="3" fontId="3" fillId="0" borderId="13" xfId="0" applyNumberFormat="1" applyFont="1" applyBorder="1" applyAlignment="1">
      <alignment horizontal="right"/>
    </xf>
    <xf numFmtId="3" fontId="3" fillId="0" borderId="12" xfId="0" applyNumberFormat="1" applyFont="1" applyBorder="1" applyAlignment="1">
      <alignment horizontal="right"/>
    </xf>
    <xf numFmtId="3" fontId="10" fillId="0" borderId="12" xfId="0" applyNumberFormat="1" applyFont="1" applyBorder="1" applyAlignment="1">
      <alignment horizontal="right"/>
    </xf>
    <xf numFmtId="179" fontId="3" fillId="0" borderId="13" xfId="0" applyNumberFormat="1" applyFont="1" applyBorder="1" applyAlignment="1">
      <alignment horizontal="right"/>
    </xf>
    <xf numFmtId="179" fontId="7" fillId="0" borderId="13" xfId="0" applyNumberFormat="1" applyFont="1" applyBorder="1" applyAlignment="1">
      <alignment horizontal="right"/>
    </xf>
    <xf numFmtId="173" fontId="7" fillId="0" borderId="12" xfId="0" applyNumberFormat="1" applyFont="1" applyBorder="1" applyAlignment="1">
      <alignment horizontal="right"/>
    </xf>
    <xf numFmtId="169" fontId="7" fillId="0" borderId="12" xfId="0" applyNumberFormat="1" applyFont="1" applyBorder="1" applyAlignment="1">
      <alignment horizontal="right"/>
    </xf>
    <xf numFmtId="173" fontId="7" fillId="0" borderId="13" xfId="0" applyNumberFormat="1" applyFont="1" applyBorder="1" applyAlignment="1">
      <alignment horizontal="right"/>
    </xf>
    <xf numFmtId="165" fontId="0" fillId="0" borderId="12" xfId="0" applyNumberFormat="1" applyBorder="1" applyAlignment="1">
      <alignment horizontal="right"/>
    </xf>
    <xf numFmtId="3" fontId="7" fillId="0" borderId="13" xfId="0" applyNumberFormat="1" applyFont="1" applyBorder="1" applyAlignment="1">
      <alignment horizontal="right"/>
    </xf>
    <xf numFmtId="0" fontId="3" fillId="8" borderId="12" xfId="0" applyFont="1" applyFill="1" applyBorder="1" applyAlignment="1">
      <alignment horizontal="right"/>
    </xf>
    <xf numFmtId="0" fontId="0" fillId="0" borderId="13" xfId="0" applyBorder="1" applyAlignment="1">
      <alignment horizontal="right"/>
    </xf>
    <xf numFmtId="165" fontId="33" fillId="0" borderId="3" xfId="0" applyNumberFormat="1" applyFont="1" applyBorder="1" applyAlignment="1">
      <alignment horizontal="right"/>
    </xf>
    <xf numFmtId="3" fontId="22" fillId="0" borderId="3" xfId="0" applyNumberFormat="1" applyFont="1" applyBorder="1" applyAlignment="1">
      <alignment horizontal="right"/>
    </xf>
    <xf numFmtId="3" fontId="22" fillId="0" borderId="0" xfId="0" applyNumberFormat="1" applyFont="1" applyAlignment="1">
      <alignment horizontal="right"/>
    </xf>
    <xf numFmtId="179" fontId="22" fillId="0" borderId="3" xfId="0" applyNumberFormat="1" applyFont="1" applyBorder="1" applyAlignment="1">
      <alignment horizontal="right"/>
    </xf>
    <xf numFmtId="9" fontId="69" fillId="0" borderId="3" xfId="0" applyNumberFormat="1" applyFont="1" applyBorder="1" applyAlignment="1">
      <alignment horizontal="right"/>
    </xf>
    <xf numFmtId="0" fontId="8" fillId="0" borderId="3" xfId="0" applyFont="1" applyBorder="1" applyAlignment="1">
      <alignment horizontal="right"/>
    </xf>
    <xf numFmtId="2" fontId="9" fillId="0" borderId="0" xfId="0" applyNumberFormat="1" applyFont="1" applyAlignment="1">
      <alignment horizontal="right"/>
    </xf>
    <xf numFmtId="2" fontId="9" fillId="0" borderId="3" xfId="0" applyNumberFormat="1" applyFont="1" applyBorder="1" applyAlignment="1">
      <alignment horizontal="right"/>
    </xf>
    <xf numFmtId="10" fontId="8" fillId="0" borderId="0" xfId="0" applyNumberFormat="1" applyFont="1" applyAlignment="1">
      <alignment horizontal="right"/>
    </xf>
    <xf numFmtId="10" fontId="9" fillId="0" borderId="0" xfId="0" applyNumberFormat="1" applyFont="1" applyAlignment="1">
      <alignment horizontal="right"/>
    </xf>
    <xf numFmtId="183" fontId="8" fillId="0" borderId="0" xfId="0" applyNumberFormat="1" applyFont="1" applyAlignment="1">
      <alignment horizontal="right"/>
    </xf>
    <xf numFmtId="10" fontId="9" fillId="0" borderId="3" xfId="0" applyNumberFormat="1" applyFont="1" applyBorder="1" applyAlignment="1">
      <alignment horizontal="right"/>
    </xf>
    <xf numFmtId="183" fontId="8" fillId="0" borderId="3" xfId="0" applyNumberFormat="1" applyFont="1" applyBorder="1" applyAlignment="1">
      <alignment horizontal="right"/>
    </xf>
    <xf numFmtId="3" fontId="69" fillId="0" borderId="0" xfId="0" applyNumberFormat="1" applyFont="1" applyAlignment="1">
      <alignment horizontal="right"/>
    </xf>
    <xf numFmtId="165" fontId="9" fillId="0" borderId="0" xfId="0" applyNumberFormat="1" applyFont="1" applyAlignment="1">
      <alignment horizontal="right"/>
    </xf>
    <xf numFmtId="3" fontId="71" fillId="0" borderId="0" xfId="0" applyNumberFormat="1" applyFont="1" applyAlignment="1">
      <alignment horizontal="right"/>
    </xf>
    <xf numFmtId="172" fontId="8" fillId="0" borderId="0" xfId="0" applyNumberFormat="1" applyFont="1"/>
    <xf numFmtId="172" fontId="9" fillId="0" borderId="0" xfId="0" applyNumberFormat="1" applyFont="1"/>
    <xf numFmtId="165" fontId="8" fillId="4" borderId="3" xfId="0" applyNumberFormat="1" applyFont="1" applyFill="1" applyBorder="1" applyAlignment="1">
      <alignment horizontal="right"/>
    </xf>
    <xf numFmtId="165" fontId="8" fillId="0" borderId="3" xfId="0" applyNumberFormat="1" applyFont="1" applyBorder="1"/>
    <xf numFmtId="182" fontId="54" fillId="0" borderId="0" xfId="0" applyNumberFormat="1" applyFont="1" applyAlignment="1">
      <alignment horizontal="right"/>
    </xf>
    <xf numFmtId="10" fontId="22" fillId="0" borderId="0" xfId="0" applyNumberFormat="1" applyFont="1" applyAlignment="1">
      <alignment horizontal="right"/>
    </xf>
    <xf numFmtId="10" fontId="60" fillId="0" borderId="0" xfId="0" applyNumberFormat="1" applyFont="1" applyAlignment="1">
      <alignment horizontal="right"/>
    </xf>
    <xf numFmtId="174" fontId="8" fillId="0" borderId="0" xfId="0" applyNumberFormat="1" applyFont="1" applyAlignment="1">
      <alignment horizontal="right"/>
    </xf>
    <xf numFmtId="172" fontId="22" fillId="0" borderId="3" xfId="0" applyNumberFormat="1" applyFont="1" applyBorder="1" applyAlignment="1">
      <alignment horizontal="right"/>
    </xf>
    <xf numFmtId="172" fontId="25" fillId="0" borderId="3" xfId="0" applyNumberFormat="1" applyFont="1" applyBorder="1" applyAlignment="1">
      <alignment horizontal="right"/>
    </xf>
    <xf numFmtId="172" fontId="22" fillId="0" borderId="0" xfId="0" applyNumberFormat="1" applyFont="1" applyAlignment="1">
      <alignment horizontal="right"/>
    </xf>
    <xf numFmtId="175" fontId="71" fillId="0" borderId="0" xfId="0" applyNumberFormat="1" applyFont="1" applyAlignment="1">
      <alignment horizontal="right"/>
    </xf>
    <xf numFmtId="0" fontId="87" fillId="0" borderId="0" xfId="0" applyFont="1" applyAlignment="1">
      <alignment horizontal="right"/>
    </xf>
    <xf numFmtId="172" fontId="8" fillId="0" borderId="3" xfId="0" applyNumberFormat="1" applyFont="1" applyBorder="1"/>
    <xf numFmtId="169" fontId="22" fillId="0" borderId="0" xfId="0" applyNumberFormat="1" applyFont="1" applyAlignment="1">
      <alignment horizontal="right"/>
    </xf>
    <xf numFmtId="0" fontId="7" fillId="0" borderId="0" xfId="0" applyFont="1"/>
    <xf numFmtId="168" fontId="69" fillId="0" borderId="0" xfId="0" applyNumberFormat="1" applyFont="1" applyAlignment="1">
      <alignment horizontal="right"/>
    </xf>
    <xf numFmtId="168" fontId="71" fillId="0" borderId="0" xfId="0" applyNumberFormat="1" applyFont="1" applyAlignment="1">
      <alignment horizontal="right"/>
    </xf>
    <xf numFmtId="172" fontId="9" fillId="2" borderId="0" xfId="0" applyNumberFormat="1" applyFont="1" applyFill="1" applyAlignment="1">
      <alignment horizontal="right"/>
    </xf>
    <xf numFmtId="181" fontId="8" fillId="0" borderId="0" xfId="0" applyNumberFormat="1" applyFont="1" applyAlignment="1">
      <alignment horizontal="right"/>
    </xf>
    <xf numFmtId="168" fontId="22" fillId="0" borderId="0" xfId="0" applyNumberFormat="1" applyFont="1" applyAlignment="1">
      <alignment horizontal="right"/>
    </xf>
    <xf numFmtId="172" fontId="87" fillId="0" borderId="0" xfId="0" applyNumberFormat="1" applyFont="1" applyAlignment="1">
      <alignment horizontal="right"/>
    </xf>
    <xf numFmtId="0" fontId="88" fillId="0" borderId="0" xfId="0" applyFont="1" applyAlignment="1">
      <alignment horizontal="left"/>
    </xf>
    <xf numFmtId="172" fontId="69" fillId="0" borderId="8" xfId="0" applyNumberFormat="1" applyFont="1" applyBorder="1" applyAlignment="1">
      <alignment horizontal="right"/>
    </xf>
    <xf numFmtId="172" fontId="71" fillId="0" borderId="8" xfId="0" applyNumberFormat="1" applyFont="1" applyBorder="1" applyAlignment="1">
      <alignment horizontal="right"/>
    </xf>
    <xf numFmtId="172" fontId="69" fillId="0" borderId="0" xfId="0" applyNumberFormat="1" applyFont="1" applyAlignment="1">
      <alignment horizontal="right"/>
    </xf>
    <xf numFmtId="172" fontId="71" fillId="0" borderId="0" xfId="0" applyNumberFormat="1" applyFont="1" applyAlignment="1">
      <alignment horizontal="right"/>
    </xf>
    <xf numFmtId="168" fontId="9" fillId="5" borderId="0" xfId="0" applyNumberFormat="1" applyFont="1" applyFill="1" applyAlignment="1">
      <alignment horizontal="right"/>
    </xf>
    <xf numFmtId="10" fontId="86" fillId="2" borderId="3" xfId="0" applyNumberFormat="1" applyFont="1" applyFill="1" applyBorder="1" applyAlignment="1">
      <alignment horizontal="right"/>
    </xf>
    <xf numFmtId="3" fontId="7" fillId="0" borderId="0" xfId="0" applyNumberFormat="1" applyFont="1"/>
    <xf numFmtId="3" fontId="22" fillId="0" borderId="0" xfId="0" applyNumberFormat="1" applyFont="1"/>
    <xf numFmtId="165" fontId="89" fillId="0" borderId="0" xfId="0" applyNumberFormat="1" applyFont="1" applyAlignment="1">
      <alignment horizontal="right"/>
    </xf>
    <xf numFmtId="3" fontId="90" fillId="0" borderId="0" xfId="0" applyNumberFormat="1" applyFont="1" applyAlignment="1">
      <alignment horizontal="right"/>
    </xf>
    <xf numFmtId="169" fontId="90" fillId="0" borderId="0" xfId="0" applyNumberFormat="1" applyFont="1" applyAlignment="1">
      <alignment horizontal="right"/>
    </xf>
    <xf numFmtId="165" fontId="91" fillId="7" borderId="0" xfId="0" applyNumberFormat="1" applyFont="1" applyFill="1" applyAlignment="1">
      <alignment horizontal="right"/>
    </xf>
    <xf numFmtId="3" fontId="92" fillId="7" borderId="0" xfId="0" applyNumberFormat="1" applyFont="1" applyFill="1" applyAlignment="1">
      <alignment horizontal="right"/>
    </xf>
    <xf numFmtId="169" fontId="92" fillId="7" borderId="0" xfId="0" applyNumberFormat="1" applyFont="1" applyFill="1" applyAlignment="1">
      <alignment horizontal="right"/>
    </xf>
    <xf numFmtId="165" fontId="91" fillId="0" borderId="0" xfId="0" applyNumberFormat="1" applyFont="1" applyAlignment="1">
      <alignment horizontal="right"/>
    </xf>
    <xf numFmtId="3" fontId="92" fillId="0" borderId="0" xfId="0" applyNumberFormat="1" applyFont="1" applyAlignment="1">
      <alignment horizontal="right"/>
    </xf>
    <xf numFmtId="169" fontId="92" fillId="0" borderId="0" xfId="0" applyNumberFormat="1" applyFont="1" applyAlignment="1">
      <alignment horizontal="right"/>
    </xf>
    <xf numFmtId="165" fontId="93" fillId="0" borderId="0" xfId="1" applyNumberFormat="1" applyFont="1"/>
    <xf numFmtId="165" fontId="93" fillId="0" borderId="3" xfId="1" applyNumberFormat="1" applyFont="1" applyBorder="1"/>
    <xf numFmtId="165" fontId="71" fillId="0" borderId="0" xfId="1" applyNumberFormat="1" applyFont="1" applyAlignment="1">
      <alignment horizontal="right"/>
    </xf>
    <xf numFmtId="9" fontId="71" fillId="0" borderId="0" xfId="1" applyFont="1" applyAlignment="1">
      <alignment horizontal="right"/>
    </xf>
    <xf numFmtId="165" fontId="71" fillId="0" borderId="3" xfId="1" applyNumberFormat="1" applyFont="1" applyBorder="1" applyAlignment="1">
      <alignment horizontal="right"/>
    </xf>
    <xf numFmtId="175" fontId="71" fillId="0" borderId="3" xfId="0" applyNumberFormat="1" applyFont="1" applyBorder="1" applyAlignment="1">
      <alignment horizontal="right"/>
    </xf>
    <xf numFmtId="9" fontId="71" fillId="0" borderId="3" xfId="1" applyFont="1" applyBorder="1" applyAlignment="1">
      <alignment horizontal="right"/>
    </xf>
    <xf numFmtId="169" fontId="8" fillId="0" borderId="0" xfId="0" applyNumberFormat="1" applyFont="1"/>
    <xf numFmtId="169" fontId="8" fillId="0" borderId="3" xfId="0" applyNumberFormat="1" applyFont="1" applyBorder="1"/>
    <xf numFmtId="173" fontId="9" fillId="0" borderId="0" xfId="0" applyNumberFormat="1" applyFont="1"/>
    <xf numFmtId="167" fontId="9" fillId="0" borderId="0" xfId="2" applyNumberFormat="1" applyFont="1"/>
    <xf numFmtId="168" fontId="54" fillId="0" borderId="0" xfId="0" applyNumberFormat="1" applyFont="1" applyAlignment="1">
      <alignment horizontal="right"/>
    </xf>
    <xf numFmtId="180" fontId="25" fillId="0" borderId="0" xfId="0" applyNumberFormat="1" applyFont="1" applyAlignment="1">
      <alignment horizontal="right"/>
    </xf>
    <xf numFmtId="3" fontId="54" fillId="0" borderId="3" xfId="0" applyNumberFormat="1" applyFont="1" applyBorder="1" applyAlignment="1">
      <alignment horizontal="right"/>
    </xf>
    <xf numFmtId="168" fontId="25" fillId="0" borderId="0" xfId="0" applyNumberFormat="1" applyFont="1"/>
    <xf numFmtId="172" fontId="86" fillId="0" borderId="0" xfId="0" applyNumberFormat="1" applyFont="1" applyAlignment="1">
      <alignment horizontal="right"/>
    </xf>
    <xf numFmtId="169" fontId="86" fillId="0" borderId="0" xfId="0" applyNumberFormat="1" applyFont="1" applyAlignment="1">
      <alignment horizontal="right"/>
    </xf>
    <xf numFmtId="171" fontId="8" fillId="0" borderId="0" xfId="0" applyNumberFormat="1" applyFont="1" applyAlignment="1">
      <alignment horizontal="right"/>
    </xf>
    <xf numFmtId="168" fontId="9" fillId="0" borderId="0" xfId="0" applyNumberFormat="1" applyFont="1" applyAlignment="1">
      <alignment horizontal="right"/>
    </xf>
    <xf numFmtId="168" fontId="9" fillId="5" borderId="3" xfId="0" applyNumberFormat="1" applyFont="1" applyFill="1" applyBorder="1" applyAlignment="1">
      <alignment horizontal="right"/>
    </xf>
    <xf numFmtId="176" fontId="75" fillId="16" borderId="0" xfId="0" applyNumberFormat="1" applyFont="1" applyFill="1" applyAlignment="1">
      <alignment horizontal="right"/>
    </xf>
    <xf numFmtId="176" fontId="75" fillId="16" borderId="3" xfId="0" applyNumberFormat="1" applyFont="1" applyFill="1" applyBorder="1" applyAlignment="1">
      <alignment horizontal="right"/>
    </xf>
    <xf numFmtId="170" fontId="43" fillId="16" borderId="3" xfId="0" applyNumberFormat="1" applyFont="1" applyFill="1" applyBorder="1" applyAlignment="1">
      <alignment horizontal="right"/>
    </xf>
    <xf numFmtId="168" fontId="43" fillId="16" borderId="3" xfId="0" applyNumberFormat="1" applyFont="1" applyFill="1" applyBorder="1" applyAlignment="1">
      <alignment horizontal="right"/>
    </xf>
    <xf numFmtId="172" fontId="75" fillId="16" borderId="7" xfId="0" applyNumberFormat="1" applyFont="1" applyFill="1" applyBorder="1" applyAlignment="1">
      <alignment horizontal="right"/>
    </xf>
    <xf numFmtId="176" fontId="75" fillId="16" borderId="7" xfId="0" applyNumberFormat="1" applyFont="1" applyFill="1" applyBorder="1" applyAlignment="1">
      <alignment horizontal="right"/>
    </xf>
    <xf numFmtId="165" fontId="75" fillId="16" borderId="7" xfId="0" applyNumberFormat="1" applyFont="1" applyFill="1" applyBorder="1" applyAlignment="1">
      <alignment horizontal="right"/>
    </xf>
    <xf numFmtId="10" fontId="75" fillId="16" borderId="7" xfId="0" applyNumberFormat="1" applyFont="1" applyFill="1" applyBorder="1" applyAlignment="1">
      <alignment horizontal="right"/>
    </xf>
    <xf numFmtId="168" fontId="22" fillId="7" borderId="14" xfId="0" applyNumberFormat="1" applyFont="1" applyFill="1" applyBorder="1" applyAlignment="1">
      <alignment horizontal="right"/>
    </xf>
    <xf numFmtId="172" fontId="25" fillId="7" borderId="14" xfId="0" applyNumberFormat="1" applyFont="1" applyFill="1" applyBorder="1"/>
    <xf numFmtId="176" fontId="43" fillId="16" borderId="0" xfId="0" applyNumberFormat="1" applyFont="1" applyFill="1" applyAlignment="1">
      <alignment horizontal="right"/>
    </xf>
    <xf numFmtId="176" fontId="43" fillId="12" borderId="5" xfId="0" applyNumberFormat="1" applyFont="1" applyFill="1" applyBorder="1" applyAlignment="1">
      <alignment horizontal="right"/>
    </xf>
    <xf numFmtId="172" fontId="43" fillId="16" borderId="7" xfId="0" applyNumberFormat="1" applyFont="1" applyFill="1" applyBorder="1" applyAlignment="1">
      <alignment horizontal="right"/>
    </xf>
    <xf numFmtId="165" fontId="43" fillId="16" borderId="7" xfId="0" applyNumberFormat="1" applyFont="1" applyFill="1" applyBorder="1" applyAlignment="1">
      <alignment horizontal="right"/>
    </xf>
    <xf numFmtId="176" fontId="43" fillId="16" borderId="9" xfId="0" applyNumberFormat="1" applyFont="1" applyFill="1" applyBorder="1" applyAlignment="1">
      <alignment horizontal="right"/>
    </xf>
    <xf numFmtId="3" fontId="75" fillId="16" borderId="0" xfId="0" applyNumberFormat="1" applyFont="1" applyFill="1"/>
    <xf numFmtId="172" fontId="3" fillId="0" borderId="3" xfId="0" applyNumberFormat="1" applyFont="1" applyBorder="1" applyAlignment="1">
      <alignment horizontal="right"/>
    </xf>
    <xf numFmtId="10" fontId="60" fillId="2" borderId="0" xfId="0" applyNumberFormat="1" applyFont="1" applyFill="1" applyAlignment="1">
      <alignment horizontal="right"/>
    </xf>
    <xf numFmtId="168" fontId="22" fillId="7" borderId="11" xfId="0" applyNumberFormat="1" applyFont="1" applyFill="1" applyBorder="1" applyAlignment="1">
      <alignment horizontal="right"/>
    </xf>
    <xf numFmtId="10" fontId="60" fillId="2" borderId="3" xfId="0" applyNumberFormat="1" applyFont="1" applyFill="1" applyBorder="1" applyAlignment="1">
      <alignment horizontal="right"/>
    </xf>
    <xf numFmtId="172" fontId="75" fillId="16" borderId="0" xfId="0" applyNumberFormat="1" applyFont="1" applyFill="1" applyAlignment="1">
      <alignment horizontal="right"/>
    </xf>
    <xf numFmtId="0" fontId="43" fillId="16" borderId="0" xfId="0" applyFont="1" applyFill="1"/>
    <xf numFmtId="172" fontId="43" fillId="16" borderId="0" xfId="0" applyNumberFormat="1" applyFont="1" applyFill="1" applyAlignment="1">
      <alignment horizontal="right"/>
    </xf>
    <xf numFmtId="10" fontId="1" fillId="0" borderId="0" xfId="1" applyNumberFormat="1" applyBorder="1" applyAlignment="1">
      <alignment horizontal="right"/>
    </xf>
    <xf numFmtId="0" fontId="94" fillId="0" borderId="0" xfId="0" applyFont="1" applyAlignment="1">
      <alignment horizontal="left"/>
    </xf>
    <xf numFmtId="0" fontId="95" fillId="0" borderId="0" xfId="0" applyFont="1" applyAlignment="1">
      <alignment horizontal="left"/>
    </xf>
    <xf numFmtId="0" fontId="95" fillId="0" borderId="3" xfId="0" applyFont="1" applyBorder="1" applyAlignment="1">
      <alignment horizontal="left"/>
    </xf>
    <xf numFmtId="3" fontId="0" fillId="0" borderId="0" xfId="0" applyNumberFormat="1" applyAlignment="1">
      <alignment horizontal="right"/>
    </xf>
    <xf numFmtId="0" fontId="77" fillId="16" borderId="0" xfId="0" quotePrefix="1" applyFont="1" applyFill="1"/>
    <xf numFmtId="172" fontId="8" fillId="0" borderId="3" xfId="0" applyNumberFormat="1" applyFont="1" applyBorder="1" applyAlignment="1">
      <alignment horizontal="right"/>
    </xf>
    <xf numFmtId="172" fontId="23" fillId="0" borderId="0" xfId="0" applyNumberFormat="1" applyFont="1" applyAlignment="1">
      <alignment horizontal="right"/>
    </xf>
    <xf numFmtId="169" fontId="96" fillId="7" borderId="0" xfId="0" applyNumberFormat="1" applyFont="1" applyFill="1" applyAlignment="1">
      <alignment horizontal="right"/>
    </xf>
    <xf numFmtId="0" fontId="97" fillId="0" borderId="0" xfId="0" applyFont="1" applyAlignment="1">
      <alignment horizontal="left"/>
    </xf>
    <xf numFmtId="0" fontId="97" fillId="0" borderId="3" xfId="0" applyFont="1" applyBorder="1" applyAlignment="1">
      <alignment horizontal="left"/>
    </xf>
    <xf numFmtId="0" fontId="98" fillId="0" borderId="0" xfId="0" applyFont="1"/>
    <xf numFmtId="0" fontId="98" fillId="0" borderId="3" xfId="0" applyFont="1" applyBorder="1"/>
    <xf numFmtId="0" fontId="99" fillId="0" borderId="0" xfId="0" applyFont="1"/>
    <xf numFmtId="0" fontId="100" fillId="0" borderId="0" xfId="0" applyFont="1"/>
    <xf numFmtId="0" fontId="101" fillId="0" borderId="0" xfId="0" applyFont="1"/>
    <xf numFmtId="0" fontId="98" fillId="0" borderId="8" xfId="0" applyFont="1" applyBorder="1"/>
    <xf numFmtId="0" fontId="98" fillId="0" borderId="0" xfId="0" applyFont="1" applyAlignment="1">
      <alignment horizontal="left"/>
    </xf>
    <xf numFmtId="0" fontId="102" fillId="0" borderId="0" xfId="0" applyFont="1" applyAlignment="1">
      <alignment horizontal="left"/>
    </xf>
    <xf numFmtId="0" fontId="103" fillId="0" borderId="0" xfId="0" applyFont="1"/>
    <xf numFmtId="0" fontId="103" fillId="0" borderId="3" xfId="0" applyFont="1" applyBorder="1"/>
    <xf numFmtId="0" fontId="97" fillId="0" borderId="3" xfId="0" applyFont="1" applyBorder="1"/>
    <xf numFmtId="0" fontId="61" fillId="0" borderId="3" xfId="0" applyFont="1" applyBorder="1" applyAlignment="1">
      <alignment horizontal="left"/>
    </xf>
    <xf numFmtId="0" fontId="102" fillId="0" borderId="3" xfId="0" applyFont="1" applyBorder="1" applyAlignment="1">
      <alignment horizontal="left"/>
    </xf>
    <xf numFmtId="0" fontId="13" fillId="14" borderId="0" xfId="0" applyFont="1" applyFill="1"/>
    <xf numFmtId="0" fontId="0" fillId="6" borderId="0" xfId="0" applyFill="1"/>
    <xf numFmtId="0" fontId="45" fillId="13" borderId="0" xfId="0" applyFont="1" applyFill="1"/>
    <xf numFmtId="0" fontId="13" fillId="10" borderId="0" xfId="0" applyFont="1" applyFill="1"/>
    <xf numFmtId="0" fontId="57" fillId="15" borderId="0" xfId="0" applyFont="1" applyFill="1" applyAlignment="1">
      <alignment horizontal="right"/>
    </xf>
    <xf numFmtId="172" fontId="8" fillId="0" borderId="9" xfId="0" applyNumberFormat="1" applyFont="1" applyBorder="1" applyAlignment="1">
      <alignment horizontal="right"/>
    </xf>
    <xf numFmtId="172" fontId="8" fillId="0" borderId="15" xfId="0" applyNumberFormat="1" applyFont="1" applyBorder="1" applyAlignment="1">
      <alignment horizontal="right"/>
    </xf>
    <xf numFmtId="172" fontId="8" fillId="0" borderId="16" xfId="0" applyNumberFormat="1" applyFont="1" applyBorder="1" applyAlignment="1">
      <alignment horizontal="right"/>
    </xf>
    <xf numFmtId="172" fontId="22" fillId="7" borderId="0" xfId="0" applyNumberFormat="1" applyFont="1" applyFill="1" applyBorder="1" applyAlignment="1">
      <alignment horizontal="right"/>
    </xf>
    <xf numFmtId="172" fontId="8" fillId="0" borderId="17" xfId="0" applyNumberFormat="1" applyFont="1" applyBorder="1" applyAlignment="1">
      <alignment horizontal="right"/>
    </xf>
    <xf numFmtId="172" fontId="71" fillId="0" borderId="0" xfId="0" applyNumberFormat="1" applyFont="1" applyFill="1" applyBorder="1"/>
    <xf numFmtId="172" fontId="8" fillId="0" borderId="0" xfId="0" applyNumberFormat="1" applyFont="1" applyBorder="1"/>
    <xf numFmtId="172" fontId="8" fillId="0" borderId="9" xfId="0" applyNumberFormat="1" applyFont="1" applyBorder="1"/>
    <xf numFmtId="172" fontId="8" fillId="0" borderId="15" xfId="0" applyNumberFormat="1" applyFont="1" applyBorder="1"/>
    <xf numFmtId="172" fontId="8" fillId="0" borderId="16" xfId="0" applyNumberFormat="1" applyFont="1" applyBorder="1"/>
    <xf numFmtId="172" fontId="22" fillId="7" borderId="0" xfId="0" applyNumberFormat="1" applyFont="1" applyFill="1" applyBorder="1"/>
    <xf numFmtId="172" fontId="8" fillId="0" borderId="17" xfId="0" applyNumberFormat="1" applyFont="1" applyBorder="1"/>
    <xf numFmtId="0" fontId="6" fillId="11" borderId="0" xfId="0" applyFont="1" applyFill="1" applyAlignment="1">
      <alignment horizontal="left"/>
    </xf>
    <xf numFmtId="0" fontId="22" fillId="0" borderId="0" xfId="0" applyFont="1" applyFill="1" applyAlignment="1">
      <alignment horizontal="right"/>
    </xf>
    <xf numFmtId="10" fontId="22" fillId="0" borderId="0" xfId="0" applyNumberFormat="1" applyFont="1" applyFill="1" applyAlignment="1">
      <alignment horizontal="right"/>
    </xf>
    <xf numFmtId="10" fontId="25" fillId="0" borderId="0" xfId="0" applyNumberFormat="1" applyFont="1" applyFill="1"/>
    <xf numFmtId="186" fontId="22" fillId="0" borderId="0" xfId="0" applyNumberFormat="1" applyFont="1" applyFill="1" applyAlignment="1">
      <alignment horizontal="right"/>
    </xf>
    <xf numFmtId="186" fontId="25" fillId="0" borderId="0" xfId="0" applyNumberFormat="1" applyFont="1" applyFill="1"/>
    <xf numFmtId="10" fontId="22" fillId="0" borderId="3" xfId="0" applyNumberFormat="1" applyFont="1" applyFill="1" applyBorder="1" applyAlignment="1">
      <alignment horizontal="right"/>
    </xf>
    <xf numFmtId="10" fontId="22" fillId="0" borderId="0" xfId="0" applyNumberFormat="1" applyFont="1" applyFill="1"/>
    <xf numFmtId="186" fontId="22" fillId="0" borderId="0" xfId="0" applyNumberFormat="1" applyFont="1" applyFill="1"/>
    <xf numFmtId="165" fontId="22" fillId="0" borderId="0" xfId="0" applyNumberFormat="1" applyFont="1" applyFill="1"/>
    <xf numFmtId="10" fontId="22" fillId="0" borderId="3" xfId="0" applyNumberFormat="1" applyFont="1" applyFill="1" applyBorder="1"/>
    <xf numFmtId="10" fontId="86" fillId="0" borderId="0" xfId="0" applyNumberFormat="1" applyFont="1" applyFill="1" applyAlignment="1">
      <alignment horizontal="right"/>
    </xf>
    <xf numFmtId="172" fontId="86" fillId="4" borderId="0" xfId="0" applyNumberFormat="1" applyFont="1" applyFill="1" applyAlignment="1">
      <alignment horizontal="right"/>
    </xf>
    <xf numFmtId="172" fontId="22" fillId="4" borderId="0" xfId="0" applyNumberFormat="1" applyFont="1" applyFill="1" applyAlignment="1">
      <alignment horizontal="right"/>
    </xf>
    <xf numFmtId="172" fontId="22" fillId="0" borderId="0" xfId="0" applyNumberFormat="1" applyFont="1"/>
    <xf numFmtId="175" fontId="7" fillId="0" borderId="0" xfId="0" applyNumberFormat="1" applyFont="1"/>
    <xf numFmtId="9" fontId="7" fillId="0" borderId="0" xfId="0" applyNumberFormat="1" applyFont="1"/>
    <xf numFmtId="2" fontId="8" fillId="0" borderId="0" xfId="0" applyNumberFormat="1" applyFont="1"/>
    <xf numFmtId="0" fontId="9" fillId="0" borderId="0" xfId="0" applyFont="1"/>
  </cellXfs>
  <cellStyles count="3">
    <cellStyle name="Comma" xfId="2" builtinId="3"/>
    <cellStyle name="Normal" xfId="0" builtinId="0"/>
    <cellStyle name="Percent" xfId="1" builtinId="5"/>
  </cellStyles>
  <dxfs count="3">
    <dxf>
      <font>
        <b val="0"/>
        <i/>
        <color rgb="FFFF0000"/>
      </font>
    </dxf>
    <dxf>
      <font>
        <b val="0"/>
        <i/>
        <color rgb="FFFF0000"/>
      </font>
    </dxf>
    <dxf>
      <font>
        <b val="0"/>
        <i/>
        <color rgb="FFFF0000"/>
      </font>
    </dxf>
  </dxfs>
  <tableStyles count="0" defaultTableStyle="TableStyleMedium2" defaultPivotStyle="PivotStyleLight16"/>
  <colors>
    <indexedColors>
      <rgbColor rgb="FF000000"/>
      <rgbColor rgb="FFF2F3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DEBD0"/>
      <rgbColor rgb="FFD6EAF8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5F5E3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5F5F5"/>
      <color rgb="FF808080"/>
      <color rgb="FFD9E1F2"/>
      <color rgb="FF008000"/>
      <color rgb="FF1F4E79"/>
      <color rgb="FFBDD7E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microsoft.com/office/2017/10/relationships/person" Target="persons/person.xml"/><Relationship Id="rId26" Type="http://schemas.microsoft.com/office/2017/10/relationships/person" Target="persons/person5.xml"/><Relationship Id="rId3" Type="http://schemas.openxmlformats.org/officeDocument/2006/relationships/worksheet" Target="worksheets/sheet3.xml"/><Relationship Id="rId21" Type="http://schemas.microsoft.com/office/2017/10/relationships/person" Target="persons/person0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5" Type="http://schemas.microsoft.com/office/2017/10/relationships/person" Target="persons/person3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microsoft.com/office/2017/10/relationships/person" Target="persons/person7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microsoft.com/office/2017/10/relationships/person" Target="persons/person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23" Type="http://schemas.microsoft.com/office/2017/10/relationships/person" Target="persons/person2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7" Type="http://schemas.microsoft.com/office/2017/10/relationships/person" Target="persons/person6.xml"/><Relationship Id="rId22" Type="http://schemas.microsoft.com/office/2017/10/relationships/person" Target="persons/person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 b="1"/>
              <a:t>Segment EV Contribution ($B, avg)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Graphs!$C$5</c:f>
              <c:strCache>
                <c:ptCount val="1"/>
                <c:pt idx="0">
                  <c:v>Avg EV ($B)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tx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0-2A0D-4B23-B688-1F1CD603BB2D}"/>
              </c:ext>
            </c:extLst>
          </c:dPt>
          <c:dPt>
            <c:idx val="1"/>
            <c:invertIfNegative val="0"/>
            <c:bubble3D val="0"/>
            <c:spPr>
              <a:solidFill>
                <a:schemeClr val="tx1">
                  <a:lumMod val="75000"/>
                  <a:lumOff val="2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2A0D-4B23-B688-1F1CD603BB2D}"/>
              </c:ext>
            </c:extLst>
          </c:dPt>
          <c:dPt>
            <c:idx val="2"/>
            <c:invertIfNegative val="0"/>
            <c:bubble3D val="0"/>
            <c:spPr>
              <a:solidFill>
                <a:schemeClr val="tx1">
                  <a:lumMod val="50000"/>
                  <a:lumOff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2A0D-4B23-B688-1F1CD603BB2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Graphs!$B$6:$B$8</c:f>
              <c:strCache>
                <c:ptCount val="3"/>
                <c:pt idx="0">
                  <c:v>Connectivity</c:v>
                </c:pt>
                <c:pt idx="1">
                  <c:v>Space</c:v>
                </c:pt>
                <c:pt idx="2">
                  <c:v>AI</c:v>
                </c:pt>
              </c:strCache>
            </c:strRef>
          </c:cat>
          <c:val>
            <c:numRef>
              <c:f>Graphs!$C$6:$C$8</c:f>
              <c:numCache>
                <c:formatCode>0.0</c:formatCode>
                <c:ptCount val="3"/>
                <c:pt idx="0">
                  <c:v>558.40590766802779</c:v>
                </c:pt>
                <c:pt idx="1">
                  <c:v>52.422720399370412</c:v>
                </c:pt>
                <c:pt idx="2">
                  <c:v>4.6665646640481073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742-4FCB-8896-6681E052BE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41166752"/>
        <c:axId val="1241161952"/>
      </c:barChart>
      <c:catAx>
        <c:axId val="12411667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1161952"/>
        <c:crosses val="autoZero"/>
        <c:auto val="1"/>
        <c:lblAlgn val="ctr"/>
        <c:lblOffset val="100"/>
        <c:noMultiLvlLbl val="0"/>
      </c:catAx>
      <c:valAx>
        <c:axId val="1241161952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11667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SpaceX Valuation — Rifat's Model vs Third-Party Sources ($B)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bg1">
                  <a:lumMod val="8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9BA2-4A7A-B81A-4EE672D9B153}"/>
              </c:ext>
            </c:extLst>
          </c:dPt>
          <c:dPt>
            <c:idx val="1"/>
            <c:invertIfNegative val="0"/>
            <c:bubble3D val="0"/>
            <c:spPr>
              <a:solidFill>
                <a:schemeClr val="bg1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9BA2-4A7A-B81A-4EE672D9B153}"/>
              </c:ext>
            </c:extLst>
          </c:dPt>
          <c:dPt>
            <c:idx val="2"/>
            <c:invertIfNegative val="0"/>
            <c:bubble3D val="0"/>
            <c:spPr>
              <a:solidFill>
                <a:schemeClr val="bg1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9BA2-4A7A-B81A-4EE672D9B153}"/>
              </c:ext>
            </c:extLst>
          </c:dPt>
          <c:dPt>
            <c:idx val="3"/>
            <c:invertIfNegative val="0"/>
            <c:bubble3D val="0"/>
            <c:spPr>
              <a:solidFill>
                <a:schemeClr val="tx1">
                  <a:lumMod val="65000"/>
                  <a:lumOff val="3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9BA2-4A7A-B81A-4EE672D9B153}"/>
              </c:ext>
            </c:extLst>
          </c:dPt>
          <c:dPt>
            <c:idx val="4"/>
            <c:invertIfNegative val="0"/>
            <c:bubble3D val="0"/>
            <c:spPr>
              <a:solidFill>
                <a:schemeClr val="tx1">
                  <a:lumMod val="75000"/>
                  <a:lumOff val="2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9BA2-4A7A-B81A-4EE672D9B153}"/>
              </c:ext>
            </c:extLst>
          </c:dPt>
          <c:dPt>
            <c:idx val="5"/>
            <c:invertIfNegative val="0"/>
            <c:bubble3D val="0"/>
            <c:spPr>
              <a:solidFill>
                <a:schemeClr val="tx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0-9BA2-4A7A-B81A-4EE672D9B15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Graphs!$B$44:$B$49</c:f>
              <c:strCache>
                <c:ptCount val="6"/>
                <c:pt idx="0">
                  <c:v>IPO ($135)</c:v>
                </c:pt>
                <c:pt idx="1">
                  <c:v>ARK (2030 FV)</c:v>
                </c:pt>
                <c:pt idx="2">
                  <c:v>Morningstar</c:v>
                </c:pt>
                <c:pt idx="3">
                  <c:v>M&amp;I SOTP</c:v>
                </c:pt>
                <c:pt idx="4">
                  <c:v>Rifat's DCF (Gordon)</c:v>
                </c:pt>
                <c:pt idx="5">
                  <c:v>Rifat's DCF (Avg)</c:v>
                </c:pt>
              </c:strCache>
            </c:strRef>
          </c:cat>
          <c:val>
            <c:numRef>
              <c:f>Graphs!$C$44:$C$49</c:f>
              <c:numCache>
                <c:formatCode>_(* #,##0_);_(* \(#,##0\);_(* "-"??_);_(@_)</c:formatCode>
                <c:ptCount val="6"/>
                <c:pt idx="0">
                  <c:v>1750</c:v>
                </c:pt>
                <c:pt idx="1">
                  <c:v>2500</c:v>
                </c:pt>
                <c:pt idx="2">
                  <c:v>780</c:v>
                </c:pt>
                <c:pt idx="3">
                  <c:v>429</c:v>
                </c:pt>
                <c:pt idx="4">
                  <c:v>692.76635113596842</c:v>
                </c:pt>
                <c:pt idx="5">
                  <c:v>698.34619273144631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3CF-401D-A51D-24AC232918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068587616"/>
        <c:axId val="1068602496"/>
      </c:barChart>
      <c:catAx>
        <c:axId val="106858761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8602496"/>
        <c:crosses val="autoZero"/>
        <c:auto val="1"/>
        <c:lblAlgn val="ctr"/>
        <c:lblOffset val="100"/>
        <c:noMultiLvlLbl val="0"/>
      </c:catAx>
      <c:valAx>
        <c:axId val="1068602496"/>
        <c:scaling>
          <c:orientation val="minMax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85876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 by Segment ($M)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Graphs!$C$28</c:f>
              <c:strCache>
                <c:ptCount val="1"/>
                <c:pt idx="0">
                  <c:v>Space</c:v>
                </c:pt>
              </c:strCache>
            </c:strRef>
          </c:tx>
          <c:spPr>
            <a:solidFill>
              <a:srgbClr val="404040"/>
            </a:solidFill>
            <a:ln>
              <a:noFill/>
            </a:ln>
            <a:effectLst/>
          </c:spPr>
          <c:invertIfNegative val="0"/>
          <c:cat>
            <c:strRef>
              <c:f>Graphs!$B$29:$B$33</c:f>
              <c:strCache>
                <c:ptCount val="5"/>
                <c:pt idx="0">
                  <c:v>FY2023</c:v>
                </c:pt>
                <c:pt idx="1">
                  <c:v>FY2024</c:v>
                </c:pt>
                <c:pt idx="2">
                  <c:v>FY2025</c:v>
                </c:pt>
                <c:pt idx="3">
                  <c:v>Q1'25</c:v>
                </c:pt>
                <c:pt idx="4">
                  <c:v>Q1'26</c:v>
                </c:pt>
              </c:strCache>
            </c:strRef>
          </c:cat>
          <c:val>
            <c:numRef>
              <c:f>Graphs!$C$29:$C$33</c:f>
              <c:numCache>
                <c:formatCode>General</c:formatCode>
                <c:ptCount val="5"/>
                <c:pt idx="0">
                  <c:v>3557</c:v>
                </c:pt>
                <c:pt idx="1">
                  <c:v>3796</c:v>
                </c:pt>
                <c:pt idx="2">
                  <c:v>4086</c:v>
                </c:pt>
                <c:pt idx="3">
                  <c:v>865</c:v>
                </c:pt>
                <c:pt idx="4">
                  <c:v>619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B48-493D-93CD-766C59B37317}"/>
            </c:ext>
          </c:extLst>
        </c:ser>
        <c:ser>
          <c:idx val="1"/>
          <c:order val="1"/>
          <c:tx>
            <c:strRef>
              <c:f>Graphs!$D$28</c:f>
              <c:strCache>
                <c:ptCount val="1"/>
                <c:pt idx="0">
                  <c:v>Connectivity</c:v>
                </c:pt>
              </c:strCache>
            </c:strRef>
          </c:tx>
          <c:spPr>
            <a:solidFill>
              <a:srgbClr val="0D0D0D"/>
            </a:solidFill>
            <a:ln>
              <a:noFill/>
            </a:ln>
            <a:effectLst/>
          </c:spPr>
          <c:invertIfNegative val="0"/>
          <c:cat>
            <c:strRef>
              <c:f>Graphs!$B$29:$B$33</c:f>
              <c:strCache>
                <c:ptCount val="5"/>
                <c:pt idx="0">
                  <c:v>FY2023</c:v>
                </c:pt>
                <c:pt idx="1">
                  <c:v>FY2024</c:v>
                </c:pt>
                <c:pt idx="2">
                  <c:v>FY2025</c:v>
                </c:pt>
                <c:pt idx="3">
                  <c:v>Q1'25</c:v>
                </c:pt>
                <c:pt idx="4">
                  <c:v>Q1'26</c:v>
                </c:pt>
              </c:strCache>
            </c:strRef>
          </c:cat>
          <c:val>
            <c:numRef>
              <c:f>Graphs!$D$29:$D$33</c:f>
              <c:numCache>
                <c:formatCode>General</c:formatCode>
                <c:ptCount val="5"/>
                <c:pt idx="0">
                  <c:v>3869</c:v>
                </c:pt>
                <c:pt idx="1">
                  <c:v>7599</c:v>
                </c:pt>
                <c:pt idx="2">
                  <c:v>11387</c:v>
                </c:pt>
                <c:pt idx="3">
                  <c:v>2475</c:v>
                </c:pt>
                <c:pt idx="4">
                  <c:v>3257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B48-493D-93CD-766C59B37317}"/>
            </c:ext>
          </c:extLst>
        </c:ser>
        <c:ser>
          <c:idx val="2"/>
          <c:order val="2"/>
          <c:tx>
            <c:strRef>
              <c:f>Graphs!$E$28</c:f>
              <c:strCache>
                <c:ptCount val="1"/>
                <c:pt idx="0">
                  <c:v>AI</c:v>
                </c:pt>
              </c:strCache>
            </c:strRef>
          </c:tx>
          <c:spPr>
            <a:solidFill>
              <a:srgbClr val="808080"/>
            </a:solidFill>
            <a:ln>
              <a:noFill/>
            </a:ln>
            <a:effectLst/>
          </c:spPr>
          <c:invertIfNegative val="0"/>
          <c:cat>
            <c:strRef>
              <c:f>Graphs!$B$29:$B$33</c:f>
              <c:strCache>
                <c:ptCount val="5"/>
                <c:pt idx="0">
                  <c:v>FY2023</c:v>
                </c:pt>
                <c:pt idx="1">
                  <c:v>FY2024</c:v>
                </c:pt>
                <c:pt idx="2">
                  <c:v>FY2025</c:v>
                </c:pt>
                <c:pt idx="3">
                  <c:v>Q1'25</c:v>
                </c:pt>
                <c:pt idx="4">
                  <c:v>Q1'26</c:v>
                </c:pt>
              </c:strCache>
            </c:strRef>
          </c:cat>
          <c:val>
            <c:numRef>
              <c:f>Graphs!$E$29:$E$33</c:f>
              <c:numCache>
                <c:formatCode>General</c:formatCode>
                <c:ptCount val="5"/>
                <c:pt idx="0">
                  <c:v>2961</c:v>
                </c:pt>
                <c:pt idx="1">
                  <c:v>2620</c:v>
                </c:pt>
                <c:pt idx="2">
                  <c:v>3201</c:v>
                </c:pt>
                <c:pt idx="3">
                  <c:v>727</c:v>
                </c:pt>
                <c:pt idx="4">
                  <c:v>818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B48-493D-93CD-766C59B373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108487952"/>
        <c:axId val="2108474032"/>
      </c:barChart>
      <c:catAx>
        <c:axId val="21084879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8474032"/>
        <c:crosses val="autoZero"/>
        <c:auto val="1"/>
        <c:lblAlgn val="ctr"/>
        <c:lblOffset val="100"/>
        <c:noMultiLvlLbl val="0"/>
      </c:catAx>
      <c:valAx>
        <c:axId val="2108474032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/>
                  <a:t>$M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84879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Margin Trends (%)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Graphs!$L$6</c:f>
              <c:strCache>
                <c:ptCount val="1"/>
                <c:pt idx="0">
                  <c:v>Adj EBITDA Margin</c:v>
                </c:pt>
              </c:strCache>
            </c:strRef>
          </c:tx>
          <c:spPr>
            <a:ln w="28575" cap="rnd">
              <a:solidFill>
                <a:srgbClr val="0D0D0D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Graphs!$K$7:$K$11</c:f>
              <c:strCache>
                <c:ptCount val="5"/>
                <c:pt idx="0">
                  <c:v>FY2023</c:v>
                </c:pt>
                <c:pt idx="1">
                  <c:v>FY2024</c:v>
                </c:pt>
                <c:pt idx="2">
                  <c:v>FY2025</c:v>
                </c:pt>
                <c:pt idx="3">
                  <c:v>Q1'25</c:v>
                </c:pt>
                <c:pt idx="4">
                  <c:v>Q1'26</c:v>
                </c:pt>
              </c:strCache>
            </c:strRef>
          </c:cat>
          <c:val>
            <c:numRef>
              <c:f>Graphs!$L$7:$L$11</c:f>
              <c:numCache>
                <c:formatCode>General</c:formatCode>
                <c:ptCount val="5"/>
                <c:pt idx="0">
                  <c:v>0.36786367574853179</c:v>
                </c:pt>
                <c:pt idx="1">
                  <c:v>0.3817338565822333</c:v>
                </c:pt>
                <c:pt idx="2">
                  <c:v>0.35257577380314875</c:v>
                </c:pt>
                <c:pt idx="3">
                  <c:v>0.42537496926481438</c:v>
                </c:pt>
                <c:pt idx="4">
                  <c:v>0.24009373668512995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26E-4210-AC27-499AEEADAF77}"/>
            </c:ext>
          </c:extLst>
        </c:ser>
        <c:ser>
          <c:idx val="1"/>
          <c:order val="1"/>
          <c:tx>
            <c:strRef>
              <c:f>Graphs!$M$6</c:f>
              <c:strCache>
                <c:ptCount val="1"/>
                <c:pt idx="0">
                  <c:v>Operating Margin</c:v>
                </c:pt>
              </c:strCache>
            </c:strRef>
          </c:tx>
          <c:spPr>
            <a:ln w="28575" cap="rnd">
              <a:solidFill>
                <a:srgbClr val="404040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Graphs!$K$7:$K$11</c:f>
              <c:strCache>
                <c:ptCount val="5"/>
                <c:pt idx="0">
                  <c:v>FY2023</c:v>
                </c:pt>
                <c:pt idx="1">
                  <c:v>FY2024</c:v>
                </c:pt>
                <c:pt idx="2">
                  <c:v>FY2025</c:v>
                </c:pt>
                <c:pt idx="3">
                  <c:v>Q1'25</c:v>
                </c:pt>
                <c:pt idx="4">
                  <c:v>Q1'26</c:v>
                </c:pt>
              </c:strCache>
            </c:strRef>
          </c:cat>
          <c:val>
            <c:numRef>
              <c:f>Graphs!$M$7:$M$11</c:f>
              <c:numCache>
                <c:formatCode>General</c:formatCode>
                <c:ptCount val="5"/>
                <c:pt idx="0">
                  <c:v>-0.33744103205930492</c:v>
                </c:pt>
                <c:pt idx="1">
                  <c:v>3.325008919015341E-2</c:v>
                </c:pt>
                <c:pt idx="2">
                  <c:v>-0.13864196208632323</c:v>
                </c:pt>
                <c:pt idx="3">
                  <c:v>6.6388000983525937E-3</c:v>
                </c:pt>
                <c:pt idx="4">
                  <c:v>-0.41393268001704303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26E-4210-AC27-499AEEADAF77}"/>
            </c:ext>
          </c:extLst>
        </c:ser>
        <c:ser>
          <c:idx val="2"/>
          <c:order val="2"/>
          <c:tx>
            <c:strRef>
              <c:f>Graphs!$N$6</c:f>
              <c:strCache>
                <c:ptCount val="1"/>
                <c:pt idx="0">
                  <c:v>FCF Margin</c:v>
                </c:pt>
              </c:strCache>
            </c:strRef>
          </c:tx>
          <c:spPr>
            <a:ln w="28575" cap="rnd">
              <a:solidFill>
                <a:srgbClr val="808080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Graphs!$K$7:$K$11</c:f>
              <c:strCache>
                <c:ptCount val="5"/>
                <c:pt idx="0">
                  <c:v>FY2023</c:v>
                </c:pt>
                <c:pt idx="1">
                  <c:v>FY2024</c:v>
                </c:pt>
                <c:pt idx="2">
                  <c:v>FY2025</c:v>
                </c:pt>
                <c:pt idx="3">
                  <c:v>Q1'25</c:v>
                </c:pt>
                <c:pt idx="4">
                  <c:v>Q1'26</c:v>
                </c:pt>
              </c:strCache>
            </c:strRef>
          </c:cat>
          <c:val>
            <c:numRef>
              <c:f>Graphs!$N$7:$N$11</c:f>
              <c:numCache>
                <c:formatCode>General</c:formatCode>
                <c:ptCount val="5"/>
                <c:pt idx="0">
                  <c:v>1.0108789833445653E-2</c:v>
                </c:pt>
                <c:pt idx="1">
                  <c:v>-0.3843738851230824</c:v>
                </c:pt>
                <c:pt idx="2">
                  <c:v>-0.74713505408589487</c:v>
                </c:pt>
                <c:pt idx="3">
                  <c:v>-0.83919350872879273</c:v>
                </c:pt>
                <c:pt idx="4">
                  <c:v>-1.9301235619940349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26E-4210-AC27-499AEEADAF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08496112"/>
        <c:axId val="2108498992"/>
      </c:lineChart>
      <c:catAx>
        <c:axId val="21084961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8498992"/>
        <c:crosses val="autoZero"/>
        <c:auto val="1"/>
        <c:lblAlgn val="ctr"/>
        <c:lblOffset val="100"/>
        <c:noMultiLvlLbl val="0"/>
      </c:catAx>
      <c:valAx>
        <c:axId val="21084989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/>
                  <a:t>Margin 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84961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CapEx vs Operating Cash Flow ($M)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Graphs!$L$25</c:f>
              <c:strCache>
                <c:ptCount val="1"/>
                <c:pt idx="0">
                  <c:v>OCF</c:v>
                </c:pt>
              </c:strCache>
            </c:strRef>
          </c:tx>
          <c:spPr>
            <a:solidFill>
              <a:srgbClr val="404040"/>
            </a:solidFill>
            <a:ln>
              <a:noFill/>
            </a:ln>
            <a:effectLst/>
          </c:spPr>
          <c:invertIfNegative val="0"/>
          <c:cat>
            <c:strRef>
              <c:f>Graphs!$K$26:$K$30</c:f>
              <c:strCache>
                <c:ptCount val="5"/>
                <c:pt idx="0">
                  <c:v>FY2023</c:v>
                </c:pt>
                <c:pt idx="1">
                  <c:v>FY2024</c:v>
                </c:pt>
                <c:pt idx="2">
                  <c:v>FY2025</c:v>
                </c:pt>
                <c:pt idx="3">
                  <c:v>Q1'25</c:v>
                </c:pt>
                <c:pt idx="4">
                  <c:v>Q1'26</c:v>
                </c:pt>
              </c:strCache>
            </c:strRef>
          </c:cat>
          <c:val>
            <c:numRef>
              <c:f>Graphs!$L$26:$L$30</c:f>
              <c:numCache>
                <c:formatCode>General</c:formatCode>
                <c:ptCount val="5"/>
                <c:pt idx="0">
                  <c:v>4520</c:v>
                </c:pt>
                <c:pt idx="1">
                  <c:v>5776</c:v>
                </c:pt>
                <c:pt idx="2">
                  <c:v>6785</c:v>
                </c:pt>
                <c:pt idx="3">
                  <c:v>727</c:v>
                </c:pt>
                <c:pt idx="4">
                  <c:v>1047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52D-4590-AFA7-17DEA779AA93}"/>
            </c:ext>
          </c:extLst>
        </c:ser>
        <c:ser>
          <c:idx val="1"/>
          <c:order val="1"/>
          <c:tx>
            <c:strRef>
              <c:f>Graphs!$M$25</c:f>
              <c:strCache>
                <c:ptCount val="1"/>
                <c:pt idx="0">
                  <c:v>CapEx</c:v>
                </c:pt>
              </c:strCache>
            </c:strRef>
          </c:tx>
          <c:spPr>
            <a:solidFill>
              <a:srgbClr val="0D0D0D"/>
            </a:solidFill>
            <a:ln>
              <a:noFill/>
            </a:ln>
            <a:effectLst/>
          </c:spPr>
          <c:invertIfNegative val="0"/>
          <c:cat>
            <c:strRef>
              <c:f>Graphs!$K$26:$K$30</c:f>
              <c:strCache>
                <c:ptCount val="5"/>
                <c:pt idx="0">
                  <c:v>FY2023</c:v>
                </c:pt>
                <c:pt idx="1">
                  <c:v>FY2024</c:v>
                </c:pt>
                <c:pt idx="2">
                  <c:v>FY2025</c:v>
                </c:pt>
                <c:pt idx="3">
                  <c:v>Q1'25</c:v>
                </c:pt>
                <c:pt idx="4">
                  <c:v>Q1'26</c:v>
                </c:pt>
              </c:strCache>
            </c:strRef>
          </c:cat>
          <c:val>
            <c:numRef>
              <c:f>Graphs!$M$26:$M$30</c:f>
              <c:numCache>
                <c:formatCode>General</c:formatCode>
                <c:ptCount val="5"/>
                <c:pt idx="0">
                  <c:v>-4415</c:v>
                </c:pt>
                <c:pt idx="1">
                  <c:v>-11163</c:v>
                </c:pt>
                <c:pt idx="2">
                  <c:v>-20737</c:v>
                </c:pt>
                <c:pt idx="3">
                  <c:v>-4140</c:v>
                </c:pt>
                <c:pt idx="4">
                  <c:v>-10107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52D-4590-AFA7-17DEA779AA93}"/>
            </c:ext>
          </c:extLst>
        </c:ser>
        <c:ser>
          <c:idx val="2"/>
          <c:order val="2"/>
          <c:tx>
            <c:strRef>
              <c:f>Graphs!$N$25</c:f>
              <c:strCache>
                <c:ptCount val="1"/>
                <c:pt idx="0">
                  <c:v>FCF</c:v>
                </c:pt>
              </c:strCache>
            </c:strRef>
          </c:tx>
          <c:spPr>
            <a:solidFill>
              <a:srgbClr val="808080"/>
            </a:solidFill>
            <a:ln>
              <a:noFill/>
            </a:ln>
            <a:effectLst/>
          </c:spPr>
          <c:invertIfNegative val="0"/>
          <c:cat>
            <c:strRef>
              <c:f>Graphs!$K$26:$K$30</c:f>
              <c:strCache>
                <c:ptCount val="5"/>
                <c:pt idx="0">
                  <c:v>FY2023</c:v>
                </c:pt>
                <c:pt idx="1">
                  <c:v>FY2024</c:v>
                </c:pt>
                <c:pt idx="2">
                  <c:v>FY2025</c:v>
                </c:pt>
                <c:pt idx="3">
                  <c:v>Q1'25</c:v>
                </c:pt>
                <c:pt idx="4">
                  <c:v>Q1'26</c:v>
                </c:pt>
              </c:strCache>
            </c:strRef>
          </c:cat>
          <c:val>
            <c:numRef>
              <c:f>Graphs!$N$26:$N$30</c:f>
              <c:numCache>
                <c:formatCode>General</c:formatCode>
                <c:ptCount val="5"/>
                <c:pt idx="0">
                  <c:v>105</c:v>
                </c:pt>
                <c:pt idx="1">
                  <c:v>-5387</c:v>
                </c:pt>
                <c:pt idx="2">
                  <c:v>-13952</c:v>
                </c:pt>
                <c:pt idx="3">
                  <c:v>-3413</c:v>
                </c:pt>
                <c:pt idx="4">
                  <c:v>-9060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52D-4590-AFA7-17DEA779AA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75114992"/>
        <c:axId val="1975126512"/>
      </c:barChart>
      <c:catAx>
        <c:axId val="19751149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5126512"/>
        <c:crosses val="autoZero"/>
        <c:auto val="1"/>
        <c:lblAlgn val="ctr"/>
        <c:lblOffset val="100"/>
        <c:noMultiLvlLbl val="0"/>
      </c:catAx>
      <c:valAx>
        <c:axId val="19751265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/>
                  <a:t>$M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51149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5.xml"/><Relationship Id="rId5" Type="http://schemas.openxmlformats.org/officeDocument/2006/relationships/chart" Target="../charts/chart4.xml"/><Relationship Id="rId4" Type="http://schemas.openxmlformats.org/officeDocument/2006/relationships/chart" Target="../charts/chart3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756397</xdr:colOff>
      <xdr:row>0</xdr:row>
      <xdr:rowOff>0</xdr:rowOff>
    </xdr:from>
    <xdr:to>
      <xdr:col>10</xdr:col>
      <xdr:colOff>4889</xdr:colOff>
      <xdr:row>2</xdr:row>
      <xdr:rowOff>4683</xdr:rowOff>
    </xdr:to>
    <xdr:pic>
      <xdr:nvPicPr>
        <xdr:cNvPr id="4" name="Picture 3" descr="SpaceX">
          <a:extLst>
            <a:ext uri="{FF2B5EF4-FFF2-40B4-BE49-F238E27FC236}">
              <a16:creationId xmlns:a16="http://schemas.microsoft.com/office/drawing/2014/main" id="{5EC3221D-AD4A-7E8F-6DA3-723BEC417E3E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9392" t="44767" r="9130" b="44703"/>
        <a:stretch>
          <a:fillRect/>
        </a:stretch>
      </xdr:blipFill>
      <xdr:spPr bwMode="auto">
        <a:xfrm>
          <a:off x="12948397" y="0"/>
          <a:ext cx="3820492" cy="56739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753291</xdr:colOff>
      <xdr:row>0</xdr:row>
      <xdr:rowOff>0</xdr:rowOff>
    </xdr:from>
    <xdr:to>
      <xdr:col>10</xdr:col>
      <xdr:colOff>2369</xdr:colOff>
      <xdr:row>2</xdr:row>
      <xdr:rowOff>4683</xdr:rowOff>
    </xdr:to>
    <xdr:pic>
      <xdr:nvPicPr>
        <xdr:cNvPr id="2" name="Picture 1" descr="SpaceX">
          <a:extLst>
            <a:ext uri="{FF2B5EF4-FFF2-40B4-BE49-F238E27FC236}">
              <a16:creationId xmlns:a16="http://schemas.microsoft.com/office/drawing/2014/main" id="{EE99F81B-D56A-4232-80D6-1CD0CF3D317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9392" t="44767" r="9130" b="44703"/>
        <a:stretch>
          <a:fillRect/>
        </a:stretch>
      </xdr:blipFill>
      <xdr:spPr bwMode="auto">
        <a:xfrm>
          <a:off x="13454742" y="0"/>
          <a:ext cx="3821078" cy="5707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202378</xdr:colOff>
      <xdr:row>0</xdr:row>
      <xdr:rowOff>0</xdr:rowOff>
    </xdr:from>
    <xdr:to>
      <xdr:col>9</xdr:col>
      <xdr:colOff>1521654</xdr:colOff>
      <xdr:row>1</xdr:row>
      <xdr:rowOff>4360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77E9C44-1B0A-4621-A1FA-B426342A7A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18378" y="0"/>
          <a:ext cx="2843276" cy="3853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21</xdr:col>
      <xdr:colOff>609039</xdr:colOff>
      <xdr:row>0</xdr:row>
      <xdr:rowOff>0</xdr:rowOff>
    </xdr:from>
    <xdr:to>
      <xdr:col>24</xdr:col>
      <xdr:colOff>9868</xdr:colOff>
      <xdr:row>0</xdr:row>
      <xdr:rowOff>377740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CCFC099-C657-4C1F-B066-524BBE1C13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440839" y="0"/>
          <a:ext cx="2829829" cy="3777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21</xdr:col>
      <xdr:colOff>602974</xdr:colOff>
      <xdr:row>0</xdr:row>
      <xdr:rowOff>0</xdr:rowOff>
    </xdr:from>
    <xdr:to>
      <xdr:col>24</xdr:col>
      <xdr:colOff>7311</xdr:colOff>
      <xdr:row>1</xdr:row>
      <xdr:rowOff>1047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E034EEA-744A-47B2-AF04-08AAF29C90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120574" y="0"/>
          <a:ext cx="2843276" cy="3853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21</xdr:col>
      <xdr:colOff>609601</xdr:colOff>
      <xdr:row>0</xdr:row>
      <xdr:rowOff>0</xdr:rowOff>
    </xdr:from>
    <xdr:to>
      <xdr:col>24</xdr:col>
      <xdr:colOff>13938</xdr:colOff>
      <xdr:row>0</xdr:row>
      <xdr:rowOff>377740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3B429BC-5462-4845-B738-82B4B58F56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127201" y="0"/>
          <a:ext cx="2843276" cy="3777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212035</xdr:colOff>
      <xdr:row>0</xdr:row>
      <xdr:rowOff>0</xdr:rowOff>
    </xdr:from>
    <xdr:to>
      <xdr:col>10</xdr:col>
      <xdr:colOff>7311</xdr:colOff>
      <xdr:row>1</xdr:row>
      <xdr:rowOff>1047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0DEE327-5401-44E9-A5F6-D5B3C402CE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28035" y="0"/>
          <a:ext cx="2843276" cy="3853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20</xdr:col>
      <xdr:colOff>205409</xdr:colOff>
      <xdr:row>0</xdr:row>
      <xdr:rowOff>0</xdr:rowOff>
    </xdr:from>
    <xdr:to>
      <xdr:col>24</xdr:col>
      <xdr:colOff>685</xdr:colOff>
      <xdr:row>0</xdr:row>
      <xdr:rowOff>382047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9D70A58-24D5-4016-A740-8CED3FF729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44122" y="0"/>
          <a:ext cx="2843276" cy="38204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20</xdr:col>
      <xdr:colOff>205408</xdr:colOff>
      <xdr:row>0</xdr:row>
      <xdr:rowOff>0</xdr:rowOff>
    </xdr:from>
    <xdr:to>
      <xdr:col>24</xdr:col>
      <xdr:colOff>684</xdr:colOff>
      <xdr:row>0</xdr:row>
      <xdr:rowOff>382047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B130FA4-E192-4F24-A8B9-1D78E319A1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44121" y="0"/>
          <a:ext cx="2843276" cy="38204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20</xdr:col>
      <xdr:colOff>205409</xdr:colOff>
      <xdr:row>0</xdr:row>
      <xdr:rowOff>0</xdr:rowOff>
    </xdr:from>
    <xdr:to>
      <xdr:col>24</xdr:col>
      <xdr:colOff>685</xdr:colOff>
      <xdr:row>0</xdr:row>
      <xdr:rowOff>382047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FF17DEF-7154-49C2-8896-A0F9CB6830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44122" y="0"/>
          <a:ext cx="2843276" cy="38204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222152</xdr:colOff>
      <xdr:row>0</xdr:row>
      <xdr:rowOff>0</xdr:rowOff>
    </xdr:from>
    <xdr:to>
      <xdr:col>10</xdr:col>
      <xdr:colOff>17428</xdr:colOff>
      <xdr:row>1</xdr:row>
      <xdr:rowOff>4360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CEE2C02-6AA6-4C54-89A4-A30D48A333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38152" y="0"/>
          <a:ext cx="2843276" cy="3853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66040</xdr:colOff>
      <xdr:row>2</xdr:row>
      <xdr:rowOff>50800</xdr:rowOff>
    </xdr:from>
    <xdr:to>
      <xdr:col>9</xdr:col>
      <xdr:colOff>66040</xdr:colOff>
      <xdr:row>20</xdr:row>
      <xdr:rowOff>60960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5262282-4C36-4D4C-A44D-83C3B3091CA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72729</xdr:colOff>
      <xdr:row>38</xdr:row>
      <xdr:rowOff>143233</xdr:rowOff>
    </xdr:from>
    <xdr:to>
      <xdr:col>18</xdr:col>
      <xdr:colOff>351376</xdr:colOff>
      <xdr:row>56</xdr:row>
      <xdr:rowOff>153393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58A62AF-E0AF-E176-E6FB-0982AAD216E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18</xdr:col>
      <xdr:colOff>391462</xdr:colOff>
      <xdr:row>2</xdr:row>
      <xdr:rowOff>34885</xdr:rowOff>
    </xdr:from>
    <xdr:to>
      <xdr:col>28</xdr:col>
      <xdr:colOff>297503</xdr:colOff>
      <xdr:row>38</xdr:row>
      <xdr:rowOff>104503</xdr:rowOff>
    </xdr:to>
    <xdr:pic>
      <xdr:nvPicPr>
        <xdr:cNvPr id="4" name="Picture 3" descr="r/dataisbeautiful - [OC] SpaceX Share Unlock Timeline (2026–2027)">
          <a:extLst>
            <a:ext uri="{FF2B5EF4-FFF2-40B4-BE49-F238E27FC236}">
              <a16:creationId xmlns:a16="http://schemas.microsoft.com/office/drawing/2014/main" id="{DB76AAFE-72A6-F9E3-DB93-BB0BB150A11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b="275"/>
        <a:stretch>
          <a:fillRect/>
        </a:stretch>
      </xdr:blipFill>
      <xdr:spPr bwMode="auto">
        <a:xfrm>
          <a:off x="11590685" y="600942"/>
          <a:ext cx="6467949" cy="6653298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0</xdr:col>
      <xdr:colOff>68581</xdr:colOff>
      <xdr:row>20</xdr:row>
      <xdr:rowOff>97971</xdr:rowOff>
    </xdr:from>
    <xdr:to>
      <xdr:col>9</xdr:col>
      <xdr:colOff>65314</xdr:colOff>
      <xdr:row>38</xdr:row>
      <xdr:rowOff>108131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C6E3C7B-DA46-8EEE-C483-8B6184427B3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9</xdr:col>
      <xdr:colOff>122394</xdr:colOff>
      <xdr:row>2</xdr:row>
      <xdr:rowOff>50745</xdr:rowOff>
    </xdr:from>
    <xdr:to>
      <xdr:col>18</xdr:col>
      <xdr:colOff>350994</xdr:colOff>
      <xdr:row>20</xdr:row>
      <xdr:rowOff>58365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E6BC0473-3680-CF67-786A-93039BFB605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9</xdr:col>
      <xdr:colOff>123759</xdr:colOff>
      <xdr:row>20</xdr:row>
      <xdr:rowOff>95816</xdr:rowOff>
    </xdr:from>
    <xdr:to>
      <xdr:col>18</xdr:col>
      <xdr:colOff>349994</xdr:colOff>
      <xdr:row>38</xdr:row>
      <xdr:rowOff>105976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3CFF1545-CBE5-AFBE-229D-5CC4DF6F483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601394</xdr:colOff>
      <xdr:row>0</xdr:row>
      <xdr:rowOff>0</xdr:rowOff>
    </xdr:from>
    <xdr:to>
      <xdr:col>10</xdr:col>
      <xdr:colOff>15670</xdr:colOff>
      <xdr:row>1</xdr:row>
      <xdr:rowOff>4360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64CDCEB-5E26-4D80-BD34-6F4E51A655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507394" y="0"/>
          <a:ext cx="2843276" cy="3853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211500</xdr:colOff>
      <xdr:row>0</xdr:row>
      <xdr:rowOff>0</xdr:rowOff>
    </xdr:from>
    <xdr:to>
      <xdr:col>17</xdr:col>
      <xdr:colOff>6776</xdr:colOff>
      <xdr:row>1</xdr:row>
      <xdr:rowOff>1047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E8CD50A-5334-40B6-9108-535ED5EEA9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03500" y="0"/>
          <a:ext cx="2843276" cy="38204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ersons/person0.xml><?xml version="1.0" encoding="utf-8"?>
<personList xmlns="http://schemas.microsoft.com/office/spreadsheetml/2018/threadedcomments" xmlns:x="http://schemas.openxmlformats.org/spreadsheetml/2006/main"/>
</file>

<file path=xl/persons/person1.xml><?xml version="1.0" encoding="utf-8"?>
<personList xmlns="http://schemas.microsoft.com/office/spreadsheetml/2018/threadedcomments" xmlns:x="http://schemas.openxmlformats.org/spreadsheetml/2006/main"/>
</file>

<file path=xl/persons/person2.xml><?xml version="1.0" encoding="utf-8"?>
<personList xmlns="http://schemas.microsoft.com/office/spreadsheetml/2018/threadedcomments" xmlns:x="http://schemas.openxmlformats.org/spreadsheetml/2006/main"/>
</file>

<file path=xl/persons/person3.xml><?xml version="1.0" encoding="utf-8"?>
<personList xmlns="http://schemas.microsoft.com/office/spreadsheetml/2018/threadedcomments" xmlns:x="http://schemas.openxmlformats.org/spreadsheetml/2006/main"/>
</file>

<file path=xl/persons/person4.xml><?xml version="1.0" encoding="utf-8"?>
<personList xmlns="http://schemas.microsoft.com/office/spreadsheetml/2018/threadedcomments" xmlns:x="http://schemas.openxmlformats.org/spreadsheetml/2006/main"/>
</file>

<file path=xl/persons/person5.xml><?xml version="1.0" encoding="utf-8"?>
<personList xmlns="http://schemas.microsoft.com/office/spreadsheetml/2018/threadedcomments" xmlns:x="http://schemas.openxmlformats.org/spreadsheetml/2006/main"/>
</file>

<file path=xl/persons/person6.xml><?xml version="1.0" encoding="utf-8"?>
<personList xmlns="http://schemas.microsoft.com/office/spreadsheetml/2018/threadedcomments" xmlns:x="http://schemas.openxmlformats.org/spreadsheetml/2006/main"/>
</file>

<file path=xl/persons/person7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5" row="4">
    <wetp:webextensionref xmlns:r="http://schemas.openxmlformats.org/officeDocument/2006/relationships" r:id="rId1"/>
  </wetp:taskpane>
  <wetp:taskpane dockstate="right" visibility="0" width="438" row="5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8901FC91-6F3E-410D-925D-ED3661439770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20124813-49a8-4f2c-8d4a-d493a2ebf096&quot;"/>
  </we:properties>
  <we:bindings/>
  <we:snapshot xmlns:r="http://schemas.openxmlformats.org/officeDocument/2006/relationships"/>
</we:webextension>
</file>

<file path=xl/webextensions/webextension2.xml><?xml version="1.0" encoding="utf-8"?>
<we:webextension xmlns:we="http://schemas.microsoft.com/office/webextensions/webextension/2010/11" id="{8FE98888-6485-4B55-B00D-79A0741BBE77}">
  <we:reference id="wa200002252" version="1.0.0.3" store="en-US" storeType="OMEX"/>
  <we:alternateReferences>
    <we:reference id="WA200002252" version="1.0.0.3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0858819E-0033-43BF-8937-05EC82904868}">
      <we:backgroundApp state="1" runtimeId="Taskpane.Url"/>
    </a:ext>
  </we:extLst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3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vmlDrawing" Target="../drawings/vmlDrawing10.vml"/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1.xml"/><Relationship Id="rId2" Type="http://schemas.openxmlformats.org/officeDocument/2006/relationships/vmlDrawing" Target="../drawings/vmlDrawing11.vml"/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2.xml"/><Relationship Id="rId2" Type="http://schemas.openxmlformats.org/officeDocument/2006/relationships/vmlDrawing" Target="../drawings/vmlDrawing12.vml"/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B36E6C-B78C-4231-B166-FD77A910F76F}">
  <sheetPr>
    <tabColor theme="1" tint="4.9989318521683403E-2"/>
  </sheetPr>
  <dimension ref="A1:J100"/>
  <sheetViews>
    <sheetView showGridLines="0" tabSelected="1" zoomScaleNormal="100" workbookViewId="0">
      <pane ySplit="2" topLeftCell="A3" activePane="bottomLeft" state="frozen"/>
      <selection activeCell="A20" sqref="A20"/>
      <selection pane="bottomLeft" activeCell="F18" sqref="F18"/>
    </sheetView>
  </sheetViews>
  <sheetFormatPr defaultRowHeight="14.4" x14ac:dyDescent="0.3"/>
  <cols>
    <col min="1" max="1" width="44.44140625" customWidth="1"/>
    <col min="2" max="10" width="22.21875" customWidth="1"/>
  </cols>
  <sheetData>
    <row r="1" spans="1:10" ht="30" customHeight="1" x14ac:dyDescent="0.3">
      <c r="A1" s="352" t="s">
        <v>680</v>
      </c>
      <c r="B1" s="87"/>
      <c r="C1" s="87"/>
      <c r="D1" s="87"/>
      <c r="E1" s="87"/>
      <c r="F1" s="87"/>
      <c r="G1" s="87"/>
      <c r="H1" s="87"/>
      <c r="I1" s="87"/>
      <c r="J1" s="87"/>
    </row>
    <row r="2" spans="1:10" x14ac:dyDescent="0.3">
      <c r="A2" s="511" t="str">
        <f ca="1">"Prepared: "&amp;TEXT(TODAY(),"d-mmm-yyyy")&amp;"  |  Source: SpaceX S-1 (Filed 20-May-2026) "</f>
        <v xml:space="preserve">Prepared: 24-Jun-2026  |  Source: SpaceX S-1 (Filed 20-May-2026) </v>
      </c>
      <c r="B2" s="88"/>
      <c r="C2" s="88"/>
      <c r="D2" s="88"/>
      <c r="E2" s="88"/>
      <c r="F2" s="88"/>
      <c r="G2" s="88"/>
      <c r="H2" s="88"/>
      <c r="I2" s="88"/>
      <c r="J2" s="88"/>
    </row>
    <row r="3" spans="1:10" x14ac:dyDescent="0.3">
      <c r="A3" s="80"/>
      <c r="B3" s="80"/>
      <c r="C3" s="80"/>
      <c r="D3" s="80"/>
      <c r="E3" s="80"/>
      <c r="F3" s="80"/>
      <c r="G3" s="80"/>
    </row>
    <row r="4" spans="1:10" x14ac:dyDescent="0.3">
      <c r="A4" s="108" t="s">
        <v>560</v>
      </c>
      <c r="B4" s="109"/>
      <c r="C4" s="109"/>
      <c r="D4" s="109"/>
      <c r="E4" s="109"/>
      <c r="F4" s="89"/>
      <c r="G4" s="89"/>
      <c r="H4" s="89"/>
      <c r="I4" s="89"/>
      <c r="J4" s="89"/>
    </row>
    <row r="5" spans="1:10" x14ac:dyDescent="0.3">
      <c r="A5" s="110"/>
      <c r="B5" s="110"/>
      <c r="C5" s="110"/>
      <c r="D5" s="110"/>
      <c r="E5" s="110"/>
      <c r="F5" s="80"/>
      <c r="G5" s="80"/>
    </row>
    <row r="6" spans="1:10" x14ac:dyDescent="0.3">
      <c r="A6" s="110" t="s">
        <v>561</v>
      </c>
      <c r="B6" s="110"/>
      <c r="C6" s="110"/>
      <c r="D6" s="110"/>
      <c r="E6" s="110"/>
      <c r="F6" s="80"/>
      <c r="G6" s="80"/>
    </row>
    <row r="7" spans="1:10" x14ac:dyDescent="0.3">
      <c r="A7" s="110" t="s">
        <v>815</v>
      </c>
      <c r="B7" s="110"/>
      <c r="C7" s="110"/>
      <c r="D7" s="110"/>
      <c r="E7" s="110"/>
      <c r="F7" s="80"/>
      <c r="G7" s="80"/>
    </row>
    <row r="8" spans="1:10" x14ac:dyDescent="0.3">
      <c r="A8" s="110" t="s">
        <v>816</v>
      </c>
      <c r="B8" s="110"/>
      <c r="C8" s="110"/>
      <c r="D8" s="110"/>
      <c r="E8" s="110"/>
      <c r="F8" s="80"/>
      <c r="G8" s="80"/>
    </row>
    <row r="9" spans="1:10" x14ac:dyDescent="0.3">
      <c r="A9" s="110" t="s">
        <v>817</v>
      </c>
      <c r="B9" s="110"/>
      <c r="C9" s="110"/>
      <c r="D9" s="110"/>
      <c r="E9" s="110"/>
      <c r="F9" s="80"/>
      <c r="G9" s="80"/>
    </row>
    <row r="10" spans="1:10" x14ac:dyDescent="0.3">
      <c r="A10" s="110"/>
      <c r="B10" s="110"/>
      <c r="C10" s="110"/>
      <c r="D10" s="110"/>
      <c r="E10" s="110"/>
      <c r="F10" s="80"/>
      <c r="G10" s="80"/>
    </row>
    <row r="11" spans="1:10" x14ac:dyDescent="0.3">
      <c r="A11" s="110" t="s">
        <v>562</v>
      </c>
      <c r="B11" s="110"/>
      <c r="C11" s="110"/>
      <c r="D11" s="110"/>
      <c r="E11" s="110"/>
      <c r="F11" s="80"/>
      <c r="G11" s="80"/>
    </row>
    <row r="12" spans="1:10" x14ac:dyDescent="0.3">
      <c r="A12" s="110" t="s">
        <v>563</v>
      </c>
      <c r="B12" s="110"/>
      <c r="C12" s="110"/>
      <c r="D12" s="110"/>
      <c r="E12" s="110"/>
      <c r="F12" s="80"/>
      <c r="G12" s="80"/>
    </row>
    <row r="13" spans="1:10" x14ac:dyDescent="0.3">
      <c r="A13" s="110"/>
      <c r="B13" s="110"/>
      <c r="C13" s="110"/>
      <c r="D13" s="110"/>
      <c r="E13" s="110"/>
      <c r="F13" s="80"/>
      <c r="G13" s="80"/>
    </row>
    <row r="14" spans="1:10" x14ac:dyDescent="0.3">
      <c r="A14" s="108" t="s">
        <v>564</v>
      </c>
      <c r="B14" s="109"/>
      <c r="C14" s="109"/>
      <c r="D14" s="109"/>
      <c r="E14" s="109"/>
      <c r="F14" s="89"/>
      <c r="G14" s="89"/>
      <c r="H14" s="89"/>
      <c r="I14" s="89"/>
      <c r="J14" s="89"/>
    </row>
    <row r="15" spans="1:10" ht="3" customHeight="1" x14ac:dyDescent="0.3">
      <c r="A15" s="112"/>
      <c r="B15" s="113"/>
      <c r="C15" s="113"/>
      <c r="D15" s="113"/>
      <c r="E15" s="113"/>
      <c r="F15" s="90"/>
      <c r="G15" s="90"/>
      <c r="H15" s="90"/>
      <c r="I15" s="90"/>
      <c r="J15" s="90"/>
    </row>
    <row r="16" spans="1:10" x14ac:dyDescent="0.3">
      <c r="A16" s="114" t="s">
        <v>726</v>
      </c>
      <c r="B16" s="115" t="s">
        <v>565</v>
      </c>
      <c r="C16" s="115" t="s">
        <v>566</v>
      </c>
      <c r="D16" s="115" t="s">
        <v>115</v>
      </c>
      <c r="E16" s="115"/>
      <c r="F16" s="116"/>
      <c r="G16" s="116" t="s">
        <v>567</v>
      </c>
      <c r="H16" s="116"/>
      <c r="I16" s="116"/>
      <c r="J16" s="116"/>
    </row>
    <row r="17" spans="1:10" x14ac:dyDescent="0.3">
      <c r="A17" s="250" t="s">
        <v>568</v>
      </c>
      <c r="B17" s="247">
        <f>SOTP!B12</f>
        <v>609915.35113596846</v>
      </c>
      <c r="C17" s="247">
        <f>SOTP!C12</f>
        <v>410450.0727724579</v>
      </c>
      <c r="D17" s="247">
        <f>SOTP!D12</f>
        <v>615495.19273144635</v>
      </c>
      <c r="E17" s="110"/>
      <c r="F17" s="248"/>
      <c r="G17" s="498" t="s">
        <v>572</v>
      </c>
      <c r="H17" s="249"/>
      <c r="I17" s="249"/>
      <c r="J17" s="249"/>
    </row>
    <row r="18" spans="1:10" x14ac:dyDescent="0.3">
      <c r="A18" s="250" t="s">
        <v>153</v>
      </c>
      <c r="B18" s="247">
        <f>SOTP!B23</f>
        <v>692766.35113596846</v>
      </c>
      <c r="C18" s="247">
        <f>SOTP!C23</f>
        <v>493301.0727724579</v>
      </c>
      <c r="D18" s="247">
        <f>SOTP!D23</f>
        <v>698346.19273144635</v>
      </c>
      <c r="E18" s="110"/>
      <c r="F18" s="248"/>
      <c r="G18" s="498" t="s">
        <v>573</v>
      </c>
      <c r="H18" s="249"/>
      <c r="I18" s="249"/>
      <c r="J18" s="249"/>
    </row>
    <row r="19" spans="1:10" x14ac:dyDescent="0.3">
      <c r="A19" s="250" t="s">
        <v>569</v>
      </c>
      <c r="B19" s="251">
        <f>B18/SOTP!B29</f>
        <v>53.122180134649831</v>
      </c>
      <c r="C19" s="251">
        <f>C18/SOTP!C29</f>
        <v>37.82693603040088</v>
      </c>
      <c r="D19" s="251">
        <f>D18/SOTP!D29</f>
        <v>53.550049285441787</v>
      </c>
      <c r="E19" s="110"/>
      <c r="F19" s="248"/>
      <c r="G19" s="498" t="s">
        <v>574</v>
      </c>
      <c r="H19" s="249"/>
      <c r="I19" s="249"/>
      <c r="J19" s="249"/>
    </row>
    <row r="20" spans="1:10" x14ac:dyDescent="0.3">
      <c r="A20" s="252" t="s">
        <v>570</v>
      </c>
      <c r="B20" s="452">
        <f>Dashboard!B5</f>
        <v>154</v>
      </c>
      <c r="C20" s="418">
        <f>B20</f>
        <v>154</v>
      </c>
      <c r="D20" s="418">
        <f>B20</f>
        <v>154</v>
      </c>
      <c r="E20" s="110"/>
      <c r="F20" s="253"/>
      <c r="G20" s="253"/>
      <c r="H20" s="80"/>
      <c r="I20" s="80"/>
      <c r="J20" s="80"/>
    </row>
    <row r="21" spans="1:10" x14ac:dyDescent="0.3">
      <c r="A21" s="250" t="s">
        <v>571</v>
      </c>
      <c r="B21" s="453">
        <f>B19/B20-1</f>
        <v>-0.65505077834642966</v>
      </c>
      <c r="C21" s="453">
        <f>C19/C20-1</f>
        <v>-0.7543705452571372</v>
      </c>
      <c r="D21" s="453">
        <f>D19/D20-1</f>
        <v>-0.65227240723739099</v>
      </c>
      <c r="E21" s="110"/>
      <c r="F21" s="253"/>
      <c r="G21" s="253"/>
      <c r="H21" s="80"/>
      <c r="I21" s="80"/>
      <c r="J21" s="80"/>
    </row>
    <row r="22" spans="1:10" ht="15" thickBot="1" x14ac:dyDescent="0.35">
      <c r="A22" s="254" t="s">
        <v>818</v>
      </c>
      <c r="B22" s="454">
        <f>SOTP!B29</f>
        <v>13041</v>
      </c>
      <c r="C22" s="162"/>
      <c r="D22" s="162"/>
      <c r="E22" s="162"/>
      <c r="F22" s="255"/>
      <c r="G22" s="255"/>
      <c r="H22" s="163"/>
      <c r="I22" s="163"/>
      <c r="J22" s="163"/>
    </row>
    <row r="23" spans="1:10" ht="15" thickTop="1" x14ac:dyDescent="0.3">
      <c r="A23" s="110"/>
      <c r="B23" s="110"/>
      <c r="C23" s="110"/>
      <c r="D23" s="110"/>
      <c r="E23" s="110"/>
      <c r="F23" s="80"/>
      <c r="G23" s="80"/>
      <c r="H23" s="80"/>
      <c r="I23" s="80"/>
      <c r="J23" s="80"/>
    </row>
    <row r="24" spans="1:10" x14ac:dyDescent="0.3">
      <c r="A24" s="108" t="s">
        <v>576</v>
      </c>
      <c r="B24" s="109"/>
      <c r="C24" s="109"/>
      <c r="D24" s="109"/>
      <c r="E24" s="109"/>
      <c r="F24" s="89"/>
      <c r="G24" s="89"/>
      <c r="H24" s="88"/>
      <c r="I24" s="88"/>
      <c r="J24" s="88"/>
    </row>
    <row r="25" spans="1:10" ht="3" customHeight="1" x14ac:dyDescent="0.3">
      <c r="A25" s="110"/>
      <c r="B25" s="110"/>
      <c r="C25" s="110"/>
      <c r="D25" s="110"/>
      <c r="E25" s="110"/>
      <c r="F25" s="80"/>
      <c r="G25" s="80"/>
    </row>
    <row r="26" spans="1:10" x14ac:dyDescent="0.3">
      <c r="A26" s="114" t="s">
        <v>727</v>
      </c>
      <c r="B26" s="115" t="s">
        <v>577</v>
      </c>
      <c r="C26" s="115" t="s">
        <v>578</v>
      </c>
      <c r="D26" s="115" t="s">
        <v>38</v>
      </c>
      <c r="E26" s="115" t="s">
        <v>579</v>
      </c>
      <c r="F26" s="114"/>
      <c r="G26" s="114" t="s">
        <v>580</v>
      </c>
      <c r="H26" s="114"/>
      <c r="I26" s="114"/>
      <c r="J26" s="114"/>
    </row>
    <row r="27" spans="1:10" x14ac:dyDescent="0.3">
      <c r="A27" s="250" t="s">
        <v>16</v>
      </c>
      <c r="B27" s="247">
        <f>SOTP!D9</f>
        <v>558405.90766802779</v>
      </c>
      <c r="C27" s="258">
        <f>SOTP!E9</f>
        <v>0.90724657846624668</v>
      </c>
      <c r="D27" s="259">
        <f>WACC!B42</f>
        <v>6.3906891025641024E-2</v>
      </c>
      <c r="E27" s="258">
        <f>WACC!C42</f>
        <v>0.03</v>
      </c>
      <c r="F27" s="260"/>
      <c r="G27" s="495" t="s">
        <v>581</v>
      </c>
      <c r="H27" s="260"/>
      <c r="I27" s="260"/>
      <c r="J27" s="260"/>
    </row>
    <row r="28" spans="1:10" x14ac:dyDescent="0.3">
      <c r="A28" s="250" t="s">
        <v>112</v>
      </c>
      <c r="B28" s="247">
        <f>SOTP!D10</f>
        <v>52422.72039937041</v>
      </c>
      <c r="C28" s="258">
        <f>SOTP!E10</f>
        <v>8.5171616315521018E-2</v>
      </c>
      <c r="D28" s="259">
        <f>WACC!B43</f>
        <v>6.8984004275846722E-2</v>
      </c>
      <c r="E28" s="258">
        <f>WACC!C43</f>
        <v>2.5000000000000001E-2</v>
      </c>
      <c r="F28" s="260"/>
      <c r="G28" s="495" t="s">
        <v>581</v>
      </c>
      <c r="H28" s="260"/>
      <c r="I28" s="260"/>
      <c r="J28" s="260"/>
    </row>
    <row r="29" spans="1:10" x14ac:dyDescent="0.3">
      <c r="A29" s="250" t="s">
        <v>113</v>
      </c>
      <c r="B29" s="247">
        <f>SOTP!D11</f>
        <v>4666.5646640481073</v>
      </c>
      <c r="C29" s="258">
        <f>SOTP!E11</f>
        <v>7.5818052182321898E-3</v>
      </c>
      <c r="D29" s="259">
        <f>WACC!B44</f>
        <v>0.10385357991614476</v>
      </c>
      <c r="E29" s="258">
        <f>WACC!C44</f>
        <v>3.5000000000000003E-2</v>
      </c>
      <c r="F29" s="260"/>
      <c r="G29" s="495" t="s">
        <v>819</v>
      </c>
      <c r="H29" s="260"/>
      <c r="I29" s="260"/>
      <c r="J29" s="260"/>
    </row>
    <row r="30" spans="1:10" ht="15" thickBot="1" x14ac:dyDescent="0.35">
      <c r="A30" s="165" t="s">
        <v>728</v>
      </c>
      <c r="B30" s="166">
        <f>SOTP!D12</f>
        <v>615495.19273144635</v>
      </c>
      <c r="C30" s="167">
        <f>SOTP!E12</f>
        <v>1</v>
      </c>
      <c r="D30" s="168"/>
      <c r="E30" s="168"/>
      <c r="F30" s="168"/>
      <c r="G30" s="168"/>
      <c r="H30" s="168"/>
      <c r="I30" s="168"/>
      <c r="J30" s="168"/>
    </row>
    <row r="31" spans="1:10" ht="15" thickTop="1" x14ac:dyDescent="0.3">
      <c r="A31" s="110"/>
      <c r="B31" s="110"/>
      <c r="C31" s="110"/>
      <c r="D31" s="110"/>
      <c r="E31" s="110"/>
      <c r="F31" s="80"/>
      <c r="G31" s="80"/>
    </row>
    <row r="32" spans="1:10" x14ac:dyDescent="0.3">
      <c r="A32" s="159" t="s">
        <v>582</v>
      </c>
      <c r="B32" s="160"/>
      <c r="C32" s="160"/>
      <c r="D32" s="160"/>
      <c r="E32" s="160"/>
      <c r="F32" s="161"/>
      <c r="G32" s="161"/>
      <c r="H32" s="88"/>
      <c r="I32" s="88"/>
      <c r="J32" s="88"/>
    </row>
    <row r="33" spans="1:10" ht="3" customHeight="1" x14ac:dyDescent="0.3">
      <c r="A33" s="110"/>
      <c r="B33" s="110"/>
      <c r="C33" s="110"/>
      <c r="D33" s="110"/>
      <c r="E33" s="110"/>
      <c r="F33" s="80"/>
      <c r="G33" s="80"/>
    </row>
    <row r="34" spans="1:10" x14ac:dyDescent="0.3">
      <c r="A34" s="114" t="s">
        <v>729</v>
      </c>
      <c r="B34" s="115" t="s">
        <v>20</v>
      </c>
      <c r="C34" s="115" t="s">
        <v>13</v>
      </c>
      <c r="D34" s="115" t="s">
        <v>21</v>
      </c>
      <c r="E34" s="256"/>
      <c r="F34" s="114"/>
      <c r="G34" s="114" t="s">
        <v>175</v>
      </c>
      <c r="H34" s="114"/>
      <c r="I34" s="114"/>
      <c r="J34" s="114"/>
    </row>
    <row r="35" spans="1:10" x14ac:dyDescent="0.3">
      <c r="A35" s="110" t="s">
        <v>583</v>
      </c>
      <c r="B35" s="261" t="s">
        <v>584</v>
      </c>
      <c r="C35" s="261" t="s">
        <v>584</v>
      </c>
      <c r="D35" s="261" t="s">
        <v>584</v>
      </c>
      <c r="E35" s="110"/>
      <c r="F35" s="260"/>
      <c r="G35" s="495" t="s">
        <v>585</v>
      </c>
      <c r="H35" s="260"/>
      <c r="I35" s="260"/>
      <c r="J35" s="260"/>
    </row>
    <row r="36" spans="1:10" x14ac:dyDescent="0.3">
      <c r="A36" s="110" t="s">
        <v>38</v>
      </c>
      <c r="B36" s="259">
        <f>WACC!B42</f>
        <v>6.3906891025641024E-2</v>
      </c>
      <c r="C36" s="259">
        <f>WACC!B43</f>
        <v>6.8984004275846722E-2</v>
      </c>
      <c r="D36" s="259">
        <f>WACC!B44</f>
        <v>0.10385357991614476</v>
      </c>
      <c r="E36" s="110"/>
      <c r="F36" s="260"/>
      <c r="G36" s="495" t="s">
        <v>586</v>
      </c>
      <c r="H36" s="260"/>
      <c r="I36" s="260"/>
      <c r="J36" s="260"/>
    </row>
    <row r="37" spans="1:10" x14ac:dyDescent="0.3">
      <c r="A37" s="110" t="s">
        <v>63</v>
      </c>
      <c r="B37" s="258">
        <f>WACC!C42</f>
        <v>0.03</v>
      </c>
      <c r="C37" s="258">
        <f>WACC!C43</f>
        <v>2.5000000000000001E-2</v>
      </c>
      <c r="D37" s="258">
        <f>WACC!C44</f>
        <v>3.5000000000000003E-2</v>
      </c>
      <c r="E37" s="110"/>
      <c r="F37" s="260"/>
      <c r="G37" s="495" t="s">
        <v>587</v>
      </c>
      <c r="H37" s="260"/>
      <c r="I37" s="260"/>
      <c r="J37" s="260"/>
    </row>
    <row r="38" spans="1:10" x14ac:dyDescent="0.3">
      <c r="A38" s="110" t="s">
        <v>588</v>
      </c>
      <c r="B38" s="259">
        <f>WACC!B7</f>
        <v>4.3499999999999997E-2</v>
      </c>
      <c r="C38" s="261"/>
      <c r="D38" s="261"/>
      <c r="E38" s="110"/>
      <c r="F38" s="260"/>
      <c r="G38" s="495" t="s">
        <v>589</v>
      </c>
      <c r="H38" s="260"/>
      <c r="I38" s="260"/>
      <c r="J38" s="260"/>
    </row>
    <row r="39" spans="1:10" x14ac:dyDescent="0.3">
      <c r="A39" s="110" t="s">
        <v>8</v>
      </c>
      <c r="B39" s="258">
        <f>WACC!B8</f>
        <v>5.5E-2</v>
      </c>
      <c r="C39" s="261"/>
      <c r="D39" s="261"/>
      <c r="E39" s="110"/>
      <c r="F39" s="260"/>
      <c r="G39" s="495" t="s">
        <v>590</v>
      </c>
      <c r="H39" s="260"/>
      <c r="I39" s="260"/>
      <c r="J39" s="260"/>
    </row>
    <row r="40" spans="1:10" ht="15" thickBot="1" x14ac:dyDescent="0.35">
      <c r="A40" s="162" t="s">
        <v>10</v>
      </c>
      <c r="B40" s="262">
        <f>WACC!B9</f>
        <v>0.21</v>
      </c>
      <c r="C40" s="162"/>
      <c r="D40" s="162"/>
      <c r="E40" s="162"/>
      <c r="F40" s="152"/>
      <c r="G40" s="496" t="s">
        <v>591</v>
      </c>
      <c r="H40" s="163"/>
      <c r="I40" s="163"/>
      <c r="J40" s="163"/>
    </row>
    <row r="41" spans="1:10" ht="15" thickTop="1" x14ac:dyDescent="0.3">
      <c r="A41" s="110"/>
      <c r="B41" s="110"/>
      <c r="C41" s="110"/>
      <c r="D41" s="110"/>
      <c r="E41" s="110"/>
      <c r="F41" s="80"/>
      <c r="G41" s="80"/>
    </row>
    <row r="42" spans="1:10" x14ac:dyDescent="0.3">
      <c r="A42" s="108" t="s">
        <v>592</v>
      </c>
      <c r="B42" s="109"/>
      <c r="C42" s="109"/>
      <c r="D42" s="109"/>
      <c r="E42" s="109"/>
      <c r="F42" s="89"/>
      <c r="G42" s="89"/>
      <c r="H42" s="88"/>
      <c r="I42" s="88"/>
      <c r="J42" s="88"/>
    </row>
    <row r="43" spans="1:10" ht="3" customHeight="1" x14ac:dyDescent="0.3">
      <c r="A43" s="110"/>
      <c r="B43" s="110"/>
      <c r="C43" s="110"/>
      <c r="D43" s="110"/>
      <c r="E43" s="110"/>
      <c r="F43" s="80"/>
      <c r="G43" s="80"/>
    </row>
    <row r="44" spans="1:10" x14ac:dyDescent="0.3">
      <c r="A44" s="114" t="s">
        <v>730</v>
      </c>
      <c r="B44" s="115" t="s">
        <v>299</v>
      </c>
      <c r="C44" s="115" t="s">
        <v>593</v>
      </c>
      <c r="D44" s="256"/>
      <c r="E44" s="256"/>
      <c r="F44" s="114"/>
      <c r="G44" s="114" t="s">
        <v>5</v>
      </c>
      <c r="H44" s="114"/>
      <c r="I44" s="114"/>
      <c r="J44" s="114"/>
    </row>
    <row r="45" spans="1:10" x14ac:dyDescent="0.3">
      <c r="A45" s="250" t="s">
        <v>1</v>
      </c>
      <c r="B45" s="247">
        <f>SOTP!D50</f>
        <v>18674</v>
      </c>
      <c r="C45" s="258">
        <f>SOTP!D50/SOTP!C50-1</f>
        <v>0.3324295397788084</v>
      </c>
      <c r="D45" s="110"/>
      <c r="E45" s="110"/>
      <c r="F45" s="260"/>
      <c r="G45" s="495" t="s">
        <v>820</v>
      </c>
      <c r="H45" s="260"/>
      <c r="I45" s="260"/>
      <c r="J45" s="260"/>
    </row>
    <row r="46" spans="1:10" x14ac:dyDescent="0.3">
      <c r="A46" s="111" t="s">
        <v>512</v>
      </c>
      <c r="B46" s="247">
        <f>SOTP!D51</f>
        <v>11387</v>
      </c>
      <c r="C46" s="258">
        <f>SOTP!D51/SOTP!C51-1</f>
        <v>0.49848664297933931</v>
      </c>
      <c r="D46" s="110"/>
      <c r="E46" s="110"/>
      <c r="F46" s="260"/>
      <c r="G46" s="495" t="s">
        <v>594</v>
      </c>
      <c r="H46" s="260"/>
      <c r="I46" s="260"/>
      <c r="J46" s="260"/>
    </row>
    <row r="47" spans="1:10" x14ac:dyDescent="0.3">
      <c r="A47" s="111" t="s">
        <v>511</v>
      </c>
      <c r="B47" s="247">
        <f>SOTP!D52</f>
        <v>4086</v>
      </c>
      <c r="C47" s="258">
        <f>SOTP!D52/SOTP!C52-1</f>
        <v>7.6396206533192901E-2</v>
      </c>
      <c r="D47" s="110"/>
      <c r="E47" s="110"/>
      <c r="F47" s="260"/>
      <c r="G47" s="495" t="s">
        <v>595</v>
      </c>
      <c r="H47" s="260"/>
      <c r="I47" s="260"/>
      <c r="J47" s="260"/>
    </row>
    <row r="48" spans="1:10" x14ac:dyDescent="0.3">
      <c r="A48" s="111" t="s">
        <v>513</v>
      </c>
      <c r="B48" s="247">
        <f>SOTP!D53</f>
        <v>3201</v>
      </c>
      <c r="C48" s="258">
        <f>SOTP!D53/SOTP!C53-1</f>
        <v>0.22175572519083975</v>
      </c>
      <c r="D48" s="110"/>
      <c r="E48" s="110"/>
      <c r="F48" s="260"/>
      <c r="G48" s="495" t="s">
        <v>596</v>
      </c>
      <c r="H48" s="260"/>
      <c r="I48" s="260"/>
      <c r="J48" s="260"/>
    </row>
    <row r="49" spans="1:10" x14ac:dyDescent="0.3">
      <c r="A49" s="250" t="s">
        <v>597</v>
      </c>
      <c r="B49" s="263">
        <f>SOTP!D56</f>
        <v>-4937</v>
      </c>
      <c r="C49" s="261"/>
      <c r="D49" s="110"/>
      <c r="E49" s="110"/>
      <c r="F49" s="260"/>
      <c r="G49" s="495" t="s">
        <v>598</v>
      </c>
      <c r="H49" s="260"/>
      <c r="I49" s="260"/>
      <c r="J49" s="260"/>
    </row>
    <row r="50" spans="1:10" x14ac:dyDescent="0.3">
      <c r="A50" s="250" t="s">
        <v>142</v>
      </c>
      <c r="B50" s="263">
        <f>SOTP!D55</f>
        <v>6785</v>
      </c>
      <c r="C50" s="261"/>
      <c r="D50" s="110"/>
      <c r="E50" s="110"/>
      <c r="F50" s="260"/>
      <c r="G50" s="495" t="s">
        <v>599</v>
      </c>
      <c r="H50" s="260"/>
      <c r="I50" s="260"/>
      <c r="J50" s="260"/>
    </row>
    <row r="51" spans="1:10" x14ac:dyDescent="0.3">
      <c r="A51" s="110" t="s">
        <v>140</v>
      </c>
      <c r="B51" s="263">
        <f>SOTP!D54</f>
        <v>-20737</v>
      </c>
      <c r="C51" s="261"/>
      <c r="D51" s="110"/>
      <c r="E51" s="110"/>
      <c r="F51" s="260"/>
      <c r="G51" s="495" t="s">
        <v>600</v>
      </c>
      <c r="H51" s="260"/>
      <c r="I51" s="260"/>
      <c r="J51" s="260"/>
    </row>
    <row r="52" spans="1:10" ht="15" thickBot="1" x14ac:dyDescent="0.35">
      <c r="A52" s="162" t="s">
        <v>145</v>
      </c>
      <c r="B52" s="264">
        <f>SOTP!D57</f>
        <v>0.62948976903486431</v>
      </c>
      <c r="C52" s="265"/>
      <c r="D52" s="162"/>
      <c r="E52" s="162"/>
      <c r="F52" s="266"/>
      <c r="G52" s="496" t="s">
        <v>821</v>
      </c>
      <c r="H52" s="266"/>
      <c r="I52" s="266"/>
      <c r="J52" s="266"/>
    </row>
    <row r="53" spans="1:10" ht="15" thickTop="1" x14ac:dyDescent="0.3">
      <c r="A53" s="110"/>
      <c r="B53" s="110"/>
      <c r="C53" s="110"/>
      <c r="D53" s="110"/>
      <c r="E53" s="110"/>
      <c r="F53" s="80"/>
      <c r="G53" s="80"/>
    </row>
    <row r="54" spans="1:10" x14ac:dyDescent="0.3">
      <c r="A54" s="108" t="s">
        <v>601</v>
      </c>
      <c r="B54" s="109"/>
      <c r="C54" s="109"/>
      <c r="D54" s="109"/>
      <c r="E54" s="109"/>
      <c r="F54" s="89"/>
      <c r="G54" s="89"/>
      <c r="H54" s="88"/>
      <c r="I54" s="88"/>
      <c r="J54" s="88"/>
    </row>
    <row r="55" spans="1:10" ht="3" customHeight="1" x14ac:dyDescent="0.3">
      <c r="A55" s="110"/>
      <c r="B55" s="110"/>
      <c r="C55" s="110"/>
      <c r="D55" s="110"/>
      <c r="E55" s="110"/>
      <c r="F55" s="80"/>
      <c r="G55" s="80"/>
    </row>
    <row r="56" spans="1:10" x14ac:dyDescent="0.3">
      <c r="A56" s="114" t="s">
        <v>731</v>
      </c>
      <c r="B56" s="256"/>
      <c r="C56" s="257"/>
      <c r="D56" s="114"/>
      <c r="E56" s="114"/>
      <c r="F56" s="114"/>
      <c r="G56" s="114"/>
      <c r="H56" s="114"/>
      <c r="I56" s="114"/>
      <c r="J56" s="114"/>
    </row>
    <row r="57" spans="1:10" x14ac:dyDescent="0.3">
      <c r="A57" s="111" t="s">
        <v>753</v>
      </c>
      <c r="B57" s="455">
        <f>B19</f>
        <v>53.122180134649831</v>
      </c>
      <c r="C57" s="132"/>
      <c r="E57" s="110"/>
      <c r="F57" s="80"/>
      <c r="G57" s="502" t="s">
        <v>602</v>
      </c>
      <c r="H57" s="80"/>
      <c r="I57" s="80"/>
      <c r="J57" s="80"/>
    </row>
    <row r="58" spans="1:10" x14ac:dyDescent="0.3">
      <c r="A58" s="111" t="s">
        <v>754</v>
      </c>
      <c r="B58" s="455">
        <f>C19</f>
        <v>37.82693603040088</v>
      </c>
      <c r="C58" s="132"/>
      <c r="E58" s="110"/>
      <c r="F58" s="80"/>
      <c r="G58" s="502" t="s">
        <v>602</v>
      </c>
      <c r="H58" s="80"/>
      <c r="I58" s="80"/>
      <c r="J58" s="80"/>
    </row>
    <row r="59" spans="1:10" ht="15" thickBot="1" x14ac:dyDescent="0.35">
      <c r="A59" s="267" t="s">
        <v>755</v>
      </c>
      <c r="B59" s="268" t="str">
        <f>TEXT(MIN(SOTP!C65:I71),"$#,##0")&amp;" – "&amp;TEXT(MAX(SOTP!C65:I71),"$#,##0")</f>
        <v>$48 – $101</v>
      </c>
      <c r="C59" s="506"/>
      <c r="D59" s="164"/>
      <c r="E59" s="162"/>
      <c r="F59" s="163"/>
      <c r="G59" s="507" t="s">
        <v>603</v>
      </c>
      <c r="H59" s="163"/>
      <c r="I59" s="163"/>
      <c r="J59" s="163"/>
    </row>
    <row r="60" spans="1:10" ht="3" customHeight="1" thickTop="1" x14ac:dyDescent="0.3">
      <c r="A60" s="110"/>
      <c r="B60" s="110"/>
      <c r="C60" s="110"/>
      <c r="D60" s="110"/>
      <c r="E60" s="110"/>
      <c r="F60" s="80"/>
      <c r="G60" s="80"/>
    </row>
    <row r="61" spans="1:10" x14ac:dyDescent="0.3">
      <c r="A61" s="114" t="s">
        <v>732</v>
      </c>
      <c r="B61" s="256"/>
      <c r="C61" s="257"/>
      <c r="D61" s="114"/>
      <c r="E61" s="114"/>
      <c r="F61" s="114"/>
      <c r="G61" s="257" t="s">
        <v>914</v>
      </c>
      <c r="H61" s="114"/>
      <c r="I61" s="114" t="s">
        <v>12</v>
      </c>
      <c r="J61" s="114"/>
    </row>
    <row r="62" spans="1:10" ht="14.4" customHeight="1" x14ac:dyDescent="0.3">
      <c r="A62" s="269" t="s">
        <v>604</v>
      </c>
      <c r="B62" s="270"/>
      <c r="C62" s="271"/>
      <c r="D62" s="272"/>
      <c r="E62" s="270"/>
      <c r="F62" s="270"/>
      <c r="G62" s="485" t="s">
        <v>822</v>
      </c>
      <c r="H62" s="272"/>
      <c r="I62" s="495" t="s">
        <v>21</v>
      </c>
      <c r="J62" s="270"/>
    </row>
    <row r="63" spans="1:10" ht="14.4" customHeight="1" x14ac:dyDescent="0.3">
      <c r="A63" s="269" t="s">
        <v>605</v>
      </c>
      <c r="B63" s="270"/>
      <c r="C63" s="271"/>
      <c r="D63" s="272"/>
      <c r="E63" s="270"/>
      <c r="F63" s="270"/>
      <c r="G63" s="485" t="s">
        <v>823</v>
      </c>
      <c r="H63" s="272"/>
      <c r="I63" s="495" t="s">
        <v>20</v>
      </c>
      <c r="J63" s="270"/>
    </row>
    <row r="64" spans="1:10" ht="14.4" customHeight="1" x14ac:dyDescent="0.3">
      <c r="A64" s="269" t="s">
        <v>606</v>
      </c>
      <c r="B64" s="270"/>
      <c r="C64" s="273"/>
      <c r="D64" s="274"/>
      <c r="E64" s="270"/>
      <c r="F64" s="270"/>
      <c r="G64" s="486" t="s">
        <v>824</v>
      </c>
      <c r="H64" s="274"/>
      <c r="I64" s="495" t="s">
        <v>607</v>
      </c>
      <c r="J64" s="270"/>
    </row>
    <row r="65" spans="1:10" ht="14.4" customHeight="1" x14ac:dyDescent="0.3">
      <c r="A65" s="269" t="s">
        <v>608</v>
      </c>
      <c r="B65" s="270"/>
      <c r="C65" s="271"/>
      <c r="D65" s="272"/>
      <c r="E65" s="270"/>
      <c r="F65" s="270"/>
      <c r="G65" s="485" t="s">
        <v>825</v>
      </c>
      <c r="H65" s="272"/>
      <c r="I65" s="495" t="s">
        <v>609</v>
      </c>
      <c r="J65" s="270"/>
    </row>
    <row r="66" spans="1:10" ht="14.4" customHeight="1" x14ac:dyDescent="0.3">
      <c r="A66" s="269" t="s">
        <v>610</v>
      </c>
      <c r="B66" s="270"/>
      <c r="C66" s="273"/>
      <c r="D66" s="274"/>
      <c r="E66" s="270"/>
      <c r="F66" s="270"/>
      <c r="G66" s="486" t="s">
        <v>826</v>
      </c>
      <c r="H66" s="274"/>
      <c r="I66" s="495" t="s">
        <v>609</v>
      </c>
      <c r="J66" s="270"/>
    </row>
    <row r="67" spans="1:10" ht="14.4" customHeight="1" thickBot="1" x14ac:dyDescent="0.35">
      <c r="A67" s="275" t="s">
        <v>611</v>
      </c>
      <c r="B67" s="276"/>
      <c r="C67" s="277"/>
      <c r="D67" s="278"/>
      <c r="E67" s="276"/>
      <c r="F67" s="276"/>
      <c r="G67" s="487" t="s">
        <v>827</v>
      </c>
      <c r="H67" s="278"/>
      <c r="I67" s="496" t="s">
        <v>13</v>
      </c>
      <c r="J67" s="276"/>
    </row>
    <row r="68" spans="1:10" ht="15" thickTop="1" x14ac:dyDescent="0.3">
      <c r="A68" s="110"/>
      <c r="B68" s="110"/>
      <c r="C68" s="110"/>
      <c r="D68" s="110"/>
      <c r="E68" s="110"/>
      <c r="F68" s="80"/>
      <c r="G68" s="80"/>
    </row>
    <row r="69" spans="1:10" x14ac:dyDescent="0.3">
      <c r="A69" s="108" t="s">
        <v>612</v>
      </c>
      <c r="B69" s="109"/>
      <c r="C69" s="109"/>
      <c r="D69" s="109"/>
      <c r="E69" s="109"/>
      <c r="F69" s="89"/>
      <c r="G69" s="89"/>
      <c r="H69" s="88"/>
      <c r="I69" s="88"/>
      <c r="J69" s="88"/>
    </row>
    <row r="70" spans="1:10" ht="3" customHeight="1" x14ac:dyDescent="0.3">
      <c r="A70" s="110"/>
      <c r="B70" s="110"/>
      <c r="C70" s="110"/>
      <c r="D70" s="110"/>
      <c r="E70" s="110"/>
      <c r="F70" s="80"/>
      <c r="G70" s="80"/>
    </row>
    <row r="71" spans="1:10" x14ac:dyDescent="0.3">
      <c r="A71" s="114" t="s">
        <v>733</v>
      </c>
      <c r="B71" s="114"/>
      <c r="C71" s="114"/>
      <c r="D71" s="114"/>
      <c r="E71" s="114"/>
      <c r="F71" s="114"/>
      <c r="G71" s="114" t="s">
        <v>613</v>
      </c>
      <c r="H71" s="114"/>
      <c r="I71" s="114"/>
      <c r="J71" s="114"/>
    </row>
    <row r="72" spans="1:10" ht="14.4" customHeight="1" x14ac:dyDescent="0.3">
      <c r="A72" s="279" t="s">
        <v>614</v>
      </c>
      <c r="B72" s="280"/>
      <c r="C72" s="269"/>
      <c r="D72" s="111"/>
      <c r="E72" s="111"/>
      <c r="F72" s="111"/>
      <c r="G72" s="495" t="s">
        <v>913</v>
      </c>
      <c r="H72" s="353"/>
      <c r="I72" s="353"/>
      <c r="J72" s="353"/>
    </row>
    <row r="73" spans="1:10" ht="14.4" customHeight="1" x14ac:dyDescent="0.3">
      <c r="A73" s="279" t="s">
        <v>615</v>
      </c>
      <c r="B73" s="280"/>
      <c r="C73" s="269"/>
      <c r="D73" s="111"/>
      <c r="E73" s="111"/>
      <c r="F73" s="111"/>
      <c r="G73" s="495" t="s">
        <v>616</v>
      </c>
      <c r="H73" s="353"/>
      <c r="I73" s="353"/>
      <c r="J73" s="353"/>
    </row>
    <row r="74" spans="1:10" ht="14.4" customHeight="1" x14ac:dyDescent="0.3">
      <c r="A74" s="279" t="s">
        <v>617</v>
      </c>
      <c r="B74" s="280"/>
      <c r="C74" s="269"/>
      <c r="D74" s="111"/>
      <c r="E74" s="111"/>
      <c r="F74" s="111"/>
      <c r="G74" s="495" t="s">
        <v>828</v>
      </c>
      <c r="H74" s="353"/>
      <c r="I74" s="353"/>
      <c r="J74" s="353"/>
    </row>
    <row r="75" spans="1:10" ht="14.4" customHeight="1" x14ac:dyDescent="0.3">
      <c r="A75" s="279" t="s">
        <v>618</v>
      </c>
      <c r="B75" s="280"/>
      <c r="C75" s="269"/>
      <c r="D75" s="111"/>
      <c r="E75" s="111"/>
      <c r="F75" s="111"/>
      <c r="G75" s="495" t="s">
        <v>829</v>
      </c>
      <c r="H75" s="353"/>
      <c r="I75" s="353"/>
      <c r="J75" s="353"/>
    </row>
    <row r="76" spans="1:10" ht="14.4" customHeight="1" x14ac:dyDescent="0.3">
      <c r="A76" s="279" t="s">
        <v>619</v>
      </c>
      <c r="B76" s="280"/>
      <c r="C76" s="269"/>
      <c r="D76" s="111"/>
      <c r="E76" s="111"/>
      <c r="F76" s="111"/>
      <c r="G76" s="495" t="s">
        <v>830</v>
      </c>
      <c r="H76" s="353"/>
      <c r="I76" s="353"/>
      <c r="J76" s="353"/>
    </row>
    <row r="77" spans="1:10" ht="14.4" customHeight="1" x14ac:dyDescent="0.3">
      <c r="A77" s="279" t="s">
        <v>38</v>
      </c>
      <c r="B77" s="280"/>
      <c r="C77" s="269"/>
      <c r="D77" s="111"/>
      <c r="E77" s="111"/>
      <c r="F77" s="111"/>
      <c r="G77" s="495" t="s">
        <v>620</v>
      </c>
      <c r="H77" s="353"/>
      <c r="I77" s="353"/>
      <c r="J77" s="353"/>
    </row>
    <row r="78" spans="1:10" ht="14.4" customHeight="1" x14ac:dyDescent="0.3">
      <c r="A78" s="279" t="s">
        <v>621</v>
      </c>
      <c r="B78" s="280"/>
      <c r="C78" s="269"/>
      <c r="D78" s="111"/>
      <c r="E78" s="111"/>
      <c r="F78" s="111"/>
      <c r="G78" s="495" t="s">
        <v>831</v>
      </c>
      <c r="H78" s="353"/>
      <c r="I78" s="353"/>
      <c r="J78" s="353"/>
    </row>
    <row r="79" spans="1:10" ht="14.4" customHeight="1" x14ac:dyDescent="0.3">
      <c r="A79" s="279" t="s">
        <v>622</v>
      </c>
      <c r="B79" s="280"/>
      <c r="C79" s="269"/>
      <c r="D79" s="111"/>
      <c r="E79" s="111"/>
      <c r="F79" s="111"/>
      <c r="G79" s="495" t="s">
        <v>832</v>
      </c>
      <c r="H79" s="353"/>
      <c r="I79" s="353"/>
      <c r="J79" s="353"/>
    </row>
    <row r="80" spans="1:10" ht="14.4" customHeight="1" x14ac:dyDescent="0.3">
      <c r="A80" s="279" t="s">
        <v>623</v>
      </c>
      <c r="B80" s="280"/>
      <c r="C80" s="269"/>
      <c r="D80" s="111"/>
      <c r="E80" s="111"/>
      <c r="F80" s="111"/>
      <c r="G80" s="495" t="s">
        <v>624</v>
      </c>
      <c r="H80" s="353"/>
      <c r="I80" s="353"/>
      <c r="J80" s="353"/>
    </row>
    <row r="81" spans="1:10" ht="14.4" customHeight="1" thickBot="1" x14ac:dyDescent="0.35">
      <c r="A81" s="281" t="s">
        <v>625</v>
      </c>
      <c r="B81" s="282"/>
      <c r="C81" s="275"/>
      <c r="D81" s="267"/>
      <c r="E81" s="267"/>
      <c r="F81" s="267"/>
      <c r="G81" s="496" t="s">
        <v>833</v>
      </c>
      <c r="H81" s="351"/>
      <c r="I81" s="351"/>
      <c r="J81" s="351"/>
    </row>
    <row r="82" spans="1:10" ht="14.4" customHeight="1" thickTop="1" x14ac:dyDescent="0.3"/>
    <row r="83" spans="1:10" ht="21.6" customHeight="1" x14ac:dyDescent="0.3">
      <c r="A83" s="497" t="s">
        <v>626</v>
      </c>
      <c r="B83" s="117"/>
      <c r="C83" s="117"/>
      <c r="D83" s="117"/>
      <c r="E83" s="117"/>
      <c r="F83" s="117"/>
      <c r="G83" s="117"/>
      <c r="H83" s="117"/>
      <c r="I83" s="117"/>
      <c r="J83" s="117"/>
    </row>
    <row r="100" spans="1:1" x14ac:dyDescent="0.3">
      <c r="A100" s="83" t="s">
        <v>769</v>
      </c>
    </row>
  </sheetData>
  <sheetProtection algorithmName="SHA-512" hashValue="WQaoshgnnI6OFwKkJ8T/Gr0IkhyXO6Y2XoqIsIn8sWMg3wZOdmlL3fVxq71WfkqfeF4k+rbJBM8RAAgDcozqtQ==" saltValue="1nbTG49W0Cgmd9Ub6UacRA==" spinCount="100000" sheet="1" objects="1" scenarios="1"/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3B9CAB-BF3A-4344-BCF4-DAF246BE9698}">
  <sheetPr>
    <tabColor theme="1" tint="4.9989318521683403E-2"/>
  </sheetPr>
  <dimension ref="A1:J78"/>
  <sheetViews>
    <sheetView showGridLines="0" zoomScaleNormal="100" workbookViewId="0">
      <pane ySplit="2" topLeftCell="A3" activePane="bottomLeft" state="frozen"/>
      <selection activeCell="A20" sqref="A20"/>
      <selection pane="bottomLeft" activeCell="D74" sqref="D74"/>
    </sheetView>
  </sheetViews>
  <sheetFormatPr defaultRowHeight="14.4" x14ac:dyDescent="0.3"/>
  <cols>
    <col min="1" max="1" width="44.44140625" customWidth="1"/>
    <col min="2" max="10" width="22.21875" customWidth="1"/>
  </cols>
  <sheetData>
    <row r="1" spans="1:10" ht="30" customHeight="1" x14ac:dyDescent="0.3">
      <c r="A1" s="354" t="s">
        <v>627</v>
      </c>
      <c r="B1" s="510"/>
      <c r="C1" s="510"/>
      <c r="D1" s="510"/>
      <c r="E1" s="510"/>
      <c r="F1" s="510"/>
      <c r="G1" s="510"/>
      <c r="H1" s="510"/>
      <c r="I1" s="510"/>
      <c r="J1" s="510"/>
    </row>
    <row r="2" spans="1:10" x14ac:dyDescent="0.3">
      <c r="A2" s="508" t="s">
        <v>907</v>
      </c>
      <c r="B2" s="91"/>
      <c r="C2" s="91"/>
      <c r="D2" s="91"/>
      <c r="E2" s="91"/>
      <c r="F2" s="91"/>
      <c r="G2" s="91"/>
      <c r="H2" s="91"/>
      <c r="I2" s="509"/>
      <c r="J2" s="509"/>
    </row>
    <row r="3" spans="1:10" x14ac:dyDescent="0.3">
      <c r="H3" s="27"/>
    </row>
    <row r="4" spans="1:10" ht="15" thickBot="1" x14ac:dyDescent="0.35">
      <c r="A4" s="126" t="s">
        <v>147</v>
      </c>
      <c r="B4" s="283"/>
      <c r="C4" s="283"/>
      <c r="D4" s="283"/>
      <c r="E4" s="283"/>
      <c r="F4" s="283"/>
      <c r="G4" s="283"/>
      <c r="H4" s="284"/>
      <c r="I4" s="285"/>
      <c r="J4" s="285"/>
    </row>
    <row r="5" spans="1:10" ht="15" thickBot="1" x14ac:dyDescent="0.35">
      <c r="A5" s="1" t="s">
        <v>751</v>
      </c>
      <c r="B5" s="6">
        <v>154</v>
      </c>
      <c r="C5" s="58" t="s">
        <v>752</v>
      </c>
      <c r="H5" s="286"/>
    </row>
    <row r="6" spans="1:10" x14ac:dyDescent="0.3">
      <c r="H6" s="286"/>
    </row>
    <row r="7" spans="1:10" x14ac:dyDescent="0.3">
      <c r="A7" s="126" t="s">
        <v>148</v>
      </c>
      <c r="B7" s="283"/>
      <c r="C7" s="283"/>
      <c r="D7" s="283"/>
      <c r="E7" s="283"/>
      <c r="F7" s="283"/>
      <c r="G7" s="283"/>
      <c r="H7" s="284"/>
      <c r="I7" s="285"/>
      <c r="J7" s="285"/>
    </row>
    <row r="8" spans="1:10" s="82" customFormat="1" ht="3" customHeight="1" x14ac:dyDescent="0.3">
      <c r="A8" s="112"/>
      <c r="B8" s="287"/>
      <c r="C8" s="287"/>
      <c r="D8" s="287"/>
      <c r="E8" s="287"/>
      <c r="F8" s="287"/>
      <c r="G8" s="287"/>
      <c r="H8" s="185"/>
      <c r="I8" s="113"/>
      <c r="J8" s="113"/>
    </row>
    <row r="9" spans="1:10" x14ac:dyDescent="0.3">
      <c r="A9" s="93"/>
      <c r="B9" s="187" t="s">
        <v>94</v>
      </c>
      <c r="C9" s="187" t="s">
        <v>95</v>
      </c>
      <c r="D9" s="187" t="s">
        <v>115</v>
      </c>
      <c r="E9" s="94"/>
      <c r="F9" s="94"/>
      <c r="G9" s="94"/>
      <c r="H9" s="189" t="s">
        <v>5</v>
      </c>
      <c r="I9" s="288"/>
      <c r="J9" s="288"/>
    </row>
    <row r="10" spans="1:10" x14ac:dyDescent="0.3">
      <c r="A10" s="1" t="s">
        <v>149</v>
      </c>
      <c r="B10" s="456">
        <f>SOTP!B12</f>
        <v>609915.35113596846</v>
      </c>
      <c r="C10" s="456">
        <f>SOTP!C12</f>
        <v>410450.0727724579</v>
      </c>
      <c r="D10" s="456">
        <f>SOTP!D12</f>
        <v>615495.19273144635</v>
      </c>
      <c r="E10" s="22"/>
      <c r="F10" s="22"/>
      <c r="G10" s="15"/>
      <c r="H10" s="289"/>
    </row>
    <row r="11" spans="1:10" x14ac:dyDescent="0.3">
      <c r="A11" t="s">
        <v>329</v>
      </c>
      <c r="B11" s="53">
        <f>SOTP!B18+SOTP!B19</f>
        <v>-3149</v>
      </c>
      <c r="C11" s="53">
        <f>SOTP!C18+SOTP!C19</f>
        <v>-3149</v>
      </c>
      <c r="D11" s="53">
        <f>SOTP!D18+SOTP!D19</f>
        <v>-3149</v>
      </c>
      <c r="E11" s="15"/>
      <c r="F11" s="15"/>
      <c r="G11" s="15"/>
      <c r="H11" s="286"/>
    </row>
    <row r="12" spans="1:10" x14ac:dyDescent="0.3">
      <c r="A12" t="s">
        <v>150</v>
      </c>
      <c r="B12" s="53">
        <f>SOTP!B9</f>
        <v>558405.90766802779</v>
      </c>
      <c r="C12" s="53">
        <f>SOTP!C9</f>
        <v>340341.15731959091</v>
      </c>
      <c r="D12" s="53">
        <f>SOTP!D9</f>
        <v>558405.90766802779</v>
      </c>
      <c r="E12" s="15"/>
      <c r="F12" s="192"/>
      <c r="G12" s="15"/>
      <c r="H12" s="493" t="str">
        <f>TEXT(D12/D10,"0%")&amp;" of avg SOTP EV"</f>
        <v>91% of avg SOTP EV</v>
      </c>
    </row>
    <row r="13" spans="1:10" x14ac:dyDescent="0.3">
      <c r="A13" t="s">
        <v>151</v>
      </c>
      <c r="B13" s="53">
        <f>SOTP!B10</f>
        <v>49217.27730972982</v>
      </c>
      <c r="C13" s="53">
        <f>SOTP!C10</f>
        <v>59902.087608531787</v>
      </c>
      <c r="D13" s="53">
        <f>SOTP!D10</f>
        <v>52422.72039937041</v>
      </c>
      <c r="E13" s="15"/>
      <c r="F13" s="192"/>
      <c r="G13" s="15"/>
      <c r="H13" s="493" t="str">
        <f>TEXT(D13/D10,"0%")&amp;" of avg SOTP EV"</f>
        <v>9% of avg SOTP EV</v>
      </c>
    </row>
    <row r="14" spans="1:10" x14ac:dyDescent="0.3">
      <c r="A14" t="s">
        <v>152</v>
      </c>
      <c r="B14" s="53">
        <f>SOTP!B11</f>
        <v>2292.166158210799</v>
      </c>
      <c r="C14" s="53">
        <f>SOTP!C11</f>
        <v>10206.827844335159</v>
      </c>
      <c r="D14" s="53">
        <f>SOTP!D11</f>
        <v>4666.5646640481073</v>
      </c>
      <c r="E14" s="15"/>
      <c r="F14" s="192"/>
      <c r="G14" s="15"/>
      <c r="H14" s="493" t="str">
        <f>TEXT(D14/D10,"0%")&amp;" of avg SOTP EV – wide range"</f>
        <v>1% of avg SOTP EV – wide range</v>
      </c>
    </row>
    <row r="15" spans="1:10" x14ac:dyDescent="0.3">
      <c r="A15" s="1" t="s">
        <v>153</v>
      </c>
      <c r="B15" s="457">
        <f>SOTP!B23</f>
        <v>692766.35113596846</v>
      </c>
      <c r="C15" s="457">
        <f>SOTP!C23</f>
        <v>493301.0727724579</v>
      </c>
      <c r="D15" s="457">
        <f>SOTP!D23</f>
        <v>698346.19273144635</v>
      </c>
      <c r="E15" s="22"/>
      <c r="F15" s="80"/>
      <c r="G15" s="80"/>
      <c r="H15" s="493" t="s">
        <v>154</v>
      </c>
    </row>
    <row r="16" spans="1:10" x14ac:dyDescent="0.3">
      <c r="B16" s="15"/>
      <c r="C16" s="15"/>
      <c r="D16" s="15"/>
      <c r="E16" s="15"/>
      <c r="F16" s="15"/>
      <c r="G16" s="15"/>
      <c r="H16" s="286"/>
    </row>
    <row r="17" spans="1:10" x14ac:dyDescent="0.3">
      <c r="A17" s="186" t="s">
        <v>155</v>
      </c>
      <c r="B17" s="187" t="s">
        <v>94</v>
      </c>
      <c r="C17" s="187" t="s">
        <v>95</v>
      </c>
      <c r="D17" s="187" t="s">
        <v>115</v>
      </c>
      <c r="E17" s="187"/>
      <c r="F17" s="187"/>
      <c r="G17" s="187"/>
      <c r="H17" s="189" t="s">
        <v>156</v>
      </c>
      <c r="I17" s="288"/>
      <c r="J17" s="288"/>
    </row>
    <row r="18" spans="1:10" x14ac:dyDescent="0.3">
      <c r="A18" s="95" t="s">
        <v>834</v>
      </c>
      <c r="B18" s="461">
        <f>SOTP!B30</f>
        <v>119.48367560123637</v>
      </c>
      <c r="C18" s="461">
        <f>SOTP!C30</f>
        <v>85.081247459892708</v>
      </c>
      <c r="D18" s="461">
        <f>SOTP!D30</f>
        <v>120.44604910856268</v>
      </c>
      <c r="E18" s="290"/>
      <c r="F18" s="291"/>
      <c r="G18" s="200"/>
      <c r="H18" s="292" t="s">
        <v>177</v>
      </c>
      <c r="I18" s="293"/>
      <c r="J18" s="293"/>
    </row>
    <row r="19" spans="1:10" ht="15" thickBot="1" x14ac:dyDescent="0.35">
      <c r="A19" s="170" t="s">
        <v>734</v>
      </c>
      <c r="B19" s="462">
        <f>SOTP!B31</f>
        <v>53.122180134649831</v>
      </c>
      <c r="C19" s="462">
        <f>SOTP!C31</f>
        <v>37.82693603040088</v>
      </c>
      <c r="D19" s="462">
        <f>SOTP!D31</f>
        <v>53.550049285441787</v>
      </c>
      <c r="E19" s="172"/>
      <c r="F19" s="173"/>
      <c r="G19" s="171"/>
      <c r="H19" s="174" t="s">
        <v>835</v>
      </c>
      <c r="I19" s="175"/>
      <c r="J19" s="175"/>
    </row>
    <row r="20" spans="1:10" ht="15" thickTop="1" x14ac:dyDescent="0.3">
      <c r="B20" s="15"/>
      <c r="C20" s="15"/>
      <c r="D20" s="15"/>
      <c r="E20" s="15"/>
      <c r="F20" s="15"/>
      <c r="G20" s="15"/>
      <c r="H20" s="27"/>
    </row>
    <row r="21" spans="1:10" x14ac:dyDescent="0.3">
      <c r="A21" s="126" t="s">
        <v>836</v>
      </c>
      <c r="B21" s="294"/>
      <c r="C21" s="294"/>
      <c r="D21" s="294"/>
      <c r="E21" s="294"/>
      <c r="F21" s="294"/>
      <c r="G21" s="294"/>
      <c r="H21" s="284"/>
      <c r="I21" s="285"/>
      <c r="J21" s="285"/>
    </row>
    <row r="22" spans="1:10" s="82" customFormat="1" ht="3" customHeight="1" x14ac:dyDescent="0.3">
      <c r="A22" s="112"/>
      <c r="B22" s="184"/>
      <c r="C22" s="184"/>
      <c r="D22" s="184"/>
      <c r="E22" s="184"/>
      <c r="F22" s="184"/>
      <c r="G22" s="184"/>
      <c r="H22" s="185"/>
      <c r="I22" s="113"/>
      <c r="J22" s="113"/>
    </row>
    <row r="23" spans="1:10" x14ac:dyDescent="0.3">
      <c r="A23" s="186"/>
      <c r="B23" s="187" t="s">
        <v>94</v>
      </c>
      <c r="C23" s="187" t="s">
        <v>95</v>
      </c>
      <c r="D23" s="187" t="s">
        <v>115</v>
      </c>
      <c r="E23" s="187"/>
      <c r="F23" s="187"/>
      <c r="G23" s="187"/>
      <c r="H23" s="189"/>
      <c r="I23" s="190"/>
      <c r="J23" s="190"/>
    </row>
    <row r="24" spans="1:10" x14ac:dyDescent="0.3">
      <c r="A24" t="s">
        <v>178</v>
      </c>
      <c r="B24" s="326">
        <f>B19</f>
        <v>53.122180134649831</v>
      </c>
      <c r="C24" s="326">
        <f>C19</f>
        <v>37.82693603040088</v>
      </c>
      <c r="D24" s="326">
        <f>D19</f>
        <v>53.550049285441787</v>
      </c>
      <c r="E24" s="15"/>
      <c r="F24" s="15"/>
      <c r="G24" s="15"/>
      <c r="H24" s="286"/>
    </row>
    <row r="25" spans="1:10" x14ac:dyDescent="0.3">
      <c r="A25" t="s">
        <v>157</v>
      </c>
      <c r="B25" s="458">
        <f>IF(B5="","—",B5)</f>
        <v>154</v>
      </c>
      <c r="C25" s="458">
        <f>IF(B5="","—",B5)</f>
        <v>154</v>
      </c>
      <c r="D25" s="458">
        <f>IF(B5="","—",B5)</f>
        <v>154</v>
      </c>
      <c r="E25" s="15"/>
      <c r="F25" s="15"/>
      <c r="G25" s="15"/>
      <c r="H25" s="286"/>
    </row>
    <row r="26" spans="1:10" ht="15" thickBot="1" x14ac:dyDescent="0.35">
      <c r="A26" s="176" t="s">
        <v>735</v>
      </c>
      <c r="B26" s="463">
        <f>IF(B5="","← Enter price",(B19/B5)-1)</f>
        <v>-0.65505077834642966</v>
      </c>
      <c r="C26" s="463">
        <f>IF(B5="","← Enter price",(C19/B5)-1)</f>
        <v>-0.7543705452571372</v>
      </c>
      <c r="D26" s="463">
        <f>IF(B5="","← Enter price",(D19/B5)-1)</f>
        <v>-0.65227240723739099</v>
      </c>
      <c r="E26" s="177"/>
      <c r="F26" s="177"/>
      <c r="G26" s="171"/>
      <c r="H26" s="178"/>
      <c r="I26" s="179"/>
      <c r="J26" s="179"/>
    </row>
    <row r="27" spans="1:10" ht="15" thickTop="1" x14ac:dyDescent="0.3">
      <c r="B27" s="15"/>
      <c r="C27" s="15"/>
      <c r="D27" s="15"/>
      <c r="E27" s="15"/>
      <c r="F27" s="15"/>
      <c r="G27" s="15"/>
      <c r="H27" s="27"/>
    </row>
    <row r="28" spans="1:10" x14ac:dyDescent="0.3">
      <c r="A28" s="126" t="s">
        <v>837</v>
      </c>
      <c r="B28" s="294"/>
      <c r="C28" s="294"/>
      <c r="D28" s="294"/>
      <c r="E28" s="294"/>
      <c r="F28" s="294"/>
      <c r="G28" s="294"/>
      <c r="H28" s="284"/>
      <c r="I28" s="285"/>
      <c r="J28" s="285"/>
    </row>
    <row r="29" spans="1:10" s="82" customFormat="1" ht="3" customHeight="1" x14ac:dyDescent="0.3">
      <c r="A29" s="112"/>
      <c r="B29" s="184"/>
      <c r="C29" s="184"/>
      <c r="D29" s="184"/>
      <c r="E29" s="184"/>
      <c r="F29" s="184"/>
      <c r="G29" s="184"/>
      <c r="H29" s="185"/>
      <c r="I29" s="113"/>
      <c r="J29" s="113"/>
    </row>
    <row r="30" spans="1:10" x14ac:dyDescent="0.3">
      <c r="A30" s="186" t="s">
        <v>727</v>
      </c>
      <c r="B30" s="187" t="s">
        <v>158</v>
      </c>
      <c r="C30" s="187" t="s">
        <v>159</v>
      </c>
      <c r="D30" s="187" t="s">
        <v>38</v>
      </c>
      <c r="E30" s="187" t="s">
        <v>41</v>
      </c>
      <c r="F30" s="187" t="s">
        <v>676</v>
      </c>
      <c r="G30" s="187" t="s">
        <v>677</v>
      </c>
      <c r="H30" s="189"/>
      <c r="I30" s="190"/>
      <c r="J30" s="190"/>
    </row>
    <row r="31" spans="1:10" x14ac:dyDescent="0.3">
      <c r="A31" t="s">
        <v>16</v>
      </c>
      <c r="B31" s="295">
        <v>2</v>
      </c>
      <c r="C31" s="335" t="str">
        <f>IF(B31=1,"◀ BEAR",IF(B31=2,"◀ BASE","◀ BULL"))</f>
        <v>◀ BASE</v>
      </c>
      <c r="D31" s="394">
        <f>WACC!B37</f>
        <v>6.3906891025641024E-2</v>
      </c>
      <c r="E31" s="399">
        <f>WACC!C42</f>
        <v>0.03</v>
      </c>
      <c r="F31" s="399">
        <f>'Conn DCF'!E77</f>
        <v>7.6352699343723171E-2</v>
      </c>
      <c r="G31" s="399">
        <f>'Conn DCF'!X77</f>
        <v>6.8413494967570168E-2</v>
      </c>
      <c r="H31" s="286"/>
    </row>
    <row r="32" spans="1:10" x14ac:dyDescent="0.3">
      <c r="A32" t="s">
        <v>112</v>
      </c>
      <c r="B32" s="295">
        <v>2</v>
      </c>
      <c r="C32" s="335" t="str">
        <f>IF(B32=1,"◀ BEAR",IF(B32=2,"◀ BASE","◀ BULL"))</f>
        <v>◀ BASE</v>
      </c>
      <c r="D32" s="394">
        <f>WACC!C37</f>
        <v>6.8984004275846722E-2</v>
      </c>
      <c r="E32" s="399">
        <f>WACC!C43</f>
        <v>2.5000000000000001E-2</v>
      </c>
      <c r="F32" s="399">
        <f>'Space DCF'!E85</f>
        <v>0.12008988818248724</v>
      </c>
      <c r="G32" s="399">
        <f>'Space DCF'!X85</f>
        <v>8.1760475252506862E-2</v>
      </c>
      <c r="H32" s="286"/>
    </row>
    <row r="33" spans="1:10" x14ac:dyDescent="0.3">
      <c r="A33" t="s">
        <v>113</v>
      </c>
      <c r="B33" s="295">
        <v>2</v>
      </c>
      <c r="C33" s="335" t="str">
        <f>IF(B33=1,"◀ BEAR",IF(B33=2,"◀ BASE","◀ BULL"))</f>
        <v>◀ BASE</v>
      </c>
      <c r="D33" s="394">
        <f>WACC!D37</f>
        <v>0.10385357991614476</v>
      </c>
      <c r="E33" s="399">
        <f>WACC!C44</f>
        <v>3.5000000000000003E-2</v>
      </c>
      <c r="F33" s="399">
        <f>'AI DCF'!E77</f>
        <v>0.15398860746357007</v>
      </c>
      <c r="G33" s="399">
        <f>'AI DCF'!X77</f>
        <v>0.12056525576528654</v>
      </c>
      <c r="H33" s="286"/>
    </row>
    <row r="34" spans="1:10" ht="15" thickBot="1" x14ac:dyDescent="0.35">
      <c r="A34" s="505" t="s">
        <v>838</v>
      </c>
      <c r="B34" s="18"/>
      <c r="C34" s="18"/>
      <c r="D34" s="18"/>
      <c r="E34" s="18"/>
      <c r="F34" s="18"/>
      <c r="G34" s="18"/>
      <c r="H34" s="180"/>
      <c r="I34" s="164"/>
      <c r="J34" s="164"/>
    </row>
    <row r="35" spans="1:10" ht="15" thickTop="1" x14ac:dyDescent="0.3">
      <c r="B35" s="15"/>
      <c r="C35" s="15"/>
      <c r="D35" s="15"/>
      <c r="E35" s="15"/>
      <c r="F35" s="15"/>
      <c r="G35" s="15"/>
      <c r="H35" s="286"/>
    </row>
    <row r="36" spans="1:10" x14ac:dyDescent="0.3">
      <c r="A36" s="126" t="s">
        <v>174</v>
      </c>
      <c r="B36" s="294"/>
      <c r="C36" s="294"/>
      <c r="D36" s="294"/>
      <c r="E36" s="294"/>
      <c r="F36" s="294"/>
      <c r="G36" s="294"/>
      <c r="H36" s="284"/>
      <c r="I36" s="285"/>
      <c r="J36" s="285"/>
    </row>
    <row r="37" spans="1:10" s="82" customFormat="1" ht="3" customHeight="1" x14ac:dyDescent="0.3">
      <c r="A37" s="112"/>
      <c r="B37" s="184"/>
      <c r="C37" s="184"/>
      <c r="D37" s="184"/>
      <c r="E37" s="184"/>
      <c r="F37" s="184"/>
      <c r="G37" s="184"/>
      <c r="H37" s="185"/>
      <c r="I37" s="113"/>
      <c r="J37" s="113"/>
    </row>
    <row r="38" spans="1:10" x14ac:dyDescent="0.3">
      <c r="A38" s="186" t="s">
        <v>736</v>
      </c>
      <c r="B38" s="512" t="s">
        <v>123</v>
      </c>
      <c r="C38" s="512"/>
      <c r="D38" s="512"/>
      <c r="E38" s="187"/>
      <c r="F38" s="187"/>
      <c r="G38" s="187"/>
      <c r="H38" s="189" t="s">
        <v>5</v>
      </c>
      <c r="I38" s="190"/>
      <c r="J38" s="190"/>
    </row>
    <row r="39" spans="1:10" x14ac:dyDescent="0.3">
      <c r="A39" t="s">
        <v>160</v>
      </c>
      <c r="B39" s="459">
        <f>SOTP!B30</f>
        <v>119.48367560123637</v>
      </c>
      <c r="C39" s="459">
        <f>SOTP!B30</f>
        <v>119.48367560123637</v>
      </c>
      <c r="D39" s="459">
        <f>SOTP!B30</f>
        <v>119.48367560123637</v>
      </c>
      <c r="E39" s="15"/>
      <c r="F39" s="192"/>
      <c r="G39" s="192"/>
      <c r="H39" s="493" t="s">
        <v>161</v>
      </c>
    </row>
    <row r="40" spans="1:10" x14ac:dyDescent="0.3">
      <c r="A40" t="s">
        <v>95</v>
      </c>
      <c r="B40" s="459">
        <f>SOTP!C30</f>
        <v>85.081247459892708</v>
      </c>
      <c r="C40" s="459">
        <f>SOTP!C30</f>
        <v>85.081247459892708</v>
      </c>
      <c r="D40" s="459">
        <f>SOTP!C30</f>
        <v>85.081247459892708</v>
      </c>
      <c r="E40" s="15"/>
      <c r="F40" s="15"/>
      <c r="G40" s="15"/>
      <c r="H40" s="286"/>
    </row>
    <row r="41" spans="1:10" ht="15" thickBot="1" x14ac:dyDescent="0.35">
      <c r="A41" s="176" t="s">
        <v>737</v>
      </c>
      <c r="B41" s="464">
        <f>SOTP!D30</f>
        <v>120.44604910856268</v>
      </c>
      <c r="C41" s="464">
        <f>SOTP!D30</f>
        <v>120.44604910856268</v>
      </c>
      <c r="D41" s="464">
        <f>SOTP!D30</f>
        <v>120.44604910856268</v>
      </c>
      <c r="E41" s="177"/>
      <c r="F41" s="177"/>
      <c r="G41" s="177"/>
      <c r="H41" s="181"/>
      <c r="I41" s="182"/>
      <c r="J41" s="182"/>
    </row>
    <row r="42" spans="1:10" ht="15" thickTop="1" x14ac:dyDescent="0.3">
      <c r="B42" s="15"/>
      <c r="C42" s="15"/>
      <c r="D42" s="15"/>
      <c r="E42" s="15"/>
      <c r="F42" s="15"/>
      <c r="G42" s="15"/>
      <c r="H42" s="27"/>
    </row>
    <row r="43" spans="1:10" x14ac:dyDescent="0.3">
      <c r="A43" s="126" t="s">
        <v>839</v>
      </c>
      <c r="B43" s="294"/>
      <c r="C43" s="294"/>
      <c r="D43" s="294"/>
      <c r="E43" s="294"/>
      <c r="F43" s="294"/>
      <c r="G43" s="294"/>
      <c r="H43" s="284"/>
      <c r="I43" s="285"/>
      <c r="J43" s="285"/>
    </row>
    <row r="44" spans="1:10" s="82" customFormat="1" ht="3" customHeight="1" x14ac:dyDescent="0.3">
      <c r="A44" s="112"/>
      <c r="B44" s="184"/>
      <c r="C44" s="184"/>
      <c r="D44" s="184"/>
      <c r="E44" s="184"/>
      <c r="F44" s="184"/>
      <c r="G44" s="184"/>
      <c r="H44" s="185"/>
      <c r="I44" s="113"/>
      <c r="J44" s="113"/>
    </row>
    <row r="45" spans="1:10" x14ac:dyDescent="0.3">
      <c r="A45" s="241" t="s">
        <v>761</v>
      </c>
      <c r="B45" s="478">
        <f>SOTP!C64</f>
        <v>2.2499999999999999E-2</v>
      </c>
      <c r="C45" s="478">
        <f>SOTP!D64</f>
        <v>2.4999999999999998E-2</v>
      </c>
      <c r="D45" s="478">
        <f>SOTP!E64</f>
        <v>2.75E-2</v>
      </c>
      <c r="E45" s="478">
        <f>SOTP!F64</f>
        <v>0.03</v>
      </c>
      <c r="F45" s="478">
        <f>SOTP!G64</f>
        <v>3.2500000000000001E-2</v>
      </c>
      <c r="G45" s="478">
        <f>SOTP!H64</f>
        <v>3.4999999999999996E-2</v>
      </c>
      <c r="H45" s="478">
        <f>SOTP!I64</f>
        <v>3.7499999999999999E-2</v>
      </c>
      <c r="I45" s="242"/>
      <c r="J45" s="242"/>
    </row>
    <row r="46" spans="1:10" x14ac:dyDescent="0.3">
      <c r="A46" s="478">
        <f>SOTP!B65</f>
        <v>5.6406891025641025E-2</v>
      </c>
      <c r="B46" s="428">
        <f>SOTP!C65</f>
        <v>69.659842641884168</v>
      </c>
      <c r="C46" s="428">
        <f>SOTP!D65</f>
        <v>72.757125239240651</v>
      </c>
      <c r="D46" s="428">
        <f>SOTP!E65</f>
        <v>76.390142135143677</v>
      </c>
      <c r="E46" s="428">
        <f>SOTP!F65</f>
        <v>80.711050856777959</v>
      </c>
      <c r="F46" s="428">
        <f>SOTP!G65</f>
        <v>85.935654817789029</v>
      </c>
      <c r="G46" s="428">
        <f>SOTP!H65</f>
        <v>92.380567686514198</v>
      </c>
      <c r="H46" s="428">
        <f>SOTP!I65</f>
        <v>100.52986253427149</v>
      </c>
      <c r="I46" s="242"/>
      <c r="J46" s="242"/>
    </row>
    <row r="47" spans="1:10" x14ac:dyDescent="0.3">
      <c r="A47" s="478">
        <f>SOTP!B66</f>
        <v>5.8906891025641027E-2</v>
      </c>
      <c r="B47" s="428">
        <f>SOTP!C66</f>
        <v>64.866782708345312</v>
      </c>
      <c r="C47" s="428">
        <f>SOTP!D66</f>
        <v>67.421352390369393</v>
      </c>
      <c r="D47" s="428">
        <f>SOTP!E66</f>
        <v>70.38261143237159</v>
      </c>
      <c r="E47" s="428">
        <f>SOTP!F66</f>
        <v>73.856076895911031</v>
      </c>
      <c r="F47" s="428">
        <f>SOTP!G66</f>
        <v>77.987223996445692</v>
      </c>
      <c r="G47" s="428">
        <f>SOTP!H66</f>
        <v>82.982378695480662</v>
      </c>
      <c r="H47" s="428">
        <f>SOTP!I66</f>
        <v>89.144249918893635</v>
      </c>
      <c r="I47" s="242"/>
      <c r="J47" s="242"/>
    </row>
    <row r="48" spans="1:10" x14ac:dyDescent="0.3">
      <c r="A48" s="478">
        <f>SOTP!B67</f>
        <v>6.1406891025641022E-2</v>
      </c>
      <c r="B48" s="428">
        <f>SOTP!C67</f>
        <v>60.707670102292568</v>
      </c>
      <c r="C48" s="428">
        <f>SOTP!D67</f>
        <v>62.836400967699888</v>
      </c>
      <c r="D48" s="428">
        <f>SOTP!E67</f>
        <v>65.279040127411974</v>
      </c>
      <c r="E48" s="428">
        <f>SOTP!F67</f>
        <v>68.110549226163528</v>
      </c>
      <c r="F48" s="428">
        <f>SOTP!G67</f>
        <v>71.43182201071582</v>
      </c>
      <c r="G48" s="428">
        <f>SOTP!H67</f>
        <v>75.381959583123518</v>
      </c>
      <c r="H48" s="428">
        <f>SOTP!I67</f>
        <v>80.158247567178464</v>
      </c>
    </row>
    <row r="49" spans="1:10" x14ac:dyDescent="0.3">
      <c r="A49" s="478">
        <f>SOTP!B68</f>
        <v>6.3906891025641024E-2</v>
      </c>
      <c r="B49" s="428">
        <f>SOTP!C68</f>
        <v>57.067053932852737</v>
      </c>
      <c r="C49" s="428">
        <f>SOTP!D68</f>
        <v>58.856913952474947</v>
      </c>
      <c r="D49" s="428">
        <f>SOTP!E68</f>
        <v>60.8925873290193</v>
      </c>
      <c r="E49" s="479">
        <f>SOTP!F68</f>
        <v>63.228446495969038</v>
      </c>
      <c r="F49" s="428">
        <f>SOTP!G68</f>
        <v>65.936176149087359</v>
      </c>
      <c r="G49" s="428">
        <f>SOTP!H68</f>
        <v>69.112259464091423</v>
      </c>
      <c r="H49" s="428">
        <f>SOTP!I68</f>
        <v>72.889716737112778</v>
      </c>
    </row>
    <row r="50" spans="1:10" x14ac:dyDescent="0.3">
      <c r="A50" s="478">
        <f>SOTP!B69</f>
        <v>6.6406891025641027E-2</v>
      </c>
      <c r="B50" s="428">
        <f>SOTP!C69</f>
        <v>53.855804839487114</v>
      </c>
      <c r="C50" s="428">
        <f>SOTP!D69</f>
        <v>55.372665931873321</v>
      </c>
      <c r="D50" s="428">
        <f>SOTP!E69</f>
        <v>57.084461784195334</v>
      </c>
      <c r="E50" s="428">
        <f>SOTP!F69</f>
        <v>59.031349923183122</v>
      </c>
      <c r="F50" s="428">
        <f>SOTP!G69</f>
        <v>61.26533134617555</v>
      </c>
      <c r="G50" s="428">
        <f>SOTP!H69</f>
        <v>63.854964244057449</v>
      </c>
      <c r="H50" s="428">
        <f>SOTP!I69</f>
        <v>66.892523709965104</v>
      </c>
    </row>
    <row r="51" spans="1:10" x14ac:dyDescent="0.3">
      <c r="A51" s="478">
        <f>SOTP!B70</f>
        <v>6.8906891025641029E-2</v>
      </c>
      <c r="B51" s="428">
        <f>SOTP!C70</f>
        <v>51.004023762786645</v>
      </c>
      <c r="C51" s="428">
        <f>SOTP!D70</f>
        <v>52.298560002951412</v>
      </c>
      <c r="D51" s="428">
        <f>SOTP!E70</f>
        <v>53.749415180387189</v>
      </c>
      <c r="E51" s="428">
        <f>SOTP!F70</f>
        <v>55.386722569653443</v>
      </c>
      <c r="F51" s="428">
        <f>SOTP!G70</f>
        <v>57.248892250527234</v>
      </c>
      <c r="G51" s="428">
        <f>SOTP!H70</f>
        <v>59.385662407078016</v>
      </c>
      <c r="H51" s="428">
        <f>SOTP!I70</f>
        <v>61.86260793386942</v>
      </c>
    </row>
    <row r="52" spans="1:10" ht="15" thickBot="1" x14ac:dyDescent="0.35">
      <c r="A52" s="480">
        <f>SOTP!B71</f>
        <v>7.1406891025641017E-2</v>
      </c>
      <c r="B52" s="460">
        <f>SOTP!C71</f>
        <v>48.456125706767324</v>
      </c>
      <c r="C52" s="460">
        <f>SOTP!D71</f>
        <v>49.567858031145896</v>
      </c>
      <c r="D52" s="460">
        <f>SOTP!E71</f>
        <v>50.806191476488536</v>
      </c>
      <c r="E52" s="460">
        <f>SOTP!F71</f>
        <v>52.194057211586497</v>
      </c>
      <c r="F52" s="460">
        <f>SOTP!G71</f>
        <v>53.760280263153582</v>
      </c>
      <c r="G52" s="460">
        <f>SOTP!H71</f>
        <v>55.541603122400481</v>
      </c>
      <c r="H52" s="460">
        <f>SOTP!I71</f>
        <v>57.585604570772496</v>
      </c>
      <c r="I52" s="164"/>
      <c r="J52" s="164"/>
    </row>
    <row r="53" spans="1:10" ht="15" thickTop="1" x14ac:dyDescent="0.3">
      <c r="B53" s="15"/>
      <c r="C53" s="15"/>
      <c r="D53" s="15"/>
      <c r="E53" s="15"/>
      <c r="F53" s="15"/>
      <c r="G53" s="15"/>
      <c r="H53" s="286"/>
    </row>
    <row r="54" spans="1:10" x14ac:dyDescent="0.3">
      <c r="A54" s="126" t="s">
        <v>162</v>
      </c>
      <c r="B54" s="294"/>
      <c r="C54" s="294"/>
      <c r="D54" s="294"/>
      <c r="E54" s="294"/>
      <c r="F54" s="294"/>
      <c r="G54" s="294"/>
      <c r="H54" s="284"/>
      <c r="I54" s="285"/>
      <c r="J54" s="285"/>
    </row>
    <row r="55" spans="1:10" s="82" customFormat="1" ht="3" customHeight="1" x14ac:dyDescent="0.3">
      <c r="A55" s="112"/>
      <c r="B55" s="184"/>
      <c r="C55" s="184"/>
      <c r="D55" s="184"/>
      <c r="E55" s="184"/>
      <c r="F55" s="184"/>
      <c r="G55" s="184"/>
      <c r="H55" s="185"/>
      <c r="I55" s="113"/>
      <c r="J55" s="113"/>
    </row>
    <row r="56" spans="1:10" x14ac:dyDescent="0.3">
      <c r="A56" s="186" t="s">
        <v>738</v>
      </c>
      <c r="B56" s="187" t="s">
        <v>45</v>
      </c>
      <c r="C56" s="187" t="s">
        <v>46</v>
      </c>
      <c r="D56" s="187" t="s">
        <v>47</v>
      </c>
      <c r="E56" s="187" t="s">
        <v>163</v>
      </c>
      <c r="F56" s="187"/>
      <c r="G56" s="187"/>
      <c r="H56" s="189"/>
      <c r="I56" s="190"/>
      <c r="J56" s="190"/>
    </row>
    <row r="57" spans="1:10" x14ac:dyDescent="0.3">
      <c r="A57" s="1" t="s">
        <v>164</v>
      </c>
      <c r="B57" s="491">
        <f>Actuals!B7</f>
        <v>10387</v>
      </c>
      <c r="C57" s="411">
        <f>Actuals!C7</f>
        <v>14015</v>
      </c>
      <c r="D57" s="411">
        <f>Actuals!D7</f>
        <v>18674</v>
      </c>
      <c r="E57" s="411">
        <f>Actuals!B27</f>
        <v>4694</v>
      </c>
      <c r="F57" s="15"/>
      <c r="G57" s="15"/>
      <c r="H57" s="286"/>
    </row>
    <row r="58" spans="1:10" x14ac:dyDescent="0.3">
      <c r="A58" t="s">
        <v>165</v>
      </c>
      <c r="B58" s="78">
        <f>Actuals!B8</f>
        <v>3869</v>
      </c>
      <c r="C58" s="78">
        <f>Actuals!C8</f>
        <v>7599</v>
      </c>
      <c r="D58" s="78">
        <f>Actuals!D8</f>
        <v>11387</v>
      </c>
      <c r="E58" s="78">
        <f>Actuals!B28</f>
        <v>3257</v>
      </c>
      <c r="F58" s="15"/>
      <c r="G58" s="15"/>
      <c r="H58" s="286"/>
    </row>
    <row r="59" spans="1:10" x14ac:dyDescent="0.3">
      <c r="A59" t="s">
        <v>166</v>
      </c>
      <c r="B59" s="78">
        <f>Actuals!B9</f>
        <v>3557</v>
      </c>
      <c r="C59" s="78">
        <f>Actuals!C9</f>
        <v>3796</v>
      </c>
      <c r="D59" s="78">
        <f>Actuals!D9</f>
        <v>4086</v>
      </c>
      <c r="E59" s="78">
        <f>Actuals!B29</f>
        <v>619</v>
      </c>
      <c r="F59" s="15"/>
      <c r="G59" s="15"/>
      <c r="H59" s="286"/>
    </row>
    <row r="60" spans="1:10" x14ac:dyDescent="0.3">
      <c r="A60" t="s">
        <v>167</v>
      </c>
      <c r="B60" s="78">
        <f>Actuals!B10</f>
        <v>2961</v>
      </c>
      <c r="C60" s="78">
        <f>Actuals!C10</f>
        <v>2620</v>
      </c>
      <c r="D60" s="78">
        <f>Actuals!D10</f>
        <v>3201</v>
      </c>
      <c r="E60" s="78">
        <f>Actuals!B30</f>
        <v>818</v>
      </c>
      <c r="F60" s="15"/>
      <c r="G60" s="15"/>
      <c r="H60" s="286"/>
    </row>
    <row r="61" spans="1:10" x14ac:dyDescent="0.3">
      <c r="A61" t="s">
        <v>168</v>
      </c>
      <c r="B61" s="78">
        <f>Historicals!B43</f>
        <v>469</v>
      </c>
      <c r="C61" s="78">
        <f>Historicals!C43</f>
        <v>2006</v>
      </c>
      <c r="D61" s="78">
        <f>Historicals!D43</f>
        <v>4423</v>
      </c>
      <c r="E61" s="78">
        <f>Historicals!J43</f>
        <v>1188</v>
      </c>
      <c r="F61" s="15"/>
      <c r="G61" s="15"/>
      <c r="H61" s="286"/>
    </row>
    <row r="62" spans="1:10" x14ac:dyDescent="0.3">
      <c r="A62" t="s">
        <v>169</v>
      </c>
      <c r="B62" s="78">
        <f>Historicals!B42</f>
        <v>-1</v>
      </c>
      <c r="C62" s="78">
        <f>Historicals!C42</f>
        <v>21</v>
      </c>
      <c r="D62" s="78">
        <f>Historicals!D42</f>
        <v>-657</v>
      </c>
      <c r="E62" s="78">
        <f>Historicals!J42</f>
        <v>-662</v>
      </c>
      <c r="F62" s="15"/>
      <c r="G62" s="15"/>
      <c r="H62" s="286"/>
    </row>
    <row r="63" spans="1:10" x14ac:dyDescent="0.3">
      <c r="A63" t="s">
        <v>170</v>
      </c>
      <c r="B63" s="78">
        <f>Historicals!B44</f>
        <v>-3973</v>
      </c>
      <c r="C63" s="78">
        <f>Historicals!C44</f>
        <v>-1561</v>
      </c>
      <c r="D63" s="78">
        <f>Historicals!D44</f>
        <v>-6355</v>
      </c>
      <c r="E63" s="78">
        <f>Historicals!J44</f>
        <v>-2469</v>
      </c>
      <c r="F63" s="15"/>
      <c r="G63" s="15"/>
      <c r="H63" s="286"/>
    </row>
    <row r="64" spans="1:10" x14ac:dyDescent="0.3">
      <c r="A64" t="s">
        <v>171</v>
      </c>
      <c r="B64" s="78">
        <f>Historicals!B85</f>
        <v>4520</v>
      </c>
      <c r="C64" s="78">
        <f>Historicals!C85</f>
        <v>5776</v>
      </c>
      <c r="D64" s="78">
        <f>Historicals!D85</f>
        <v>6785</v>
      </c>
      <c r="E64" s="78">
        <f>Historicals!J85</f>
        <v>1047</v>
      </c>
      <c r="F64" s="15"/>
      <c r="G64" s="15"/>
      <c r="H64" s="286"/>
    </row>
    <row r="65" spans="1:10" x14ac:dyDescent="0.3">
      <c r="A65" s="1" t="s">
        <v>172</v>
      </c>
      <c r="B65" s="411">
        <f>Actuals!B21</f>
        <v>-4415</v>
      </c>
      <c r="C65" s="411">
        <f>Actuals!C21</f>
        <v>-11163</v>
      </c>
      <c r="D65" s="411">
        <f>Actuals!D21</f>
        <v>-20737</v>
      </c>
      <c r="E65" s="411">
        <f>Historicals!J86</f>
        <v>-10107</v>
      </c>
      <c r="F65" s="15"/>
      <c r="G65" s="15"/>
      <c r="H65" s="286"/>
    </row>
    <row r="66" spans="1:10" ht="15" thickBot="1" x14ac:dyDescent="0.35">
      <c r="A66" s="164" t="s">
        <v>173</v>
      </c>
      <c r="B66" s="490">
        <f>Actuals!B22</f>
        <v>-4628</v>
      </c>
      <c r="C66" s="490">
        <f>Actuals!C22</f>
        <v>791</v>
      </c>
      <c r="D66" s="490">
        <f>Actuals!D22</f>
        <v>-4937</v>
      </c>
      <c r="E66" s="490">
        <f>Historicals!J25</f>
        <v>-4276</v>
      </c>
      <c r="F66" s="18"/>
      <c r="G66" s="18"/>
      <c r="H66" s="180"/>
      <c r="I66" s="164"/>
      <c r="J66" s="164"/>
    </row>
    <row r="67" spans="1:10" ht="15" thickTop="1" x14ac:dyDescent="0.3">
      <c r="B67" s="15"/>
      <c r="C67" s="15"/>
      <c r="D67" s="15"/>
      <c r="E67" s="15"/>
      <c r="F67" s="15"/>
      <c r="G67" s="15"/>
      <c r="H67" s="286"/>
    </row>
    <row r="68" spans="1:10" x14ac:dyDescent="0.3">
      <c r="A68" s="126" t="s">
        <v>840</v>
      </c>
      <c r="B68" s="294"/>
      <c r="C68" s="294"/>
      <c r="D68" s="294"/>
      <c r="E68" s="294"/>
      <c r="F68" s="294"/>
      <c r="G68" s="294"/>
      <c r="H68" s="284"/>
      <c r="I68" s="285"/>
      <c r="J68" s="285"/>
    </row>
    <row r="69" spans="1:10" s="82" customFormat="1" ht="3" customHeight="1" x14ac:dyDescent="0.3">
      <c r="A69" s="112"/>
      <c r="B69" s="184"/>
      <c r="C69" s="184"/>
      <c r="D69" s="184"/>
      <c r="E69" s="184"/>
      <c r="F69" s="184"/>
      <c r="G69" s="184"/>
      <c r="H69" s="185"/>
      <c r="I69" s="113"/>
      <c r="J69" s="113"/>
    </row>
    <row r="70" spans="1:10" x14ac:dyDescent="0.3">
      <c r="A70" s="186" t="s">
        <v>739</v>
      </c>
      <c r="B70" s="187" t="s">
        <v>224</v>
      </c>
      <c r="C70" s="187" t="s">
        <v>225</v>
      </c>
      <c r="D70" s="188" t="s">
        <v>634</v>
      </c>
      <c r="E70" s="187"/>
      <c r="F70" s="187"/>
      <c r="G70" s="187"/>
      <c r="H70" s="189" t="s">
        <v>5</v>
      </c>
      <c r="I70" s="190"/>
      <c r="J70" s="190"/>
    </row>
    <row r="71" spans="1:10" x14ac:dyDescent="0.3">
      <c r="A71" t="s">
        <v>226</v>
      </c>
      <c r="B71" s="53">
        <f>SOTP!D23/1000</f>
        <v>698.34619273144631</v>
      </c>
      <c r="C71" s="67">
        <f>B71</f>
        <v>698.34619273144631</v>
      </c>
      <c r="D71" s="492">
        <v>1750</v>
      </c>
      <c r="E71" s="15"/>
      <c r="F71" s="15"/>
      <c r="G71" s="15"/>
      <c r="H71" s="493" t="s">
        <v>841</v>
      </c>
    </row>
    <row r="72" spans="1:10" x14ac:dyDescent="0.3">
      <c r="A72" t="s">
        <v>232</v>
      </c>
      <c r="B72" s="39">
        <v>210</v>
      </c>
      <c r="C72" s="67">
        <f>C71+B72</f>
        <v>908.34619273144631</v>
      </c>
      <c r="D72" s="192"/>
      <c r="E72" s="15"/>
      <c r="F72" s="15"/>
      <c r="G72" s="15"/>
      <c r="H72" s="493" t="s">
        <v>842</v>
      </c>
    </row>
    <row r="73" spans="1:10" x14ac:dyDescent="0.3">
      <c r="A73" t="s">
        <v>233</v>
      </c>
      <c r="B73" s="39">
        <v>350</v>
      </c>
      <c r="C73" s="67">
        <f>C72+B73</f>
        <v>1258.3461927314463</v>
      </c>
      <c r="D73" s="192"/>
      <c r="E73" s="15"/>
      <c r="F73" s="15"/>
      <c r="G73" s="15"/>
      <c r="H73" s="493" t="s">
        <v>227</v>
      </c>
    </row>
    <row r="74" spans="1:10" x14ac:dyDescent="0.3">
      <c r="A74" t="s">
        <v>234</v>
      </c>
      <c r="B74" s="39">
        <v>250</v>
      </c>
      <c r="C74" s="67">
        <f>C73+B74</f>
        <v>1508.3461927314463</v>
      </c>
      <c r="D74" s="192"/>
      <c r="E74" s="15"/>
      <c r="F74" s="15"/>
      <c r="G74" s="15"/>
      <c r="H74" s="493" t="s">
        <v>228</v>
      </c>
    </row>
    <row r="75" spans="1:10" x14ac:dyDescent="0.3">
      <c r="A75" t="s">
        <v>235</v>
      </c>
      <c r="B75" s="39">
        <v>120</v>
      </c>
      <c r="C75" s="67">
        <f>C74+B75</f>
        <v>1628.3461927314463</v>
      </c>
      <c r="D75" s="192"/>
      <c r="E75" s="15"/>
      <c r="F75" s="15"/>
      <c r="G75" s="15"/>
      <c r="H75" s="493" t="s">
        <v>229</v>
      </c>
    </row>
    <row r="76" spans="1:10" x14ac:dyDescent="0.3">
      <c r="A76" t="s">
        <v>236</v>
      </c>
      <c r="B76" s="67">
        <f>$D$71-C75</f>
        <v>121.65380726855369</v>
      </c>
      <c r="C76" s="67">
        <f>C75+B76</f>
        <v>1750</v>
      </c>
      <c r="D76" s="192"/>
      <c r="E76" s="15"/>
      <c r="F76" s="15"/>
      <c r="G76" s="15"/>
      <c r="H76" s="493" t="s">
        <v>843</v>
      </c>
    </row>
    <row r="77" spans="1:10" ht="15" thickBot="1" x14ac:dyDescent="0.35">
      <c r="A77" s="164" t="s">
        <v>231</v>
      </c>
      <c r="B77" s="227">
        <f>$D$71</f>
        <v>1750</v>
      </c>
      <c r="C77" s="227">
        <f>$D$71</f>
        <v>1750</v>
      </c>
      <c r="D77" s="183"/>
      <c r="E77" s="18"/>
      <c r="F77" s="18"/>
      <c r="G77" s="18"/>
      <c r="H77" s="494" t="s">
        <v>230</v>
      </c>
      <c r="I77" s="164"/>
      <c r="J77" s="164"/>
    </row>
    <row r="78" spans="1:10" ht="15" thickTop="1" x14ac:dyDescent="0.3"/>
  </sheetData>
  <sheetProtection algorithmName="SHA-512" hashValue="LbeFQr9KMzYkc6X7nEWreGY6CZe1wUnFw9LApgrtrBpjjpnnfADlgg7/86kafilNS6QzGr3txfsCp/eZ8Ak3NQ==" saltValue="ZBJthJHdTEKcqZEyjczAxA==" spinCount="100000" sheet="1" objects="1" scenarios="1"/>
  <mergeCells count="1">
    <mergeCell ref="B38:D38"/>
  </mergeCells>
  <conditionalFormatting sqref="C49">
    <cfRule type="cellIs" dxfId="2" priority="1" operator="lessThan">
      <formula>0</formula>
    </cfRule>
  </conditionalFormatting>
  <pageMargins left="0.7" right="0.7" top="0.75" bottom="0.75" header="0.3" footer="0.3"/>
  <pageSetup orientation="portrait" r:id="rId1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3023B7-8A6A-4BA9-A428-8055B17EF7D3}">
  <sheetPr>
    <tabColor theme="1" tint="4.9989318521683403E-2"/>
  </sheetPr>
  <dimension ref="A1:J112"/>
  <sheetViews>
    <sheetView showGridLines="0" zoomScaleNormal="100" workbookViewId="0">
      <pane ySplit="4" topLeftCell="A5" activePane="bottomLeft" state="frozen"/>
      <selection activeCell="A20" sqref="A20"/>
      <selection pane="bottomLeft" activeCell="K69" sqref="K69"/>
    </sheetView>
  </sheetViews>
  <sheetFormatPr defaultRowHeight="14.4" x14ac:dyDescent="0.3"/>
  <cols>
    <col min="1" max="1" width="44.44140625" customWidth="1"/>
    <col min="2" max="10" width="22.21875" customWidth="1"/>
    <col min="11" max="14" width="15.77734375" customWidth="1"/>
  </cols>
  <sheetData>
    <row r="1" spans="1:10" ht="30" customHeight="1" x14ac:dyDescent="0.3">
      <c r="A1" s="96" t="s">
        <v>844</v>
      </c>
    </row>
    <row r="2" spans="1:10" x14ac:dyDescent="0.3">
      <c r="A2" s="3" t="s">
        <v>109</v>
      </c>
    </row>
    <row r="3" spans="1:10" x14ac:dyDescent="0.3">
      <c r="A3" s="3" t="s">
        <v>632</v>
      </c>
    </row>
    <row r="4" spans="1:10" x14ac:dyDescent="0.3">
      <c r="A4" s="3"/>
    </row>
    <row r="5" spans="1:10" ht="15" thickBot="1" x14ac:dyDescent="0.35">
      <c r="A5" s="58" t="s">
        <v>322</v>
      </c>
    </row>
    <row r="6" spans="1:10" ht="15" thickTop="1" x14ac:dyDescent="0.3">
      <c r="A6" s="98" t="s">
        <v>110</v>
      </c>
      <c r="B6" s="118"/>
      <c r="C6" s="118"/>
      <c r="D6" s="118"/>
      <c r="E6" s="118"/>
      <c r="F6" s="118"/>
      <c r="G6" s="118"/>
      <c r="H6" s="118"/>
      <c r="I6" s="118"/>
      <c r="J6" s="118"/>
    </row>
    <row r="7" spans="1:10" s="82" customFormat="1" ht="3" customHeight="1" x14ac:dyDescent="0.3">
      <c r="A7" s="143"/>
      <c r="B7" s="41"/>
      <c r="C7" s="41"/>
      <c r="D7" s="41"/>
      <c r="E7" s="41"/>
      <c r="F7" s="41"/>
      <c r="G7" s="41"/>
      <c r="H7" s="41"/>
      <c r="I7" s="41"/>
      <c r="J7" s="41"/>
    </row>
    <row r="8" spans="1:10" x14ac:dyDescent="0.3">
      <c r="A8" s="93" t="s">
        <v>727</v>
      </c>
      <c r="B8" s="94" t="s">
        <v>192</v>
      </c>
      <c r="C8" s="94" t="s">
        <v>193</v>
      </c>
      <c r="D8" s="94" t="s">
        <v>908</v>
      </c>
      <c r="E8" s="94" t="s">
        <v>111</v>
      </c>
      <c r="F8" s="94" t="s">
        <v>920</v>
      </c>
      <c r="G8" s="99"/>
      <c r="H8" s="99" t="s">
        <v>641</v>
      </c>
      <c r="I8" s="93"/>
      <c r="J8" s="93"/>
    </row>
    <row r="9" spans="1:10" x14ac:dyDescent="0.3">
      <c r="A9" s="1" t="s">
        <v>16</v>
      </c>
      <c r="B9" s="46">
        <f>'Conn DCF'!B103</f>
        <v>558405.90766802779</v>
      </c>
      <c r="C9" s="46">
        <f>'Conn DCF'!C103</f>
        <v>340341.15731959091</v>
      </c>
      <c r="D9" s="78">
        <f>F9*B9+(1-F9)*C9</f>
        <v>558405.90766802779</v>
      </c>
      <c r="E9" s="29">
        <f>D9/$D$12</f>
        <v>0.90724657846624668</v>
      </c>
      <c r="F9" s="66">
        <v>1</v>
      </c>
      <c r="H9" s="423" t="str">
        <f>IF(N('Conn Comps'!K54)&gt;0,"✓ LIVE "&amp;TEXT('Conn Comps'!K54,"0.0x")&amp;" EV/EBITDA","⚠ FALLBACK")</f>
        <v>✓ LIVE 5.9x EV/EBITDA</v>
      </c>
      <c r="I9" s="21"/>
      <c r="J9" s="21"/>
    </row>
    <row r="10" spans="1:10" x14ac:dyDescent="0.3">
      <c r="A10" s="1" t="s">
        <v>112</v>
      </c>
      <c r="B10" s="46">
        <f>'Space DCF'!B111</f>
        <v>49217.27730972982</v>
      </c>
      <c r="C10" s="46">
        <f>'Space DCF'!C111</f>
        <v>59902.087608531787</v>
      </c>
      <c r="D10" s="78">
        <f>F10*B10+(1-F10)*C10</f>
        <v>52422.72039937041</v>
      </c>
      <c r="E10" s="29">
        <f>D10/$D$12</f>
        <v>8.5171616315521018E-2</v>
      </c>
      <c r="F10" s="66">
        <v>0.7</v>
      </c>
      <c r="H10" s="423" t="str">
        <f>IF(N('Space Comps'!K35)&gt;0,"✓ LIVE "&amp;TEXT('Space Comps'!K35,"0.0x")&amp;" EV/EBITDA","⚠ FALLBACK")</f>
        <v>✓ LIVE 15.1x EV/EBITDA</v>
      </c>
      <c r="I10" s="21"/>
      <c r="J10" s="21"/>
    </row>
    <row r="11" spans="1:10" x14ac:dyDescent="0.3">
      <c r="A11" s="1" t="s">
        <v>113</v>
      </c>
      <c r="B11" s="46">
        <f>'AI DCF'!B103</f>
        <v>2292.166158210799</v>
      </c>
      <c r="C11" s="46">
        <f>'AI DCF'!C103</f>
        <v>10206.827844335159</v>
      </c>
      <c r="D11" s="78">
        <f>F11*B11+(1-F11)*C11</f>
        <v>4666.5646640481073</v>
      </c>
      <c r="E11" s="29">
        <f>D11/$D$12</f>
        <v>7.5818052182321898E-3</v>
      </c>
      <c r="F11" s="66">
        <v>0.7</v>
      </c>
      <c r="H11" s="423" t="str">
        <f>IF(N('AI Comps'!J43)&gt;0,"✓ LIVE "&amp;TEXT('AI Comps'!J43,"0.0x")&amp;" EV/Rev (Tier 3)","⚠ FALLBACK")</f>
        <v>✓ LIVE 3.2x EV/Rev (Tier 3)</v>
      </c>
      <c r="I11" s="21"/>
      <c r="J11" s="21"/>
    </row>
    <row r="12" spans="1:10" ht="15" thickBot="1" x14ac:dyDescent="0.35">
      <c r="A12" s="201" t="s">
        <v>740</v>
      </c>
      <c r="B12" s="473">
        <f>B9+B10+B11</f>
        <v>609915.35113596846</v>
      </c>
      <c r="C12" s="473">
        <f>C9+C10+C11</f>
        <v>410450.0727724579</v>
      </c>
      <c r="D12" s="473">
        <f>D9+D10+D11</f>
        <v>615495.19273144635</v>
      </c>
      <c r="E12" s="474">
        <f>D12/$D$12</f>
        <v>1</v>
      </c>
      <c r="F12" s="195"/>
      <c r="G12" s="195"/>
      <c r="H12" s="195"/>
      <c r="I12" s="195"/>
      <c r="J12" s="195"/>
    </row>
    <row r="13" spans="1:10" ht="15.6" thickTop="1" thickBot="1" x14ac:dyDescent="0.35">
      <c r="B13" s="15"/>
      <c r="C13" s="15"/>
      <c r="D13" s="15"/>
      <c r="E13" s="15"/>
      <c r="F13" s="27"/>
      <c r="G13" s="27"/>
    </row>
    <row r="14" spans="1:10" ht="15" thickTop="1" x14ac:dyDescent="0.3">
      <c r="A14" s="202"/>
      <c r="B14" s="118"/>
      <c r="C14" s="118"/>
      <c r="D14" s="118"/>
      <c r="E14" s="118"/>
      <c r="F14" s="97"/>
      <c r="G14" s="97"/>
      <c r="H14" s="97"/>
      <c r="I14" s="97"/>
      <c r="J14" s="97"/>
    </row>
    <row r="15" spans="1:10" s="82" customFormat="1" ht="3" customHeight="1" x14ac:dyDescent="0.3">
      <c r="A15" s="203"/>
      <c r="B15" s="41"/>
      <c r="C15" s="41"/>
      <c r="D15" s="41"/>
      <c r="E15" s="41"/>
      <c r="F15" s="193"/>
      <c r="G15" s="193"/>
      <c r="H15" s="193"/>
      <c r="I15" s="193"/>
      <c r="J15" s="193"/>
    </row>
    <row r="16" spans="1:10" x14ac:dyDescent="0.3">
      <c r="A16" s="204"/>
      <c r="B16" s="94" t="s">
        <v>94</v>
      </c>
      <c r="C16" s="94" t="s">
        <v>95</v>
      </c>
      <c r="D16" s="94" t="s">
        <v>115</v>
      </c>
      <c r="E16" s="94"/>
      <c r="F16" s="93"/>
      <c r="G16" s="93"/>
      <c r="H16" s="93" t="s">
        <v>5</v>
      </c>
      <c r="I16" s="93"/>
      <c r="J16" s="93"/>
    </row>
    <row r="17" spans="1:10" x14ac:dyDescent="0.3">
      <c r="A17" t="s">
        <v>114</v>
      </c>
      <c r="B17" s="78">
        <f>B12</f>
        <v>609915.35113596846</v>
      </c>
      <c r="C17" s="78">
        <f>C12</f>
        <v>410450.0727724579</v>
      </c>
      <c r="D17" s="78">
        <f>D12</f>
        <v>615495.19273144635</v>
      </c>
      <c r="E17" s="15"/>
      <c r="H17" s="499"/>
    </row>
    <row r="18" spans="1:10" x14ac:dyDescent="0.3">
      <c r="A18" t="s">
        <v>116</v>
      </c>
      <c r="B18" s="46">
        <f>-Historicals!D81-5000</f>
        <v>-27896</v>
      </c>
      <c r="C18" s="78">
        <f>$B$18</f>
        <v>-27896</v>
      </c>
      <c r="D18" s="78">
        <f>$B$18</f>
        <v>-27896</v>
      </c>
      <c r="E18" s="191"/>
      <c r="F18" s="58"/>
      <c r="G18" s="58"/>
      <c r="H18" s="495" t="s">
        <v>323</v>
      </c>
      <c r="I18" s="58"/>
      <c r="J18" s="58"/>
    </row>
    <row r="19" spans="1:10" x14ac:dyDescent="0.3">
      <c r="A19" t="s">
        <v>117</v>
      </c>
      <c r="B19" s="46">
        <f>Historicals!D68</f>
        <v>24747</v>
      </c>
      <c r="C19" s="78">
        <f>$B$19</f>
        <v>24747</v>
      </c>
      <c r="D19" s="78">
        <f>$B$19</f>
        <v>24747</v>
      </c>
      <c r="E19" s="191"/>
      <c r="F19" s="58"/>
      <c r="G19" s="58"/>
      <c r="H19" s="495" t="s">
        <v>323</v>
      </c>
      <c r="I19" s="58"/>
      <c r="J19" s="58"/>
    </row>
    <row r="20" spans="1:10" x14ac:dyDescent="0.3">
      <c r="A20" t="s">
        <v>118</v>
      </c>
      <c r="B20" s="46">
        <f>-Historicals!D79</f>
        <v>-38752</v>
      </c>
      <c r="C20" s="78">
        <f>$B$20</f>
        <v>-38752</v>
      </c>
      <c r="D20" s="78">
        <f>$B$20</f>
        <v>-38752</v>
      </c>
      <c r="E20" s="191"/>
      <c r="F20" s="58"/>
      <c r="G20" s="58"/>
      <c r="H20" s="495" t="s">
        <v>324</v>
      </c>
      <c r="I20" s="58"/>
      <c r="J20" s="58"/>
    </row>
    <row r="21" spans="1:10" x14ac:dyDescent="0.3">
      <c r="A21" t="s">
        <v>119</v>
      </c>
      <c r="B21" s="78">
        <f>-B20</f>
        <v>38752</v>
      </c>
      <c r="C21" s="78">
        <f>$B$21</f>
        <v>38752</v>
      </c>
      <c r="D21" s="78">
        <f>$B$21</f>
        <v>38752</v>
      </c>
      <c r="E21" s="15"/>
      <c r="H21" s="499"/>
    </row>
    <row r="22" spans="1:10" x14ac:dyDescent="0.3">
      <c r="A22" s="327" t="s">
        <v>778</v>
      </c>
      <c r="B22" s="424">
        <v>86000</v>
      </c>
      <c r="C22" s="425">
        <f>$B$22</f>
        <v>86000</v>
      </c>
      <c r="D22" s="425">
        <f>$B$22</f>
        <v>86000</v>
      </c>
      <c r="E22" s="328"/>
      <c r="F22" s="329"/>
      <c r="G22" s="329"/>
      <c r="H22" s="500" t="s">
        <v>779</v>
      </c>
    </row>
    <row r="23" spans="1:10" ht="15" thickBot="1" x14ac:dyDescent="0.35">
      <c r="A23" s="201" t="s">
        <v>741</v>
      </c>
      <c r="B23" s="473">
        <f>B17+B18+B19+B20+B21+B22</f>
        <v>692766.35113596846</v>
      </c>
      <c r="C23" s="473">
        <f>C17+C18+C19+C20+C21+C22</f>
        <v>493301.0727724579</v>
      </c>
      <c r="D23" s="473">
        <f>D17+D18+D19+D20+D21+D22</f>
        <v>698346.19273144635</v>
      </c>
      <c r="E23" s="196"/>
      <c r="F23" s="197"/>
      <c r="G23" s="197"/>
      <c r="H23" s="197"/>
      <c r="I23" s="197"/>
      <c r="J23" s="197"/>
    </row>
    <row r="24" spans="1:10" ht="15.6" thickTop="1" thickBot="1" x14ac:dyDescent="0.35">
      <c r="B24" s="15"/>
      <c r="C24" s="15"/>
      <c r="D24" s="15"/>
      <c r="E24" s="15"/>
    </row>
    <row r="25" spans="1:10" ht="15" thickTop="1" x14ac:dyDescent="0.3">
      <c r="A25" s="98" t="s">
        <v>120</v>
      </c>
      <c r="B25" s="118"/>
      <c r="C25" s="118"/>
      <c r="D25" s="118"/>
      <c r="E25" s="118"/>
      <c r="F25" s="98"/>
      <c r="G25" s="98"/>
      <c r="H25" s="98"/>
      <c r="I25" s="98"/>
      <c r="J25" s="98"/>
    </row>
    <row r="26" spans="1:10" s="82" customFormat="1" ht="3" customHeight="1" x14ac:dyDescent="0.3">
      <c r="A26" s="143"/>
      <c r="B26" s="41"/>
      <c r="C26" s="41"/>
      <c r="D26" s="41"/>
      <c r="E26" s="41"/>
      <c r="F26" s="143"/>
      <c r="G26" s="143"/>
      <c r="H26" s="143"/>
      <c r="I26" s="143"/>
      <c r="J26" s="143"/>
    </row>
    <row r="27" spans="1:10" x14ac:dyDescent="0.3">
      <c r="A27" s="93" t="s">
        <v>729</v>
      </c>
      <c r="B27" s="94" t="s">
        <v>94</v>
      </c>
      <c r="C27" s="94" t="s">
        <v>95</v>
      </c>
      <c r="D27" s="94" t="s">
        <v>115</v>
      </c>
      <c r="E27" s="94"/>
      <c r="F27" s="93"/>
      <c r="G27" s="93"/>
      <c r="H27" s="93" t="s">
        <v>5</v>
      </c>
      <c r="I27" s="93"/>
      <c r="J27" s="93"/>
    </row>
    <row r="28" spans="1:10" x14ac:dyDescent="0.3">
      <c r="A28" t="s">
        <v>845</v>
      </c>
      <c r="B28" s="44">
        <v>5798</v>
      </c>
      <c r="C28" s="64">
        <f>$B$28</f>
        <v>5798</v>
      </c>
      <c r="D28" s="64">
        <f>$B$28</f>
        <v>5798</v>
      </c>
      <c r="E28" s="191"/>
      <c r="F28" s="58"/>
      <c r="G28" s="58"/>
      <c r="H28" s="495" t="s">
        <v>325</v>
      </c>
      <c r="I28" s="58"/>
      <c r="J28" s="58"/>
    </row>
    <row r="29" spans="1:10" x14ac:dyDescent="0.3">
      <c r="A29" t="s">
        <v>846</v>
      </c>
      <c r="B29" s="488">
        <f>B93</f>
        <v>13041</v>
      </c>
      <c r="C29" s="64">
        <f>$B$29</f>
        <v>13041</v>
      </c>
      <c r="D29" s="64">
        <f>$B$29</f>
        <v>13041</v>
      </c>
      <c r="E29" s="191"/>
      <c r="F29" s="58"/>
      <c r="G29" s="58"/>
      <c r="H29" s="495" t="s">
        <v>326</v>
      </c>
      <c r="I29" s="58"/>
      <c r="J29" s="58"/>
    </row>
    <row r="30" spans="1:10" x14ac:dyDescent="0.3">
      <c r="A30" s="95" t="s">
        <v>847</v>
      </c>
      <c r="B30" s="471">
        <f>B23/$B$28</f>
        <v>119.48367560123637</v>
      </c>
      <c r="C30" s="471">
        <f>C23/$B$28</f>
        <v>85.081247459892708</v>
      </c>
      <c r="D30" s="471">
        <f>D23/$B$28</f>
        <v>120.44604910856268</v>
      </c>
      <c r="E30" s="100"/>
      <c r="F30" s="101"/>
      <c r="G30" s="101"/>
      <c r="H30" s="101"/>
      <c r="I30" s="101"/>
      <c r="J30" s="101"/>
    </row>
    <row r="31" spans="1:10" ht="15" thickBot="1" x14ac:dyDescent="0.35">
      <c r="A31" s="205" t="s">
        <v>848</v>
      </c>
      <c r="B31" s="472">
        <f>B23/$B$29</f>
        <v>53.122180134649831</v>
      </c>
      <c r="C31" s="472">
        <f>C23/$B$29</f>
        <v>37.82693603040088</v>
      </c>
      <c r="D31" s="472">
        <f>D23/$B$29</f>
        <v>53.550049285441787</v>
      </c>
      <c r="E31" s="198"/>
      <c r="F31" s="199"/>
      <c r="G31" s="199"/>
      <c r="H31" s="199"/>
      <c r="I31" s="199"/>
      <c r="J31" s="199"/>
    </row>
    <row r="32" spans="1:10" ht="15" thickTop="1" x14ac:dyDescent="0.3">
      <c r="A32" s="333"/>
      <c r="B32" s="334"/>
      <c r="C32" s="334"/>
      <c r="D32" s="334"/>
      <c r="E32" s="335"/>
      <c r="F32" s="333"/>
      <c r="G32" s="333"/>
      <c r="H32" s="333"/>
      <c r="I32" s="149"/>
      <c r="J32" s="149"/>
    </row>
    <row r="33" spans="1:10" x14ac:dyDescent="0.3">
      <c r="A33" s="336" t="s">
        <v>780</v>
      </c>
      <c r="B33" s="337"/>
      <c r="C33" s="337"/>
      <c r="D33" s="337"/>
      <c r="E33" s="338"/>
      <c r="F33" s="336"/>
      <c r="G33" s="336"/>
      <c r="H33" s="336"/>
      <c r="I33" s="350"/>
      <c r="J33" s="350"/>
    </row>
    <row r="34" spans="1:10" x14ac:dyDescent="0.3">
      <c r="A34" s="333" t="s">
        <v>781</v>
      </c>
      <c r="B34" s="426">
        <v>60000</v>
      </c>
      <c r="C34" s="427">
        <f>$B$34</f>
        <v>60000</v>
      </c>
      <c r="D34" s="427">
        <f>$B$34</f>
        <v>60000</v>
      </c>
      <c r="E34" s="331"/>
      <c r="F34" s="332"/>
      <c r="G34" s="332"/>
      <c r="H34" s="495" t="s">
        <v>782</v>
      </c>
      <c r="I34" s="149"/>
      <c r="J34" s="149"/>
    </row>
    <row r="35" spans="1:10" x14ac:dyDescent="0.3">
      <c r="A35" s="333" t="s">
        <v>783</v>
      </c>
      <c r="B35" s="78">
        <f>B23+B34</f>
        <v>752766.35113596846</v>
      </c>
      <c r="C35" s="78">
        <f>C23+C34</f>
        <v>553301.07277245796</v>
      </c>
      <c r="D35" s="78">
        <f>D23+D34</f>
        <v>758346.19273144635</v>
      </c>
      <c r="E35" s="331"/>
      <c r="F35" s="332"/>
      <c r="G35" s="332"/>
      <c r="H35" s="499"/>
      <c r="I35" s="149"/>
      <c r="J35" s="149"/>
    </row>
    <row r="36" spans="1:10" x14ac:dyDescent="0.3">
      <c r="A36" s="333" t="s">
        <v>784</v>
      </c>
      <c r="B36" s="64">
        <f>B29+444</f>
        <v>13485</v>
      </c>
      <c r="C36" s="64">
        <f>$B$36</f>
        <v>13485</v>
      </c>
      <c r="D36" s="64">
        <f>$B$36</f>
        <v>13485</v>
      </c>
      <c r="E36" s="331"/>
      <c r="F36" s="332"/>
      <c r="G36" s="332"/>
      <c r="H36" s="495" t="s">
        <v>785</v>
      </c>
      <c r="I36" s="149"/>
      <c r="J36" s="149"/>
    </row>
    <row r="37" spans="1:10" x14ac:dyDescent="0.3">
      <c r="A37" s="339" t="s">
        <v>849</v>
      </c>
      <c r="B37" s="475">
        <f>B35/B36</f>
        <v>55.822495449460028</v>
      </c>
      <c r="C37" s="475">
        <f>C35/C36</f>
        <v>41.030854488131844</v>
      </c>
      <c r="D37" s="475">
        <f>D35/D36</f>
        <v>56.236276806188087</v>
      </c>
      <c r="E37" s="340"/>
      <c r="F37" s="339"/>
      <c r="G37" s="339"/>
      <c r="H37" s="339"/>
      <c r="I37" s="330"/>
      <c r="J37" s="330"/>
    </row>
    <row r="38" spans="1:10" ht="15" thickBot="1" x14ac:dyDescent="0.35">
      <c r="B38" s="15"/>
      <c r="C38" s="15"/>
      <c r="D38" s="15"/>
      <c r="E38" s="15"/>
      <c r="F38" s="27"/>
      <c r="G38" s="27"/>
      <c r="H38" s="27"/>
    </row>
    <row r="39" spans="1:10" ht="15" thickTop="1" x14ac:dyDescent="0.3">
      <c r="A39" s="98" t="s">
        <v>121</v>
      </c>
      <c r="B39" s="118"/>
      <c r="C39" s="118"/>
      <c r="D39" s="118"/>
      <c r="E39" s="118"/>
      <c r="F39" s="97"/>
      <c r="G39" s="97"/>
      <c r="H39" s="97"/>
      <c r="I39" s="97"/>
      <c r="J39" s="97"/>
    </row>
    <row r="40" spans="1:10" s="82" customFormat="1" ht="3" customHeight="1" x14ac:dyDescent="0.3">
      <c r="A40" s="143"/>
      <c r="B40" s="41"/>
      <c r="C40" s="41"/>
      <c r="D40" s="41"/>
      <c r="E40" s="41"/>
      <c r="F40" s="193"/>
      <c r="G40" s="193"/>
      <c r="H40" s="193"/>
      <c r="I40" s="193"/>
      <c r="J40" s="193"/>
    </row>
    <row r="41" spans="1:10" x14ac:dyDescent="0.3">
      <c r="A41" s="186" t="s">
        <v>727</v>
      </c>
      <c r="B41" s="94" t="s">
        <v>122</v>
      </c>
      <c r="C41" s="296" t="s">
        <v>123</v>
      </c>
      <c r="D41" s="297" t="s">
        <v>124</v>
      </c>
      <c r="E41" s="94" t="s">
        <v>125</v>
      </c>
      <c r="F41" s="99"/>
      <c r="G41" s="99"/>
      <c r="H41" s="99" t="s">
        <v>126</v>
      </c>
      <c r="I41" s="99"/>
      <c r="J41" s="99"/>
    </row>
    <row r="42" spans="1:10" x14ac:dyDescent="0.3">
      <c r="A42" t="s">
        <v>16</v>
      </c>
      <c r="B42" s="78">
        <f>D9</f>
        <v>558405.90766802779</v>
      </c>
      <c r="C42" s="334">
        <f>B42/$B$28</f>
        <v>96.310091008628461</v>
      </c>
      <c r="D42" s="29">
        <f>B42/$B$45</f>
        <v>0.90724657846624668</v>
      </c>
      <c r="E42" s="394">
        <f>'Conn DCF'!B46</f>
        <v>6.3906891025641024E-2</v>
      </c>
      <c r="F42" s="191"/>
      <c r="G42" s="191"/>
      <c r="H42" s="501" t="s">
        <v>127</v>
      </c>
      <c r="I42" s="191"/>
      <c r="J42" s="191"/>
    </row>
    <row r="43" spans="1:10" x14ac:dyDescent="0.3">
      <c r="A43" t="s">
        <v>112</v>
      </c>
      <c r="B43" s="78">
        <f>D10</f>
        <v>52422.72039937041</v>
      </c>
      <c r="C43" s="334">
        <f>B43/$B$28</f>
        <v>9.041517833627184</v>
      </c>
      <c r="D43" s="29">
        <f>B43/$B$45</f>
        <v>8.5171616315521018E-2</v>
      </c>
      <c r="E43" s="394">
        <f>'Space DCF'!B50</f>
        <v>6.8984004275846722E-2</v>
      </c>
      <c r="F43" s="191"/>
      <c r="G43" s="191"/>
      <c r="H43" s="501" t="s">
        <v>128</v>
      </c>
      <c r="I43" s="191"/>
      <c r="J43" s="191"/>
    </row>
    <row r="44" spans="1:10" x14ac:dyDescent="0.3">
      <c r="A44" t="s">
        <v>129</v>
      </c>
      <c r="B44" s="78">
        <f>D11</f>
        <v>4666.5646640481073</v>
      </c>
      <c r="C44" s="334">
        <f>B44/$B$28</f>
        <v>0.80485765161229861</v>
      </c>
      <c r="D44" s="29">
        <f>B44/$B$45</f>
        <v>7.5818052182321898E-3</v>
      </c>
      <c r="E44" s="394">
        <f>'AI DCF'!B42</f>
        <v>0.10385357991614476</v>
      </c>
      <c r="F44" s="191"/>
      <c r="G44" s="191"/>
      <c r="H44" s="501" t="s">
        <v>130</v>
      </c>
      <c r="I44" s="191"/>
      <c r="J44" s="191"/>
    </row>
    <row r="45" spans="1:10" ht="15" thickBot="1" x14ac:dyDescent="0.35">
      <c r="A45" s="201" t="s">
        <v>742</v>
      </c>
      <c r="B45" s="465">
        <f>D12</f>
        <v>615495.19273144635</v>
      </c>
      <c r="C45" s="466">
        <f>B45/$B$28</f>
        <v>106.15646649386795</v>
      </c>
      <c r="D45" s="467">
        <f>SUM(D42:D44)</f>
        <v>0.99999999999999989</v>
      </c>
      <c r="E45" s="196"/>
      <c r="F45" s="209"/>
      <c r="G45" s="209"/>
      <c r="H45" s="209"/>
      <c r="I45" s="209"/>
      <c r="J45" s="209"/>
    </row>
    <row r="46" spans="1:10" ht="15.6" thickTop="1" thickBot="1" x14ac:dyDescent="0.35">
      <c r="B46" s="15"/>
      <c r="C46" s="15"/>
      <c r="D46" s="15"/>
      <c r="E46" s="15"/>
      <c r="F46" s="27"/>
      <c r="G46" s="27"/>
      <c r="H46" s="27"/>
    </row>
    <row r="47" spans="1:10" ht="15" thickTop="1" x14ac:dyDescent="0.3">
      <c r="A47" s="98" t="s">
        <v>131</v>
      </c>
      <c r="B47" s="118"/>
      <c r="C47" s="118"/>
      <c r="D47" s="118"/>
      <c r="E47" s="118"/>
      <c r="F47" s="97"/>
      <c r="G47" s="97"/>
      <c r="H47" s="97"/>
      <c r="I47" s="97"/>
      <c r="J47" s="97"/>
    </row>
    <row r="48" spans="1:10" s="82" customFormat="1" ht="3" customHeight="1" x14ac:dyDescent="0.3">
      <c r="A48" s="143"/>
      <c r="B48" s="41"/>
      <c r="C48" s="41"/>
      <c r="D48" s="41"/>
      <c r="E48" s="41"/>
      <c r="F48" s="193"/>
      <c r="G48" s="193"/>
      <c r="H48" s="193"/>
      <c r="I48" s="193"/>
      <c r="J48" s="193"/>
    </row>
    <row r="49" spans="1:10" x14ac:dyDescent="0.3">
      <c r="A49" s="93" t="s">
        <v>730</v>
      </c>
      <c r="B49" s="94" t="s">
        <v>45</v>
      </c>
      <c r="C49" s="94" t="s">
        <v>46</v>
      </c>
      <c r="D49" s="94" t="s">
        <v>47</v>
      </c>
      <c r="E49" s="94" t="s">
        <v>132</v>
      </c>
      <c r="F49" s="99"/>
      <c r="G49" s="99"/>
      <c r="H49" s="99" t="s">
        <v>5</v>
      </c>
      <c r="I49" s="99"/>
      <c r="J49" s="99"/>
    </row>
    <row r="50" spans="1:10" x14ac:dyDescent="0.3">
      <c r="A50" s="1" t="s">
        <v>1</v>
      </c>
      <c r="B50" s="46">
        <f>Historicals!B8</f>
        <v>10387</v>
      </c>
      <c r="C50" s="46">
        <f>Historicals!C8</f>
        <v>14015</v>
      </c>
      <c r="D50" s="46">
        <f>Historicals!D8</f>
        <v>18674</v>
      </c>
      <c r="E50" s="46">
        <f>Historicals!J8</f>
        <v>4694</v>
      </c>
      <c r="F50" s="191"/>
      <c r="G50" s="191"/>
      <c r="H50" s="501" t="s">
        <v>133</v>
      </c>
      <c r="I50" s="191"/>
      <c r="J50" s="191"/>
    </row>
    <row r="51" spans="1:10" x14ac:dyDescent="0.3">
      <c r="A51" t="s">
        <v>134</v>
      </c>
      <c r="B51" s="46">
        <f>Historicals!B32</f>
        <v>3869</v>
      </c>
      <c r="C51" s="46">
        <f>Historicals!C32</f>
        <v>7599</v>
      </c>
      <c r="D51" s="46">
        <f>Historicals!D32</f>
        <v>11387</v>
      </c>
      <c r="E51" s="46">
        <f>Historicals!J32</f>
        <v>3257</v>
      </c>
      <c r="F51" s="191"/>
      <c r="G51" s="191"/>
      <c r="H51" s="501" t="s">
        <v>135</v>
      </c>
      <c r="I51" s="191"/>
      <c r="J51" s="191"/>
    </row>
    <row r="52" spans="1:10" x14ac:dyDescent="0.3">
      <c r="A52" t="s">
        <v>136</v>
      </c>
      <c r="B52" s="46">
        <f>Historicals!B29</f>
        <v>3557</v>
      </c>
      <c r="C52" s="46">
        <f>Historicals!C29</f>
        <v>3796</v>
      </c>
      <c r="D52" s="46">
        <f>Historicals!D29</f>
        <v>4086</v>
      </c>
      <c r="E52" s="46">
        <f>Historicals!J29</f>
        <v>619</v>
      </c>
      <c r="F52" s="191"/>
      <c r="G52" s="191"/>
      <c r="H52" s="501" t="s">
        <v>137</v>
      </c>
      <c r="I52" s="191"/>
      <c r="J52" s="191"/>
    </row>
    <row r="53" spans="1:10" x14ac:dyDescent="0.3">
      <c r="A53" t="s">
        <v>138</v>
      </c>
      <c r="B53" s="46">
        <f>Historicals!B35</f>
        <v>2961</v>
      </c>
      <c r="C53" s="46">
        <f>Historicals!C35</f>
        <v>2620</v>
      </c>
      <c r="D53" s="46">
        <f>Historicals!D35</f>
        <v>3201</v>
      </c>
      <c r="E53" s="46">
        <f>Historicals!J35</f>
        <v>818</v>
      </c>
      <c r="F53" s="191"/>
      <c r="G53" s="191"/>
      <c r="H53" s="501" t="s">
        <v>139</v>
      </c>
      <c r="I53" s="191"/>
      <c r="J53" s="191"/>
    </row>
    <row r="54" spans="1:10" x14ac:dyDescent="0.3">
      <c r="A54" s="1" t="s">
        <v>140</v>
      </c>
      <c r="B54" s="46">
        <f>-Historicals!B64</f>
        <v>-4415</v>
      </c>
      <c r="C54" s="46">
        <f>-Historicals!C64</f>
        <v>-11163</v>
      </c>
      <c r="D54" s="46">
        <f>-Historicals!D64</f>
        <v>-20737</v>
      </c>
      <c r="E54" s="46">
        <f>-Historicals!J64</f>
        <v>-10107</v>
      </c>
      <c r="F54" s="191"/>
      <c r="G54" s="191"/>
      <c r="H54" s="501" t="s">
        <v>141</v>
      </c>
      <c r="I54" s="191"/>
      <c r="J54" s="191"/>
    </row>
    <row r="55" spans="1:10" x14ac:dyDescent="0.3">
      <c r="A55" s="1" t="s">
        <v>142</v>
      </c>
      <c r="B55" s="46">
        <f>Historicals!B85</f>
        <v>4520</v>
      </c>
      <c r="C55" s="46">
        <f>Historicals!C85</f>
        <v>5776</v>
      </c>
      <c r="D55" s="46">
        <f>Historicals!D85</f>
        <v>6785</v>
      </c>
      <c r="E55" s="46">
        <f>Historicals!J85</f>
        <v>1047</v>
      </c>
      <c r="F55" s="194"/>
      <c r="G55" s="194"/>
      <c r="H55" s="502"/>
      <c r="I55" s="194"/>
      <c r="J55" s="194"/>
    </row>
    <row r="56" spans="1:10" x14ac:dyDescent="0.3">
      <c r="A56" s="1" t="s">
        <v>143</v>
      </c>
      <c r="B56" s="46">
        <f>Historicals!B25</f>
        <v>-4628</v>
      </c>
      <c r="C56" s="46">
        <f>Historicals!C25</f>
        <v>791</v>
      </c>
      <c r="D56" s="46">
        <f>Historicals!D25</f>
        <v>-4937</v>
      </c>
      <c r="E56" s="46">
        <f>Historicals!J25</f>
        <v>-4276</v>
      </c>
      <c r="F56" s="191"/>
      <c r="G56" s="191"/>
      <c r="H56" s="501" t="s">
        <v>144</v>
      </c>
      <c r="I56" s="191"/>
      <c r="J56" s="191"/>
    </row>
    <row r="57" spans="1:10" x14ac:dyDescent="0.3">
      <c r="A57" t="s">
        <v>145</v>
      </c>
      <c r="B57" s="399">
        <f>Historicals!B49/Historicals!B32</f>
        <v>0.4140604807443784</v>
      </c>
      <c r="C57" s="399">
        <f>Historicals!C49/Historicals!C32</f>
        <v>0.50651401500197391</v>
      </c>
      <c r="D57" s="399">
        <f>Historicals!D49/Historicals!D32</f>
        <v>0.62948976903486431</v>
      </c>
      <c r="E57" s="399">
        <f>Historicals!J49/Historicals!J32</f>
        <v>0.64077371814553274</v>
      </c>
      <c r="F57" s="191"/>
      <c r="G57" s="191"/>
      <c r="H57" s="501" t="s">
        <v>146</v>
      </c>
      <c r="I57" s="191"/>
      <c r="J57" s="191"/>
    </row>
    <row r="58" spans="1:10" x14ac:dyDescent="0.3">
      <c r="A58" s="503" t="s">
        <v>850</v>
      </c>
      <c r="H58" s="499"/>
    </row>
    <row r="59" spans="1:10" ht="15" thickBot="1" x14ac:dyDescent="0.35">
      <c r="A59" s="504" t="s">
        <v>194</v>
      </c>
      <c r="B59" s="164"/>
      <c r="C59" s="164"/>
      <c r="D59" s="164"/>
      <c r="E59" s="164"/>
      <c r="F59" s="164"/>
      <c r="G59" s="164"/>
      <c r="H59" s="164"/>
      <c r="I59" s="164"/>
      <c r="J59" s="164"/>
    </row>
    <row r="60" spans="1:10" ht="15" thickTop="1" x14ac:dyDescent="0.3">
      <c r="A60" s="206"/>
    </row>
    <row r="61" spans="1:10" x14ac:dyDescent="0.3">
      <c r="A61" s="92" t="s">
        <v>328</v>
      </c>
      <c r="B61" s="92"/>
      <c r="C61" s="92"/>
      <c r="D61" s="92"/>
      <c r="E61" s="92"/>
      <c r="F61" s="92"/>
      <c r="G61" s="92"/>
      <c r="H61" s="92"/>
      <c r="I61" s="92"/>
      <c r="J61" s="92"/>
    </row>
    <row r="62" spans="1:10" ht="3" customHeight="1" x14ac:dyDescent="0.3"/>
    <row r="63" spans="1:10" x14ac:dyDescent="0.3">
      <c r="A63" s="99" t="s">
        <v>851</v>
      </c>
      <c r="B63" s="94"/>
      <c r="C63" s="94"/>
      <c r="D63" s="94"/>
      <c r="E63" s="94"/>
      <c r="F63" s="94"/>
      <c r="G63" s="94"/>
      <c r="H63" s="94"/>
      <c r="I63" s="94"/>
      <c r="J63" s="246"/>
    </row>
    <row r="64" spans="1:10" x14ac:dyDescent="0.3">
      <c r="A64" s="207"/>
      <c r="B64" s="526" t="s">
        <v>756</v>
      </c>
      <c r="C64" s="536">
        <f>'Conn DCF'!B45-0.0075</f>
        <v>2.2499999999999999E-2</v>
      </c>
      <c r="D64" s="536">
        <f>'Conn DCF'!B45-0.005</f>
        <v>2.4999999999999998E-2</v>
      </c>
      <c r="E64" s="536">
        <f>'Conn DCF'!B45-0.0025</f>
        <v>2.75E-2</v>
      </c>
      <c r="F64" s="536">
        <f>'Conn DCF'!B45</f>
        <v>0.03</v>
      </c>
      <c r="G64" s="536">
        <f>'Conn DCF'!B45+0.0025</f>
        <v>3.2500000000000001E-2</v>
      </c>
      <c r="H64" s="536">
        <f>'Conn DCF'!B45+0.005</f>
        <v>3.4999999999999996E-2</v>
      </c>
      <c r="I64" s="536">
        <f>'Conn DCF'!B45+0.0075</f>
        <v>3.7499999999999999E-2</v>
      </c>
      <c r="J64" s="298"/>
    </row>
    <row r="65" spans="1:10" x14ac:dyDescent="0.3">
      <c r="A65" s="45"/>
      <c r="B65" s="536">
        <f>'Conn DCF'!B46-0.0075</f>
        <v>5.6406891025641025E-2</v>
      </c>
      <c r="C65" s="428">
        <f>((SUMPRODUCT('Conn DCF'!$E$62:$X$62,1/(1+$B65)^'Conn DCF'!$E$79:$X$79)+'Conn DCF'!$X$62*(1+C$64)/($B65-C$64)/(1+$B65)^20)+'Space DCF'!$B$111+'AI DCF'!$B$103+$B$18+$B$19+$B$20+$B$21+$B$22)/$B$29</f>
        <v>69.659842641884168</v>
      </c>
      <c r="D65" s="428">
        <f>((SUMPRODUCT('Conn DCF'!$E$62:$X$62,1/(1+$B65)^'Conn DCF'!$E$79:$X$79)+'Conn DCF'!$X$62*(1+D$64)/($B65-D$64)/(1+$B65)^20)+'Space DCF'!$B$111+'AI DCF'!$B$103+$B$18+$B$19+$B$20+$B$21+$B$22)/$B$29</f>
        <v>72.757125239240651</v>
      </c>
      <c r="E65" s="428">
        <f>((SUMPRODUCT('Conn DCF'!$E$62:$X$62,1/(1+$B65)^'Conn DCF'!$E$79:$X$79)+'Conn DCF'!$X$62*(1+E$64)/($B65-E$64)/(1+$B65)^20)+'Space DCF'!$B$111+'AI DCF'!$B$103+$B$18+$B$19+$B$20+$B$21+$B$22)/$B$29</f>
        <v>76.390142135143677</v>
      </c>
      <c r="F65" s="428">
        <f>((SUMPRODUCT('Conn DCF'!$E$62:$X$62,1/(1+$B65)^'Conn DCF'!$E$79:$X$79)+'Conn DCF'!$X$62*(1+F$64)/($B65-F$64)/(1+$B65)^20)+'Space DCF'!$B$111+'AI DCF'!$B$103+$B$18+$B$19+$B$20+$B$21+$B$22)/$B$29</f>
        <v>80.711050856777959</v>
      </c>
      <c r="G65" s="428">
        <f>((SUMPRODUCT('Conn DCF'!$E$62:$X$62,1/(1+$B65)^'Conn DCF'!$E$79:$X$79)+'Conn DCF'!$X$62*(1+G$64)/($B65-G$64)/(1+$B65)^20)+'Space DCF'!$B$111+'AI DCF'!$B$103+$B$18+$B$19+$B$20+$B$21+$B$22)/$B$29</f>
        <v>85.935654817789029</v>
      </c>
      <c r="H65" s="428">
        <f>((SUMPRODUCT('Conn DCF'!$E$62:$X$62,1/(1+$B65)^'Conn DCF'!$E$79:$X$79)+'Conn DCF'!$X$62*(1+H$64)/($B65-H$64)/(1+$B65)^20)+'Space DCF'!$B$111+'AI DCF'!$B$103+$B$18+$B$19+$B$20+$B$21+$B$22)/$B$29</f>
        <v>92.380567686514198</v>
      </c>
      <c r="I65" s="428">
        <f>((SUMPRODUCT('Conn DCF'!$E$62:$X$62,1/(1+$B65)^'Conn DCF'!$E$79:$X$79)+'Conn DCF'!$X$62*(1+I$64)/($B65-I$64)/(1+$B65)^20)+'Space DCF'!$B$111+'AI DCF'!$B$103+$B$18+$B$19+$B$20+$B$21+$B$22)/$B$29</f>
        <v>100.52986253427149</v>
      </c>
      <c r="J65" s="299"/>
    </row>
    <row r="66" spans="1:10" x14ac:dyDescent="0.3">
      <c r="B66" s="536">
        <f>'Conn DCF'!B46-0.005</f>
        <v>5.8906891025641027E-2</v>
      </c>
      <c r="C66" s="428">
        <f>((SUMPRODUCT('Conn DCF'!$E$62:$X$62,1/(1+$B66)^'Conn DCF'!$E$79:$X$79)+'Conn DCF'!$X$62*(1+C$64)/($B66-C$64)/(1+$B66)^20)+'Space DCF'!$B$111+'AI DCF'!$B$103+$B$18+$B$19+$B$20+$B$21+$B$22)/$B$29</f>
        <v>64.866782708345312</v>
      </c>
      <c r="D66" s="428">
        <f>((SUMPRODUCT('Conn DCF'!$E$62:$X$62,1/(1+$B66)^'Conn DCF'!$E$79:$X$79)+'Conn DCF'!$X$62*(1+D$64)/($B66-D$64)/(1+$B66)^20)+'Space DCF'!$B$111+'AI DCF'!$B$103+$B$18+$B$19+$B$20+$B$21+$B$22)/$B$29</f>
        <v>67.421352390369393</v>
      </c>
      <c r="E66" s="428">
        <f>((SUMPRODUCT('Conn DCF'!$E$62:$X$62,1/(1+$B66)^'Conn DCF'!$E$79:$X$79)+'Conn DCF'!$X$62*(1+E$64)/($B66-E$64)/(1+$B66)^20)+'Space DCF'!$B$111+'AI DCF'!$B$103+$B$18+$B$19+$B$20+$B$21+$B$22)/$B$29</f>
        <v>70.38261143237159</v>
      </c>
      <c r="F66" s="428">
        <f>((SUMPRODUCT('Conn DCF'!$E$62:$X$62,1/(1+$B66)^'Conn DCF'!$E$79:$X$79)+'Conn DCF'!$X$62*(1+F$64)/($B66-F$64)/(1+$B66)^20)+'Space DCF'!$B$111+'AI DCF'!$B$103+$B$18+$B$19+$B$20+$B$21+$B$22)/$B$29</f>
        <v>73.856076895911031</v>
      </c>
      <c r="G66" s="428">
        <f>((SUMPRODUCT('Conn DCF'!$E$62:$X$62,1/(1+$B66)^'Conn DCF'!$E$79:$X$79)+'Conn DCF'!$X$62*(1+G$64)/($B66-G$64)/(1+$B66)^20)+'Space DCF'!$B$111+'AI DCF'!$B$103+$B$18+$B$19+$B$20+$B$21+$B$22)/$B$29</f>
        <v>77.987223996445692</v>
      </c>
      <c r="H66" s="428">
        <f>((SUMPRODUCT('Conn DCF'!$E$62:$X$62,1/(1+$B66)^'Conn DCF'!$E$79:$X$79)+'Conn DCF'!$X$62*(1+H$64)/($B66-H$64)/(1+$B66)^20)+'Space DCF'!$B$111+'AI DCF'!$B$103+$B$18+$B$19+$B$20+$B$21+$B$22)/$B$29</f>
        <v>82.982378695480662</v>
      </c>
      <c r="I66" s="428">
        <f>((SUMPRODUCT('Conn DCF'!$E$62:$X$62,1/(1+$B66)^'Conn DCF'!$E$79:$X$79)+'Conn DCF'!$X$62*(1+I$64)/($B66-I$64)/(1+$B66)^20)+'Space DCF'!$B$111+'AI DCF'!$B$103+$B$18+$B$19+$B$20+$B$21+$B$22)/$B$29</f>
        <v>89.144249918893635</v>
      </c>
      <c r="J66" s="299"/>
    </row>
    <row r="67" spans="1:10" x14ac:dyDescent="0.3">
      <c r="B67" s="536">
        <f>'Conn DCF'!B46-0.0025</f>
        <v>6.1406891025641022E-2</v>
      </c>
      <c r="C67" s="428">
        <f>((SUMPRODUCT('Conn DCF'!$E$62:$X$62,1/(1+$B67)^'Conn DCF'!$E$79:$X$79)+'Conn DCF'!$X$62*(1+C$64)/($B67-C$64)/(1+$B67)^20)+'Space DCF'!$B$111+'AI DCF'!$B$103+$B$18+$B$19+$B$20+$B$21+$B$22)/$B$29</f>
        <v>60.707670102292568</v>
      </c>
      <c r="D67" s="428">
        <f>((SUMPRODUCT('Conn DCF'!$E$62:$X$62,1/(1+$B67)^'Conn DCF'!$E$79:$X$79)+'Conn DCF'!$X$62*(1+D$64)/($B67-D$64)/(1+$B67)^20)+'Space DCF'!$B$111+'AI DCF'!$B$103+$B$18+$B$19+$B$20+$B$21+$B$22)/$B$29</f>
        <v>62.836400967699888</v>
      </c>
      <c r="E67" s="428">
        <f>((SUMPRODUCT('Conn DCF'!$E$62:$X$62,1/(1+$B67)^'Conn DCF'!$E$79:$X$79)+'Conn DCF'!$X$62*(1+E$64)/($B67-E$64)/(1+$B67)^20)+'Space DCF'!$B$111+'AI DCF'!$B$103+$B$18+$B$19+$B$20+$B$21+$B$22)/$B$29</f>
        <v>65.279040127411974</v>
      </c>
      <c r="F67" s="428">
        <f>((SUMPRODUCT('Conn DCF'!$E$62:$X$62,1/(1+$B67)^'Conn DCF'!$E$79:$X$79)+'Conn DCF'!$X$62*(1+F$64)/($B67-F$64)/(1+$B67)^20)+'Space DCF'!$B$111+'AI DCF'!$B$103+$B$18+$B$19+$B$20+$B$21+$B$22)/$B$29</f>
        <v>68.110549226163528</v>
      </c>
      <c r="G67" s="428">
        <f>((SUMPRODUCT('Conn DCF'!$E$62:$X$62,1/(1+$B67)^'Conn DCF'!$E$79:$X$79)+'Conn DCF'!$X$62*(1+G$64)/($B67-G$64)/(1+$B67)^20)+'Space DCF'!$B$111+'AI DCF'!$B$103+$B$18+$B$19+$B$20+$B$21+$B$22)/$B$29</f>
        <v>71.43182201071582</v>
      </c>
      <c r="H67" s="428">
        <f>((SUMPRODUCT('Conn DCF'!$E$62:$X$62,1/(1+$B67)^'Conn DCF'!$E$79:$X$79)+'Conn DCF'!$X$62*(1+H$64)/($B67-H$64)/(1+$B67)^20)+'Space DCF'!$B$111+'AI DCF'!$B$103+$B$18+$B$19+$B$20+$B$21+$B$22)/$B$29</f>
        <v>75.381959583123518</v>
      </c>
      <c r="I67" s="428">
        <f>((SUMPRODUCT('Conn DCF'!$E$62:$X$62,1/(1+$B67)^'Conn DCF'!$E$79:$X$79)+'Conn DCF'!$X$62*(1+I$64)/($B67-I$64)/(1+$B67)^20)+'Space DCF'!$B$111+'AI DCF'!$B$103+$B$18+$B$19+$B$20+$B$21+$B$22)/$B$29</f>
        <v>80.158247567178464</v>
      </c>
      <c r="J67" s="299"/>
    </row>
    <row r="68" spans="1:10" x14ac:dyDescent="0.3">
      <c r="B68" s="536">
        <f>'Conn DCF'!B46</f>
        <v>6.3906891025641024E-2</v>
      </c>
      <c r="C68" s="428">
        <f>((SUMPRODUCT('Conn DCF'!$E$62:$X$62,1/(1+$B68)^'Conn DCF'!$E$79:$X$79)+'Conn DCF'!$X$62*(1+C$64)/($B68-C$64)/(1+$B68)^20)+'Space DCF'!$B$111+'AI DCF'!$B$103+$B$18+$B$19+$B$20+$B$21+$B$22)/$B$29</f>
        <v>57.067053932852737</v>
      </c>
      <c r="D68" s="428">
        <f>((SUMPRODUCT('Conn DCF'!$E$62:$X$62,1/(1+$B68)^'Conn DCF'!$E$79:$X$79)+'Conn DCF'!$X$62*(1+D$64)/($B68-D$64)/(1+$B68)^20)+'Space DCF'!$B$111+'AI DCF'!$B$103+$B$18+$B$19+$B$20+$B$21+$B$22)/$B$29</f>
        <v>58.856913952474947</v>
      </c>
      <c r="E68" s="428">
        <f>((SUMPRODUCT('Conn DCF'!$E$62:$X$62,1/(1+$B68)^'Conn DCF'!$E$79:$X$79)+'Conn DCF'!$X$62*(1+E$64)/($B68-E$64)/(1+$B68)^20)+'Space DCF'!$B$111+'AI DCF'!$B$103+$B$18+$B$19+$B$20+$B$21+$B$22)/$B$29</f>
        <v>60.8925873290193</v>
      </c>
      <c r="F68" s="469">
        <f>((SUMPRODUCT('Conn DCF'!$E$62:$X$62,1/(1+$B68)^'Conn DCF'!$E$79:$X$79)+'Conn DCF'!$X$62*(1+F$64)/($B68-F$64)/(1+$B68)^20)+'Space DCF'!$B$111+'AI DCF'!$B$103+$B$18+$B$19+$B$20+$B$21+$B$22)/$B$29</f>
        <v>63.228446495969038</v>
      </c>
      <c r="G68" s="428">
        <f>((SUMPRODUCT('Conn DCF'!$E$62:$X$62,1/(1+$B68)^'Conn DCF'!$E$79:$X$79)+'Conn DCF'!$X$62*(1+G$64)/($B68-G$64)/(1+$B68)^20)+'Space DCF'!$B$111+'AI DCF'!$B$103+$B$18+$B$19+$B$20+$B$21+$B$22)/$B$29</f>
        <v>65.936176149087359</v>
      </c>
      <c r="H68" s="428">
        <f>((SUMPRODUCT('Conn DCF'!$E$62:$X$62,1/(1+$B68)^'Conn DCF'!$E$79:$X$79)+'Conn DCF'!$X$62*(1+H$64)/($B68-H$64)/(1+$B68)^20)+'Space DCF'!$B$111+'AI DCF'!$B$103+$B$18+$B$19+$B$20+$B$21+$B$22)/$B$29</f>
        <v>69.112259464091423</v>
      </c>
      <c r="I68" s="428">
        <f>((SUMPRODUCT('Conn DCF'!$E$62:$X$62,1/(1+$B68)^'Conn DCF'!$E$79:$X$79)+'Conn DCF'!$X$62*(1+I$64)/($B68-I$64)/(1+$B68)^20)+'Space DCF'!$B$111+'AI DCF'!$B$103+$B$18+$B$19+$B$20+$B$21+$B$22)/$B$29</f>
        <v>72.889716737112778</v>
      </c>
      <c r="J68" s="299"/>
    </row>
    <row r="69" spans="1:10" x14ac:dyDescent="0.3">
      <c r="B69" s="536">
        <f>'Conn DCF'!B46+0.0025</f>
        <v>6.6406891025641027E-2</v>
      </c>
      <c r="C69" s="428">
        <f>((SUMPRODUCT('Conn DCF'!$E$62:$X$62,1/(1+$B69)^'Conn DCF'!$E$79:$X$79)+'Conn DCF'!$X$62*(1+C$64)/($B69-C$64)/(1+$B69)^20)+'Space DCF'!$B$111+'AI DCF'!$B$103+$B$18+$B$19+$B$20+$B$21+$B$22)/$B$29</f>
        <v>53.855804839487114</v>
      </c>
      <c r="D69" s="428">
        <f>((SUMPRODUCT('Conn DCF'!$E$62:$X$62,1/(1+$B69)^'Conn DCF'!$E$79:$X$79)+'Conn DCF'!$X$62*(1+D$64)/($B69-D$64)/(1+$B69)^20)+'Space DCF'!$B$111+'AI DCF'!$B$103+$B$18+$B$19+$B$20+$B$21+$B$22)/$B$29</f>
        <v>55.372665931873321</v>
      </c>
      <c r="E69" s="428">
        <f>((SUMPRODUCT('Conn DCF'!$E$62:$X$62,1/(1+$B69)^'Conn DCF'!$E$79:$X$79)+'Conn DCF'!$X$62*(1+E$64)/($B69-E$64)/(1+$B69)^20)+'Space DCF'!$B$111+'AI DCF'!$B$103+$B$18+$B$19+$B$20+$B$21+$B$22)/$B$29</f>
        <v>57.084461784195334</v>
      </c>
      <c r="F69" s="428">
        <f>((SUMPRODUCT('Conn DCF'!$E$62:$X$62,1/(1+$B69)^'Conn DCF'!$E$79:$X$79)+'Conn DCF'!$X$62*(1+F$64)/($B69-F$64)/(1+$B69)^20)+'Space DCF'!$B$111+'AI DCF'!$B$103+$B$18+$B$19+$B$20+$B$21+$B$22)/$B$29</f>
        <v>59.031349923183122</v>
      </c>
      <c r="G69" s="428">
        <f>((SUMPRODUCT('Conn DCF'!$E$62:$X$62,1/(1+$B69)^'Conn DCF'!$E$79:$X$79)+'Conn DCF'!$X$62*(1+G$64)/($B69-G$64)/(1+$B69)^20)+'Space DCF'!$B$111+'AI DCF'!$B$103+$B$18+$B$19+$B$20+$B$21+$B$22)/$B$29</f>
        <v>61.26533134617555</v>
      </c>
      <c r="H69" s="428">
        <f>((SUMPRODUCT('Conn DCF'!$E$62:$X$62,1/(1+$B69)^'Conn DCF'!$E$79:$X$79)+'Conn DCF'!$X$62*(1+H$64)/($B69-H$64)/(1+$B69)^20)+'Space DCF'!$B$111+'AI DCF'!$B$103+$B$18+$B$19+$B$20+$B$21+$B$22)/$B$29</f>
        <v>63.854964244057449</v>
      </c>
      <c r="I69" s="428">
        <f>((SUMPRODUCT('Conn DCF'!$E$62:$X$62,1/(1+$B69)^'Conn DCF'!$E$79:$X$79)+'Conn DCF'!$X$62*(1+I$64)/($B69-I$64)/(1+$B69)^20)+'Space DCF'!$B$111+'AI DCF'!$B$103+$B$18+$B$19+$B$20+$B$21+$B$22)/$B$29</f>
        <v>66.892523709965104</v>
      </c>
      <c r="J69" s="299"/>
    </row>
    <row r="70" spans="1:10" x14ac:dyDescent="0.3">
      <c r="B70" s="536">
        <f>'Conn DCF'!B46+0.005</f>
        <v>6.8906891025641029E-2</v>
      </c>
      <c r="C70" s="428">
        <f>((SUMPRODUCT('Conn DCF'!$E$62:$X$62,1/(1+$B70)^'Conn DCF'!$E$79:$X$79)+'Conn DCF'!$X$62*(1+C$64)/($B70-C$64)/(1+$B70)^20)+'Space DCF'!$B$111+'AI DCF'!$B$103+$B$18+$B$19+$B$20+$B$21+$B$22)/$B$29</f>
        <v>51.004023762786645</v>
      </c>
      <c r="D70" s="428">
        <f>((SUMPRODUCT('Conn DCF'!$E$62:$X$62,1/(1+$B70)^'Conn DCF'!$E$79:$X$79)+'Conn DCF'!$X$62*(1+D$64)/($B70-D$64)/(1+$B70)^20)+'Space DCF'!$B$111+'AI DCF'!$B$103+$B$18+$B$19+$B$20+$B$21+$B$22)/$B$29</f>
        <v>52.298560002951412</v>
      </c>
      <c r="E70" s="428">
        <f>((SUMPRODUCT('Conn DCF'!$E$62:$X$62,1/(1+$B70)^'Conn DCF'!$E$79:$X$79)+'Conn DCF'!$X$62*(1+E$64)/($B70-E$64)/(1+$B70)^20)+'Space DCF'!$B$111+'AI DCF'!$B$103+$B$18+$B$19+$B$20+$B$21+$B$22)/$B$29</f>
        <v>53.749415180387189</v>
      </c>
      <c r="F70" s="428">
        <f>((SUMPRODUCT('Conn DCF'!$E$62:$X$62,1/(1+$B70)^'Conn DCF'!$E$79:$X$79)+'Conn DCF'!$X$62*(1+F$64)/($B70-F$64)/(1+$B70)^20)+'Space DCF'!$B$111+'AI DCF'!$B$103+$B$18+$B$19+$B$20+$B$21+$B$22)/$B$29</f>
        <v>55.386722569653443</v>
      </c>
      <c r="G70" s="428">
        <f>((SUMPRODUCT('Conn DCF'!$E$62:$X$62,1/(1+$B70)^'Conn DCF'!$E$79:$X$79)+'Conn DCF'!$X$62*(1+G$64)/($B70-G$64)/(1+$B70)^20)+'Space DCF'!$B$111+'AI DCF'!$B$103+$B$18+$B$19+$B$20+$B$21+$B$22)/$B$29</f>
        <v>57.248892250527234</v>
      </c>
      <c r="H70" s="428">
        <f>((SUMPRODUCT('Conn DCF'!$E$62:$X$62,1/(1+$B70)^'Conn DCF'!$E$79:$X$79)+'Conn DCF'!$X$62*(1+H$64)/($B70-H$64)/(1+$B70)^20)+'Space DCF'!$B$111+'AI DCF'!$B$103+$B$18+$B$19+$B$20+$B$21+$B$22)/$B$29</f>
        <v>59.385662407078016</v>
      </c>
      <c r="I70" s="428">
        <f>((SUMPRODUCT('Conn DCF'!$E$62:$X$62,1/(1+$B70)^'Conn DCF'!$E$79:$X$79)+'Conn DCF'!$X$62*(1+I$64)/($B70-I$64)/(1+$B70)^20)+'Space DCF'!$B$111+'AI DCF'!$B$103+$B$18+$B$19+$B$20+$B$21+$B$22)/$B$29</f>
        <v>61.86260793386942</v>
      </c>
      <c r="J70" s="299"/>
    </row>
    <row r="71" spans="1:10" x14ac:dyDescent="0.3">
      <c r="B71" s="536">
        <f>'Conn DCF'!B46+0.0075</f>
        <v>7.1406891025641017E-2</v>
      </c>
      <c r="C71" s="428">
        <f>((SUMPRODUCT('Conn DCF'!$E$62:$X$62,1/(1+$B71)^'Conn DCF'!$E$79:$X$79)+'Conn DCF'!$X$62*(1+C$64)/($B71-C$64)/(1+$B71)^20)+'Space DCF'!$B$111+'AI DCF'!$B$103+$B$18+$B$19+$B$20+$B$21+$B$22)/$B$29</f>
        <v>48.456125706767324</v>
      </c>
      <c r="D71" s="428">
        <f>((SUMPRODUCT('Conn DCF'!$E$62:$X$62,1/(1+$B71)^'Conn DCF'!$E$79:$X$79)+'Conn DCF'!$X$62*(1+D$64)/($B71-D$64)/(1+$B71)^20)+'Space DCF'!$B$111+'AI DCF'!$B$103+$B$18+$B$19+$B$20+$B$21+$B$22)/$B$29</f>
        <v>49.567858031145896</v>
      </c>
      <c r="E71" s="428">
        <f>((SUMPRODUCT('Conn DCF'!$E$62:$X$62,1/(1+$B71)^'Conn DCF'!$E$79:$X$79)+'Conn DCF'!$X$62*(1+E$64)/($B71-E$64)/(1+$B71)^20)+'Space DCF'!$B$111+'AI DCF'!$B$103+$B$18+$B$19+$B$20+$B$21+$B$22)/$B$29</f>
        <v>50.806191476488536</v>
      </c>
      <c r="F71" s="428">
        <f>((SUMPRODUCT('Conn DCF'!$E$62:$X$62,1/(1+$B71)^'Conn DCF'!$E$79:$X$79)+'Conn DCF'!$X$62*(1+F$64)/($B71-F$64)/(1+$B71)^20)+'Space DCF'!$B$111+'AI DCF'!$B$103+$B$18+$B$19+$B$20+$B$21+$B$22)/$B$29</f>
        <v>52.194057211586497</v>
      </c>
      <c r="G71" s="428">
        <f>((SUMPRODUCT('Conn DCF'!$E$62:$X$62,1/(1+$B71)^'Conn DCF'!$E$79:$X$79)+'Conn DCF'!$X$62*(1+G$64)/($B71-G$64)/(1+$B71)^20)+'Space DCF'!$B$111+'AI DCF'!$B$103+$B$18+$B$19+$B$20+$B$21+$B$22)/$B$29</f>
        <v>53.760280263153582</v>
      </c>
      <c r="H71" s="428">
        <f>((SUMPRODUCT('Conn DCF'!$E$62:$X$62,1/(1+$B71)^'Conn DCF'!$E$79:$X$79)+'Conn DCF'!$X$62*(1+H$64)/($B71-H$64)/(1+$B71)^20)+'Space DCF'!$B$111+'AI DCF'!$B$103+$B$18+$B$19+$B$20+$B$21+$B$22)/$B$29</f>
        <v>55.541603122400481</v>
      </c>
      <c r="I71" s="428">
        <f>((SUMPRODUCT('Conn DCF'!$E$62:$X$62,1/(1+$B71)^'Conn DCF'!$E$79:$X$79)+'Conn DCF'!$X$62*(1+I$64)/($B71-I$64)/(1+$B71)^20)+'Space DCF'!$B$111+'AI DCF'!$B$103+$B$18+$B$19+$B$20+$B$21+$B$22)/$B$29</f>
        <v>57.585604570772496</v>
      </c>
      <c r="J71" s="299"/>
    </row>
    <row r="72" spans="1:10" ht="3" customHeight="1" x14ac:dyDescent="0.3">
      <c r="C72" s="15"/>
      <c r="D72" s="15"/>
      <c r="E72" s="15"/>
      <c r="F72" s="15"/>
      <c r="G72" s="15"/>
      <c r="H72" s="15"/>
      <c r="I72" s="15"/>
      <c r="J72" s="15"/>
    </row>
    <row r="73" spans="1:10" x14ac:dyDescent="0.3">
      <c r="A73" s="99" t="s">
        <v>852</v>
      </c>
      <c r="B73" s="99"/>
      <c r="C73" s="99"/>
      <c r="D73" s="99"/>
      <c r="E73" s="99"/>
      <c r="F73" s="99"/>
      <c r="G73" s="99"/>
      <c r="H73" s="99"/>
      <c r="I73" s="99"/>
      <c r="J73" s="525"/>
    </row>
    <row r="74" spans="1:10" x14ac:dyDescent="0.3">
      <c r="B74" s="526" t="s">
        <v>756</v>
      </c>
      <c r="C74" s="536">
        <f>'Conn DCF'!B45-0.0075</f>
        <v>2.2499999999999999E-2</v>
      </c>
      <c r="D74" s="536">
        <f>'Conn DCF'!B45-0.005</f>
        <v>2.4999999999999998E-2</v>
      </c>
      <c r="E74" s="536">
        <f>'Conn DCF'!B45-0.0025</f>
        <v>2.75E-2</v>
      </c>
      <c r="F74" s="536">
        <f>'Conn DCF'!B45</f>
        <v>0.03</v>
      </c>
      <c r="G74" s="536">
        <f>'Conn DCF'!B45+0.0025</f>
        <v>3.2500000000000001E-2</v>
      </c>
      <c r="H74" s="536">
        <f>'Conn DCF'!B45+0.005</f>
        <v>3.4999999999999996E-2</v>
      </c>
      <c r="I74" s="536">
        <f>'Conn DCF'!B45+0.0075</f>
        <v>3.7499999999999999E-2</v>
      </c>
      <c r="J74" s="300"/>
    </row>
    <row r="75" spans="1:10" x14ac:dyDescent="0.3">
      <c r="A75" s="22"/>
      <c r="B75" s="536">
        <f>'Conn DCF'!B46-0.0075</f>
        <v>5.6406891025641025E-2</v>
      </c>
      <c r="C75" s="428">
        <f>(SUMPRODUCT('Conn DCF'!$E$62:$X$62,1/(1+$B75)^'Conn DCF'!$E$79:$X$79)+'Conn DCF'!$X$62*(1+C$74)/($B75-C$74)/(1+$B75)^20)+'Space DCF'!$B$111+'AI DCF'!$B$103</f>
        <v>825583.00789281144</v>
      </c>
      <c r="D75" s="428">
        <f>(SUMPRODUCT('Conn DCF'!$E$62:$X$62,1/(1+$B75)^'Conn DCF'!$E$79:$X$79)+'Conn DCF'!$X$62*(1+D$74)/($B75-D$74)/(1+$B75)^20)+'Space DCF'!$B$111+'AI DCF'!$B$103</f>
        <v>865974.67024493741</v>
      </c>
      <c r="E75" s="428">
        <f>(SUMPRODUCT('Conn DCF'!$E$62:$X$62,1/(1+$B75)^'Conn DCF'!$E$79:$X$79)+'Conn DCF'!$X$62*(1+E$74)/($B75-E$74)/(1+$B75)^20)+'Space DCF'!$B$111+'AI DCF'!$B$103</f>
        <v>913352.84358440863</v>
      </c>
      <c r="F75" s="428">
        <f>(SUMPRODUCT('Conn DCF'!$E$62:$X$62,1/(1+$B75)^'Conn DCF'!$E$79:$X$79)+'Conn DCF'!$X$62*(1+F$74)/($B75-F$74)/(1+$B75)^20)+'Space DCF'!$B$111+'AI DCF'!$B$103</f>
        <v>969701.81422324129</v>
      </c>
      <c r="G75" s="428">
        <f>(SUMPRODUCT('Conn DCF'!$E$62:$X$62,1/(1+$B75)^'Conn DCF'!$E$79:$X$79)+'Conn DCF'!$X$62*(1+G$74)/($B75-G$74)/(1+$B75)^20)+'Space DCF'!$B$111+'AI DCF'!$B$103</f>
        <v>1037835.8744787867</v>
      </c>
      <c r="H75" s="428">
        <f>(SUMPRODUCT('Conn DCF'!$E$62:$X$62,1/(1+$B75)^'Conn DCF'!$E$79:$X$79)+'Conn DCF'!$X$62*(1+H$74)/($B75-H$74)/(1+$B75)^20)+'Space DCF'!$B$111+'AI DCF'!$B$103</f>
        <v>1121883.9831998316</v>
      </c>
      <c r="I75" s="428">
        <f>(SUMPRODUCT('Conn DCF'!$E$62:$X$62,1/(1+$B75)^'Conn DCF'!$E$79:$X$79)+'Conn DCF'!$X$62*(1+I$74)/($B75-I$74)/(1+$B75)^20)+'Space DCF'!$B$111+'AI DCF'!$B$103</f>
        <v>1228158.9373094344</v>
      </c>
      <c r="J75" s="355"/>
    </row>
    <row r="76" spans="1:10" x14ac:dyDescent="0.3">
      <c r="B76" s="536">
        <f>'Conn DCF'!B46-0.005</f>
        <v>5.8906891025641027E-2</v>
      </c>
      <c r="C76" s="428">
        <f>(SUMPRODUCT('Conn DCF'!$E$62:$X$62,1/(1+$B76)^'Conn DCF'!$E$79:$X$79)+'Conn DCF'!$X$62*(1+C$74)/($B76-C$74)/(1+$B76)^20)+'Space DCF'!$B$111+'AI DCF'!$B$103</f>
        <v>763076.71329953126</v>
      </c>
      <c r="D76" s="428">
        <f>(SUMPRODUCT('Conn DCF'!$E$62:$X$62,1/(1+$B76)^'Conn DCF'!$E$79:$X$79)+'Conn DCF'!$X$62*(1+D$74)/($B76-D$74)/(1+$B76)^20)+'Space DCF'!$B$111+'AI DCF'!$B$103</f>
        <v>796390.85652280727</v>
      </c>
      <c r="E76" s="428">
        <f>(SUMPRODUCT('Conn DCF'!$E$62:$X$62,1/(1+$B76)^'Conn DCF'!$E$79:$X$79)+'Conn DCF'!$X$62*(1+E$74)/($B76-E$74)/(1+$B76)^20)+'Space DCF'!$B$111+'AI DCF'!$B$103</f>
        <v>835008.635689558</v>
      </c>
      <c r="F76" s="428">
        <f>(SUMPRODUCT('Conn DCF'!$E$62:$X$62,1/(1+$B76)^'Conn DCF'!$E$79:$X$79)+'Conn DCF'!$X$62*(1+F$74)/($B76-F$74)/(1+$B76)^20)+'Space DCF'!$B$111+'AI DCF'!$B$103</f>
        <v>880306.09879957582</v>
      </c>
      <c r="G76" s="428">
        <f>(SUMPRODUCT('Conn DCF'!$E$62:$X$62,1/(1+$B76)^'Conn DCF'!$E$79:$X$79)+'Conn DCF'!$X$62*(1+G$74)/($B76-G$74)/(1+$B76)^20)+'Space DCF'!$B$111+'AI DCF'!$B$103</f>
        <v>934180.38813764835</v>
      </c>
      <c r="H76" s="428">
        <f>(SUMPRODUCT('Conn DCF'!$E$62:$X$62,1/(1+$B76)^'Conn DCF'!$E$79:$X$79)+'Conn DCF'!$X$62*(1+H$74)/($B76-H$74)/(1+$B76)^20)+'Space DCF'!$B$111+'AI DCF'!$B$103</f>
        <v>999322.2005677633</v>
      </c>
      <c r="I76" s="428">
        <f>(SUMPRODUCT('Conn DCF'!$E$62:$X$62,1/(1+$B76)^'Conn DCF'!$E$79:$X$79)+'Conn DCF'!$X$62*(1+I$74)/($B76-I$74)/(1+$B76)^20)+'Space DCF'!$B$111+'AI DCF'!$B$103</f>
        <v>1079679.163192292</v>
      </c>
      <c r="J76" s="355"/>
    </row>
    <row r="77" spans="1:10" x14ac:dyDescent="0.3">
      <c r="B77" s="536">
        <f>'Conn DCF'!B46-0.0025</f>
        <v>6.1406891025641022E-2</v>
      </c>
      <c r="C77" s="428">
        <f>(SUMPRODUCT('Conn DCF'!$E$62:$X$62,1/(1+$B77)^'Conn DCF'!$E$79:$X$79)+'Conn DCF'!$X$62*(1+C$74)/($B77-C$74)/(1+$B77)^20)+'Space DCF'!$B$111+'AI DCF'!$B$103</f>
        <v>708837.72580399737</v>
      </c>
      <c r="D77" s="428">
        <f>(SUMPRODUCT('Conn DCF'!$E$62:$X$62,1/(1+$B77)^'Conn DCF'!$E$79:$X$79)+'Conn DCF'!$X$62*(1+D$74)/($B77-D$74)/(1+$B77)^20)+'Space DCF'!$B$111+'AI DCF'!$B$103</f>
        <v>736598.50501977419</v>
      </c>
      <c r="E77" s="428">
        <f>(SUMPRODUCT('Conn DCF'!$E$62:$X$62,1/(1+$B77)^'Conn DCF'!$E$79:$X$79)+'Conn DCF'!$X$62*(1+E$74)/($B77-E$74)/(1+$B77)^20)+'Space DCF'!$B$111+'AI DCF'!$B$103</f>
        <v>768452.96230157954</v>
      </c>
      <c r="F77" s="428">
        <f>(SUMPRODUCT('Conn DCF'!$E$62:$X$62,1/(1+$B77)^'Conn DCF'!$E$79:$X$79)+'Conn DCF'!$X$62*(1+F$74)/($B77-F$74)/(1+$B77)^20)+'Space DCF'!$B$111+'AI DCF'!$B$103</f>
        <v>805378.67245839862</v>
      </c>
      <c r="G77" s="428">
        <f>(SUMPRODUCT('Conn DCF'!$E$62:$X$62,1/(1+$B77)^'Conn DCF'!$E$79:$X$79)+'Conn DCF'!$X$62*(1+G$74)/($B77-G$74)/(1+$B77)^20)+'Space DCF'!$B$111+'AI DCF'!$B$103</f>
        <v>848691.39084174496</v>
      </c>
      <c r="H77" s="428">
        <f>(SUMPRODUCT('Conn DCF'!$E$62:$X$62,1/(1+$B77)^'Conn DCF'!$E$79:$X$79)+'Conn DCF'!$X$62*(1+H$74)/($B77-H$74)/(1+$B77)^20)+'Space DCF'!$B$111+'AI DCF'!$B$103</f>
        <v>900205.13492351386</v>
      </c>
      <c r="I77" s="428">
        <f>(SUMPRODUCT('Conn DCF'!$E$62:$X$62,1/(1+$B77)^'Conn DCF'!$E$79:$X$79)+'Conn DCF'!$X$62*(1+I$74)/($B77-I$74)/(1+$B77)^20)+'Space DCF'!$B$111+'AI DCF'!$B$103</f>
        <v>962492.70652357442</v>
      </c>
      <c r="J77" s="355"/>
    </row>
    <row r="78" spans="1:10" x14ac:dyDescent="0.3">
      <c r="B78" s="536">
        <f>'Conn DCF'!B46</f>
        <v>6.3906891025641024E-2</v>
      </c>
      <c r="C78" s="428">
        <f>(SUMPRODUCT('Conn DCF'!$E$62:$X$62,1/(1+$B78)^'Conn DCF'!$E$79:$X$79)+'Conn DCF'!$X$62*(1+C$74)/($B78-C$74)/(1+$B78)^20)+'Space DCF'!$B$111+'AI DCF'!$B$103</f>
        <v>661360.45033833256</v>
      </c>
      <c r="D78" s="428">
        <f>(SUMPRODUCT('Conn DCF'!$E$62:$X$62,1/(1+$B78)^'Conn DCF'!$E$79:$X$79)+'Conn DCF'!$X$62*(1+D$74)/($B78-D$74)/(1+$B78)^20)+'Space DCF'!$B$111+'AI DCF'!$B$103</f>
        <v>684702.0148542258</v>
      </c>
      <c r="E78" s="428">
        <f>(SUMPRODUCT('Conn DCF'!$E$62:$X$62,1/(1+$B78)^'Conn DCF'!$E$79:$X$79)+'Conn DCF'!$X$62*(1+E$74)/($B78-E$74)/(1+$B78)^20)+'Space DCF'!$B$111+'AI DCF'!$B$103</f>
        <v>711249.2313577407</v>
      </c>
      <c r="F78" s="469">
        <f>(SUMPRODUCT('Conn DCF'!$E$62:$X$62,1/(1+$B78)^'Conn DCF'!$E$79:$X$79)+'Conn DCF'!$X$62*(1+F$74)/($B78-F$74)/(1+$B78)^20)+'Space DCF'!$B$111+'AI DCF'!$B$103</f>
        <v>741711.17075393221</v>
      </c>
      <c r="G78" s="428">
        <f>(SUMPRODUCT('Conn DCF'!$E$62:$X$62,1/(1+$B78)^'Conn DCF'!$E$79:$X$79)+'Conn DCF'!$X$62*(1+G$74)/($B78-G$74)/(1+$B78)^20)+'Space DCF'!$B$111+'AI DCF'!$B$103</f>
        <v>777022.6731602482</v>
      </c>
      <c r="H78" s="428">
        <f>(SUMPRODUCT('Conn DCF'!$E$62:$X$62,1/(1+$B78)^'Conn DCF'!$E$79:$X$79)+'Conn DCF'!$X$62*(1+H$74)/($B78-H$74)/(1+$B78)^20)+'Space DCF'!$B$111+'AI DCF'!$B$103</f>
        <v>818441.97567121626</v>
      </c>
      <c r="I78" s="428">
        <f>(SUMPRODUCT('Conn DCF'!$E$62:$X$62,1/(1+$B78)^'Conn DCF'!$E$79:$X$79)+'Conn DCF'!$X$62*(1+I$74)/($B78-I$74)/(1+$B78)^20)+'Space DCF'!$B$111+'AI DCF'!$B$103</f>
        <v>867703.79596868774</v>
      </c>
      <c r="J78" s="355"/>
    </row>
    <row r="79" spans="1:10" x14ac:dyDescent="0.3">
      <c r="B79" s="536">
        <f>'Conn DCF'!B46+0.0025</f>
        <v>6.6406891025641027E-2</v>
      </c>
      <c r="C79" s="428">
        <f>(SUMPRODUCT('Conn DCF'!$E$62:$X$62,1/(1+$B79)^'Conn DCF'!$E$79:$X$79)+'Conn DCF'!$X$62*(1+C$74)/($B79-C$74)/(1+$B79)^20)+'Space DCF'!$B$111+'AI DCF'!$B$103</f>
        <v>619482.55091175146</v>
      </c>
      <c r="D79" s="428">
        <f>(SUMPRODUCT('Conn DCF'!$E$62:$X$62,1/(1+$B79)^'Conn DCF'!$E$79:$X$79)+'Conn DCF'!$X$62*(1+D$74)/($B79-D$74)/(1+$B79)^20)+'Space DCF'!$B$111+'AI DCF'!$B$103</f>
        <v>639263.93641755998</v>
      </c>
      <c r="E79" s="428">
        <f>(SUMPRODUCT('Conn DCF'!$E$62:$X$62,1/(1+$B79)^'Conn DCF'!$E$79:$X$79)+'Conn DCF'!$X$62*(1+E$74)/($B79-E$74)/(1+$B79)^20)+'Space DCF'!$B$111+'AI DCF'!$B$103</f>
        <v>661587.46612769132</v>
      </c>
      <c r="F79" s="428">
        <f>(SUMPRODUCT('Conn DCF'!$E$62:$X$62,1/(1+$B79)^'Conn DCF'!$E$79:$X$79)+'Conn DCF'!$X$62*(1+F$74)/($B79-F$74)/(1+$B79)^20)+'Space DCF'!$B$111+'AI DCF'!$B$103</f>
        <v>686976.83434823109</v>
      </c>
      <c r="G79" s="428">
        <f>(SUMPRODUCT('Conn DCF'!$E$62:$X$62,1/(1+$B79)^'Conn DCF'!$E$79:$X$79)+'Conn DCF'!$X$62*(1+G$74)/($B79-G$74)/(1+$B79)^20)+'Space DCF'!$B$111+'AI DCF'!$B$103</f>
        <v>716110.18608547538</v>
      </c>
      <c r="H79" s="428">
        <f>(SUMPRODUCT('Conn DCF'!$E$62:$X$62,1/(1+$B79)^'Conn DCF'!$E$79:$X$79)+'Conn DCF'!$X$62*(1+H$74)/($B79-H$74)/(1+$B79)^20)+'Space DCF'!$B$111+'AI DCF'!$B$103</f>
        <v>749881.58870675322</v>
      </c>
      <c r="I79" s="428">
        <f>(SUMPRODUCT('Conn DCF'!$E$62:$X$62,1/(1+$B79)^'Conn DCF'!$E$79:$X$79)+'Conn DCF'!$X$62*(1+I$74)/($B79-I$74)/(1+$B79)^20)+'Space DCF'!$B$111+'AI DCF'!$B$103</f>
        <v>789494.40170165489</v>
      </c>
      <c r="J79" s="355"/>
    </row>
    <row r="80" spans="1:10" x14ac:dyDescent="0.3">
      <c r="B80" s="536">
        <f>'Conn DCF'!B46+0.005</f>
        <v>6.8906891025641029E-2</v>
      </c>
      <c r="C80" s="428">
        <f>(SUMPRODUCT('Conn DCF'!$E$62:$X$62,1/(1+$B80)^'Conn DCF'!$E$79:$X$79)+'Conn DCF'!$X$62*(1+C$74)/($B80-C$74)/(1+$B80)^20)+'Space DCF'!$B$111+'AI DCF'!$B$103</f>
        <v>582292.47389050061</v>
      </c>
      <c r="D80" s="428">
        <f>(SUMPRODUCT('Conn DCF'!$E$62:$X$62,1/(1+$B80)^'Conn DCF'!$E$79:$X$79)+'Conn DCF'!$X$62*(1+D$74)/($B80-D$74)/(1+$B80)^20)+'Space DCF'!$B$111+'AI DCF'!$B$103</f>
        <v>599174.52099848934</v>
      </c>
      <c r="E80" s="428">
        <f>(SUMPRODUCT('Conn DCF'!$E$62:$X$62,1/(1+$B80)^'Conn DCF'!$E$79:$X$79)+'Conn DCF'!$X$62*(1+E$74)/($B80-E$74)/(1+$B80)^20)+'Space DCF'!$B$111+'AI DCF'!$B$103</f>
        <v>618095.12336742936</v>
      </c>
      <c r="F80" s="428">
        <f>(SUMPRODUCT('Conn DCF'!$E$62:$X$62,1/(1+$B80)^'Conn DCF'!$E$79:$X$79)+'Conn DCF'!$X$62*(1+F$74)/($B80-F$74)/(1+$B80)^20)+'Space DCF'!$B$111+'AI DCF'!$B$103</f>
        <v>639447.24903085059</v>
      </c>
      <c r="G80" s="428">
        <f>(SUMPRODUCT('Conn DCF'!$E$62:$X$62,1/(1+$B80)^'Conn DCF'!$E$79:$X$79)+'Conn DCF'!$X$62*(1+G$74)/($B80-G$74)/(1+$B80)^20)+'Space DCF'!$B$111+'AI DCF'!$B$103</f>
        <v>663731.80383912567</v>
      </c>
      <c r="H80" s="428">
        <f>(SUMPRODUCT('Conn DCF'!$E$62:$X$62,1/(1+$B80)^'Conn DCF'!$E$79:$X$79)+'Conn DCF'!$X$62*(1+H$74)/($B80-H$74)/(1+$B80)^20)+'Space DCF'!$B$111+'AI DCF'!$B$103</f>
        <v>691597.42345070443</v>
      </c>
      <c r="I80" s="428">
        <f>(SUMPRODUCT('Conn DCF'!$E$62:$X$62,1/(1+$B80)^'Conn DCF'!$E$79:$X$79)+'Conn DCF'!$X$62*(1+I$74)/($B80-I$74)/(1+$B80)^20)+'Space DCF'!$B$111+'AI DCF'!$B$103</f>
        <v>723899.27006559109</v>
      </c>
      <c r="J80" s="355"/>
    </row>
    <row r="81" spans="1:10" ht="15" thickBot="1" x14ac:dyDescent="0.35">
      <c r="A81" s="164"/>
      <c r="B81" s="429">
        <f>'Conn DCF'!B46+0.0075</f>
        <v>7.1406891025641017E-2</v>
      </c>
      <c r="C81" s="460">
        <f>(SUMPRODUCT('Conn DCF'!$E$62:$X$62,1/(1+$B81)^'Conn DCF'!$E$79:$X$79)+'Conn DCF'!$X$62*(1+C$74)/($B81-C$74)/(1+$B81)^20)+'Space DCF'!$B$111+'AI DCF'!$B$103</f>
        <v>549065.33534195262</v>
      </c>
      <c r="D81" s="460">
        <f>(SUMPRODUCT('Conn DCF'!$E$62:$X$62,1/(1+$B81)^'Conn DCF'!$E$79:$X$79)+'Conn DCF'!$X$62*(1+D$74)/($B81-D$74)/(1+$B81)^20)+'Space DCF'!$B$111+'AI DCF'!$B$103</f>
        <v>563563.43658417359</v>
      </c>
      <c r="E81" s="460">
        <f>(SUMPRODUCT('Conn DCF'!$E$62:$X$62,1/(1+$B81)^'Conn DCF'!$E$79:$X$79)+'Conn DCF'!$X$62*(1+E$74)/($B81-E$74)/(1+$B81)^20)+'Space DCF'!$B$111+'AI DCF'!$B$103</f>
        <v>579712.54304488702</v>
      </c>
      <c r="F81" s="460">
        <f>(SUMPRODUCT('Conn DCF'!$E$62:$X$62,1/(1+$B81)^'Conn DCF'!$E$79:$X$79)+'Conn DCF'!$X$62*(1+F$74)/($B81-F$74)/(1+$B81)^20)+'Space DCF'!$B$111+'AI DCF'!$B$103</f>
        <v>597811.70009629952</v>
      </c>
      <c r="G81" s="460">
        <f>(SUMPRODUCT('Conn DCF'!$E$62:$X$62,1/(1+$B81)^'Conn DCF'!$E$79:$X$79)+'Conn DCF'!$X$62*(1+G$74)/($B81-G$74)/(1+$B81)^20)+'Space DCF'!$B$111+'AI DCF'!$B$103</f>
        <v>618236.81491178588</v>
      </c>
      <c r="H81" s="460">
        <f>(SUMPRODUCT('Conn DCF'!$E$62:$X$62,1/(1+$B81)^'Conn DCF'!$E$79:$X$79)+'Conn DCF'!$X$62*(1+H$74)/($B81-H$74)/(1+$B81)^20)+'Space DCF'!$B$111+'AI DCF'!$B$103</f>
        <v>641467.04631922464</v>
      </c>
      <c r="I81" s="460">
        <f>(SUMPRODUCT('Conn DCF'!$E$62:$X$62,1/(1+$B81)^'Conn DCF'!$E$79:$X$79)+'Conn DCF'!$X$62*(1+I$74)/($B81-I$74)/(1+$B81)^20)+'Space DCF'!$B$111+'AI DCF'!$B$103</f>
        <v>668122.86920744414</v>
      </c>
      <c r="J81" s="210"/>
    </row>
    <row r="82" spans="1:10" ht="15" thickTop="1" x14ac:dyDescent="0.3"/>
    <row r="83" spans="1:10" x14ac:dyDescent="0.3">
      <c r="A83" s="92" t="s">
        <v>698</v>
      </c>
      <c r="B83" s="301"/>
      <c r="C83" s="301"/>
      <c r="D83" s="301"/>
      <c r="E83" s="301"/>
      <c r="F83" s="301"/>
      <c r="G83" s="301"/>
      <c r="H83" s="301"/>
      <c r="I83" s="301"/>
      <c r="J83" s="301"/>
    </row>
    <row r="84" spans="1:10" s="82" customFormat="1" ht="3" customHeight="1" x14ac:dyDescent="0.3">
      <c r="A84" s="143"/>
    </row>
    <row r="85" spans="1:10" x14ac:dyDescent="0.3">
      <c r="A85" s="134"/>
      <c r="B85" s="94" t="s">
        <v>699</v>
      </c>
      <c r="C85" s="93"/>
      <c r="D85" s="93"/>
      <c r="E85" s="302"/>
      <c r="F85" s="302"/>
      <c r="G85" s="93"/>
      <c r="H85" s="93" t="s">
        <v>700</v>
      </c>
      <c r="I85" s="302"/>
      <c r="J85" s="302"/>
    </row>
    <row r="86" spans="1:10" x14ac:dyDescent="0.3">
      <c r="A86" t="s">
        <v>701</v>
      </c>
      <c r="B86" s="430">
        <v>6906</v>
      </c>
      <c r="C86" s="303"/>
      <c r="D86" s="304"/>
      <c r="G86" s="304"/>
      <c r="H86" s="495" t="s">
        <v>702</v>
      </c>
    </row>
    <row r="87" spans="1:10" x14ac:dyDescent="0.3">
      <c r="A87" t="s">
        <v>703</v>
      </c>
      <c r="B87" s="430">
        <v>5696</v>
      </c>
      <c r="C87" s="303"/>
      <c r="D87" s="304"/>
      <c r="G87" s="304"/>
      <c r="H87" s="495" t="s">
        <v>704</v>
      </c>
    </row>
    <row r="88" spans="1:10" x14ac:dyDescent="0.3">
      <c r="A88" t="s">
        <v>705</v>
      </c>
      <c r="B88" s="430">
        <v>0</v>
      </c>
      <c r="C88" s="303"/>
      <c r="D88" s="304"/>
      <c r="G88" s="304"/>
      <c r="H88" s="495" t="s">
        <v>706</v>
      </c>
    </row>
    <row r="89" spans="1:10" x14ac:dyDescent="0.3">
      <c r="A89" s="1" t="s">
        <v>707</v>
      </c>
      <c r="B89" s="431">
        <f>B86+B87+B88</f>
        <v>12602</v>
      </c>
      <c r="C89" s="305"/>
      <c r="D89" s="306"/>
      <c r="G89" s="306"/>
      <c r="H89" s="495" t="s">
        <v>708</v>
      </c>
    </row>
    <row r="90" spans="1:10" x14ac:dyDescent="0.3">
      <c r="A90" t="s">
        <v>709</v>
      </c>
      <c r="B90" s="430">
        <v>292</v>
      </c>
      <c r="C90" s="303"/>
      <c r="D90" s="304"/>
      <c r="G90" s="304"/>
      <c r="H90" s="495" t="s">
        <v>710</v>
      </c>
    </row>
    <row r="91" spans="1:10" x14ac:dyDescent="0.3">
      <c r="A91" t="s">
        <v>711</v>
      </c>
      <c r="B91" s="430">
        <v>45</v>
      </c>
      <c r="C91" s="303"/>
      <c r="D91" s="304"/>
      <c r="G91" s="304"/>
      <c r="H91" s="495" t="s">
        <v>710</v>
      </c>
    </row>
    <row r="92" spans="1:10" x14ac:dyDescent="0.3">
      <c r="A92" t="s">
        <v>712</v>
      </c>
      <c r="B92" s="325">
        <v>102</v>
      </c>
      <c r="C92" s="303"/>
      <c r="D92" s="304"/>
      <c r="G92" s="304"/>
      <c r="H92" s="495" t="s">
        <v>713</v>
      </c>
    </row>
    <row r="93" spans="1:10" x14ac:dyDescent="0.3">
      <c r="A93" s="95" t="s">
        <v>743</v>
      </c>
      <c r="B93" s="476">
        <f>B89+B90+B91+B92</f>
        <v>13041</v>
      </c>
      <c r="C93" s="307"/>
      <c r="D93" s="308"/>
      <c r="E93" s="309"/>
      <c r="F93" s="309"/>
      <c r="G93" s="308"/>
      <c r="H93" s="489" t="s">
        <v>714</v>
      </c>
      <c r="I93" s="309"/>
      <c r="J93" s="309"/>
    </row>
    <row r="94" spans="1:10" x14ac:dyDescent="0.3">
      <c r="A94" s="208" t="s">
        <v>715</v>
      </c>
      <c r="B94" s="430">
        <v>800</v>
      </c>
      <c r="D94" s="304"/>
      <c r="G94" s="304"/>
      <c r="H94" s="495" t="s">
        <v>716</v>
      </c>
    </row>
    <row r="95" spans="1:10" ht="15" thickBot="1" x14ac:dyDescent="0.35">
      <c r="A95" s="211" t="s">
        <v>717</v>
      </c>
      <c r="B95" s="164"/>
      <c r="C95" s="164"/>
      <c r="D95" s="152"/>
      <c r="E95" s="164"/>
      <c r="F95" s="164"/>
      <c r="G95" s="152"/>
      <c r="H95" s="496" t="s">
        <v>718</v>
      </c>
      <c r="I95" s="164"/>
      <c r="J95" s="164"/>
    </row>
    <row r="96" spans="1:10" ht="15" thickTop="1" x14ac:dyDescent="0.3"/>
    <row r="97" spans="1:10" x14ac:dyDescent="0.3">
      <c r="A97" s="336" t="s">
        <v>786</v>
      </c>
      <c r="B97" s="336"/>
      <c r="C97" s="336"/>
      <c r="D97" s="336"/>
      <c r="E97" s="336"/>
      <c r="F97" s="336"/>
      <c r="G97" s="336"/>
      <c r="H97" s="336"/>
      <c r="I97" s="87"/>
      <c r="J97" s="87"/>
    </row>
    <row r="98" spans="1:10" ht="3" customHeight="1" x14ac:dyDescent="0.3"/>
    <row r="99" spans="1:10" x14ac:dyDescent="0.3">
      <c r="A99" s="345" t="s">
        <v>788</v>
      </c>
      <c r="B99" s="345" t="s">
        <v>789</v>
      </c>
      <c r="C99" s="349" t="s">
        <v>790</v>
      </c>
      <c r="D99" s="349" t="s">
        <v>791</v>
      </c>
      <c r="E99" s="349" t="s">
        <v>792</v>
      </c>
      <c r="F99" s="344"/>
      <c r="G99" s="344"/>
      <c r="H99" s="344"/>
      <c r="I99" s="344"/>
      <c r="J99" s="344"/>
    </row>
    <row r="100" spans="1:10" x14ac:dyDescent="0.3">
      <c r="A100" s="341">
        <v>46185</v>
      </c>
      <c r="B100" s="346" t="s">
        <v>853</v>
      </c>
      <c r="C100" s="432">
        <v>4.9000000000000002E-2</v>
      </c>
      <c r="D100" s="433">
        <f t="shared" ref="D100:D109" si="0">C100*$B$29</f>
        <v>639.00900000000001</v>
      </c>
      <c r="E100" s="434">
        <f t="shared" ref="E100:E109" si="1">D100*$D$31</f>
        <v>34218.963443840868</v>
      </c>
    </row>
    <row r="101" spans="1:10" x14ac:dyDescent="0.3">
      <c r="A101" s="341">
        <v>46242</v>
      </c>
      <c r="B101" s="346" t="s">
        <v>793</v>
      </c>
      <c r="C101" s="432">
        <v>0.11799999999999999</v>
      </c>
      <c r="D101" s="433">
        <f t="shared" si="0"/>
        <v>1538.838</v>
      </c>
      <c r="E101" s="434">
        <f t="shared" si="1"/>
        <v>82404.850742310664</v>
      </c>
    </row>
    <row r="102" spans="1:10" x14ac:dyDescent="0.3">
      <c r="A102" s="341">
        <v>46274</v>
      </c>
      <c r="B102" s="346" t="s">
        <v>794</v>
      </c>
      <c r="C102" s="432">
        <v>0.17699999999999999</v>
      </c>
      <c r="D102" s="433">
        <f t="shared" si="0"/>
        <v>2308.2570000000001</v>
      </c>
      <c r="E102" s="434">
        <f t="shared" si="1"/>
        <v>123607.27611346601</v>
      </c>
    </row>
    <row r="103" spans="1:10" x14ac:dyDescent="0.3">
      <c r="A103" s="341">
        <v>46319</v>
      </c>
      <c r="B103" s="346" t="s">
        <v>794</v>
      </c>
      <c r="C103" s="432">
        <v>0.251</v>
      </c>
      <c r="D103" s="433">
        <f t="shared" si="0"/>
        <v>3273.2910000000002</v>
      </c>
      <c r="E103" s="434">
        <f t="shared" si="1"/>
        <v>175284.89437559305</v>
      </c>
    </row>
    <row r="104" spans="1:10" x14ac:dyDescent="0.3">
      <c r="A104" s="341">
        <v>46364</v>
      </c>
      <c r="B104" s="346" t="s">
        <v>795</v>
      </c>
      <c r="C104" s="432">
        <v>0.375</v>
      </c>
      <c r="D104" s="433">
        <f t="shared" si="0"/>
        <v>4890.375</v>
      </c>
      <c r="E104" s="434">
        <f t="shared" si="1"/>
        <v>261879.82227429238</v>
      </c>
    </row>
    <row r="105" spans="1:10" x14ac:dyDescent="0.3">
      <c r="A105" s="341">
        <v>46388</v>
      </c>
      <c r="B105" s="346" t="s">
        <v>796</v>
      </c>
      <c r="C105" s="432">
        <v>0.4</v>
      </c>
      <c r="D105" s="433">
        <f t="shared" si="0"/>
        <v>5216.4000000000005</v>
      </c>
      <c r="E105" s="434">
        <f t="shared" si="1"/>
        <v>279338.47709257854</v>
      </c>
    </row>
    <row r="106" spans="1:10" x14ac:dyDescent="0.3">
      <c r="A106" s="341">
        <v>46464</v>
      </c>
      <c r="B106" s="346" t="s">
        <v>797</v>
      </c>
      <c r="C106" s="432">
        <v>0.441</v>
      </c>
      <c r="D106" s="433">
        <f t="shared" si="0"/>
        <v>5751.0810000000001</v>
      </c>
      <c r="E106" s="434">
        <f t="shared" si="1"/>
        <v>307970.67099456786</v>
      </c>
    </row>
    <row r="107" spans="1:10" x14ac:dyDescent="0.3">
      <c r="A107" s="342">
        <v>46550</v>
      </c>
      <c r="B107" s="347" t="s">
        <v>798</v>
      </c>
      <c r="C107" s="435">
        <v>0.96899999999999997</v>
      </c>
      <c r="D107" s="436">
        <f t="shared" si="0"/>
        <v>12636.728999999999</v>
      </c>
      <c r="E107" s="437">
        <f t="shared" si="1"/>
        <v>676697.4607567715</v>
      </c>
    </row>
    <row r="108" spans="1:10" x14ac:dyDescent="0.3">
      <c r="A108" s="341">
        <v>46600</v>
      </c>
      <c r="B108" s="346" t="s">
        <v>799</v>
      </c>
      <c r="C108" s="432">
        <v>0.995</v>
      </c>
      <c r="D108" s="433">
        <f t="shared" si="0"/>
        <v>12975.795</v>
      </c>
      <c r="E108" s="434">
        <f t="shared" si="1"/>
        <v>694854.46176778909</v>
      </c>
    </row>
    <row r="109" spans="1:10" x14ac:dyDescent="0.3">
      <c r="A109" s="343">
        <v>46631</v>
      </c>
      <c r="B109" s="348" t="s">
        <v>854</v>
      </c>
      <c r="C109" s="438">
        <v>1</v>
      </c>
      <c r="D109" s="439">
        <f t="shared" si="0"/>
        <v>13041</v>
      </c>
      <c r="E109" s="440">
        <f t="shared" si="1"/>
        <v>698346.19273144635</v>
      </c>
    </row>
    <row r="110" spans="1:10" x14ac:dyDescent="0.3">
      <c r="A110" s="495" t="s">
        <v>787</v>
      </c>
    </row>
    <row r="111" spans="1:10" ht="15" thickBot="1" x14ac:dyDescent="0.35">
      <c r="A111" s="496" t="s">
        <v>855</v>
      </c>
      <c r="B111" s="164"/>
      <c r="C111" s="164"/>
      <c r="D111" s="164"/>
      <c r="E111" s="164"/>
      <c r="F111" s="164"/>
      <c r="G111" s="164"/>
      <c r="H111" s="164"/>
      <c r="I111" s="164"/>
      <c r="J111" s="164"/>
    </row>
    <row r="112" spans="1:10" ht="15" thickTop="1" x14ac:dyDescent="0.3"/>
  </sheetData>
  <sheetProtection algorithmName="SHA-512" hashValue="zM/eFjoNs35jgM8QWlsOUYu13XnSa0/qYQSTGsNcwexoz1K2B7IfbBokSFeTt4kAuMlyFk+qcQAlV6S+J35v4Q==" saltValue="LococsAby1UMNKblhdwt6g==" spinCount="100000" sheet="1" objects="1" scenarios="1"/>
  <conditionalFormatting sqref="C65:J71">
    <cfRule type="cellIs" dxfId="1" priority="4" operator="lessThan">
      <formula>0</formula>
    </cfRule>
  </conditionalFormatting>
  <conditionalFormatting sqref="C75:J81">
    <cfRule type="cellIs" dxfId="0" priority="1" operator="lessThan">
      <formula>0</formula>
    </cfRule>
  </conditionalFormatting>
  <pageMargins left="0.7" right="0.7" top="0.75" bottom="0.75" header="0.3" footer="0.3"/>
  <drawing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D8D785-3A8C-46FB-8EC8-CF323C9C9BEF}">
  <sheetPr>
    <tabColor rgb="FFFFFFFF"/>
  </sheetPr>
  <dimension ref="A1:X172"/>
  <sheetViews>
    <sheetView showGridLines="0" zoomScale="85" zoomScaleNormal="85" workbookViewId="0">
      <pane ySplit="6" topLeftCell="A7" activePane="bottomLeft" state="frozen"/>
      <selection pane="bottomLeft" activeCell="E44" sqref="E44"/>
    </sheetView>
  </sheetViews>
  <sheetFormatPr defaultRowHeight="14.4" x14ac:dyDescent="0.3"/>
  <cols>
    <col min="1" max="1" width="33.33203125" customWidth="1"/>
    <col min="2" max="4" width="20" customWidth="1"/>
    <col min="5" max="24" width="16.6640625" customWidth="1"/>
  </cols>
  <sheetData>
    <row r="1" spans="1:24" ht="30" customHeight="1" x14ac:dyDescent="0.3">
      <c r="A1" s="96" t="s">
        <v>856</v>
      </c>
    </row>
    <row r="2" spans="1:24" x14ac:dyDescent="0.3">
      <c r="A2" s="3" t="s">
        <v>189</v>
      </c>
    </row>
    <row r="3" spans="1:24" x14ac:dyDescent="0.3">
      <c r="A3" s="3"/>
    </row>
    <row r="5" spans="1:24" ht="18" x14ac:dyDescent="0.35">
      <c r="A5" s="1" t="s">
        <v>42</v>
      </c>
      <c r="B5" s="57">
        <f>Dashboard!B31</f>
        <v>2</v>
      </c>
      <c r="C5" s="85" t="str">
        <f>IF(B5=1,"◀  BEAR",IF(B5=2,"◀  BASE","◀  BULL"))</f>
        <v>◀  BASE</v>
      </c>
      <c r="D5" s="3" t="s">
        <v>43</v>
      </c>
    </row>
    <row r="6" spans="1:24" x14ac:dyDescent="0.3">
      <c r="A6" s="135"/>
      <c r="B6" s="144" t="s">
        <v>45</v>
      </c>
      <c r="C6" s="144" t="s">
        <v>46</v>
      </c>
      <c r="D6" s="144" t="s">
        <v>47</v>
      </c>
      <c r="E6" s="144" t="s">
        <v>48</v>
      </c>
      <c r="F6" s="144" t="s">
        <v>49</v>
      </c>
      <c r="G6" s="144" t="s">
        <v>50</v>
      </c>
      <c r="H6" s="144" t="s">
        <v>51</v>
      </c>
      <c r="I6" s="144" t="s">
        <v>52</v>
      </c>
      <c r="J6" s="144" t="s">
        <v>53</v>
      </c>
      <c r="K6" s="144" t="s">
        <v>54</v>
      </c>
      <c r="L6" s="144" t="s">
        <v>55</v>
      </c>
      <c r="M6" s="144" t="s">
        <v>56</v>
      </c>
      <c r="N6" s="144" t="s">
        <v>57</v>
      </c>
      <c r="O6" s="144" t="s">
        <v>179</v>
      </c>
      <c r="P6" s="144" t="s">
        <v>180</v>
      </c>
      <c r="Q6" s="144" t="s">
        <v>181</v>
      </c>
      <c r="R6" s="144" t="s">
        <v>182</v>
      </c>
      <c r="S6" s="144" t="s">
        <v>183</v>
      </c>
      <c r="T6" s="144" t="s">
        <v>184</v>
      </c>
      <c r="U6" s="144" t="s">
        <v>185</v>
      </c>
      <c r="V6" s="144" t="s">
        <v>186</v>
      </c>
      <c r="W6" s="144" t="s">
        <v>187</v>
      </c>
      <c r="X6" s="144" t="s">
        <v>188</v>
      </c>
    </row>
    <row r="7" spans="1:24" ht="3" customHeight="1" x14ac:dyDescent="0.3"/>
    <row r="8" spans="1:24" x14ac:dyDescent="0.3">
      <c r="A8" s="92" t="s">
        <v>44</v>
      </c>
      <c r="B8" s="92"/>
      <c r="C8" s="92"/>
      <c r="D8" s="92"/>
      <c r="E8" s="92"/>
      <c r="F8" s="92"/>
      <c r="G8" s="92"/>
      <c r="H8" s="92"/>
      <c r="I8" s="92"/>
      <c r="J8" s="92"/>
      <c r="K8" s="92"/>
      <c r="L8" s="92"/>
      <c r="M8" s="92"/>
      <c r="N8" s="92"/>
      <c r="O8" s="92"/>
      <c r="P8" s="92"/>
      <c r="Q8" s="92"/>
      <c r="R8" s="92"/>
      <c r="S8" s="92"/>
      <c r="T8" s="92"/>
      <c r="U8" s="92"/>
      <c r="V8" s="92"/>
      <c r="W8" s="92"/>
      <c r="X8" s="92"/>
    </row>
    <row r="9" spans="1:24" x14ac:dyDescent="0.3">
      <c r="A9" t="s">
        <v>58</v>
      </c>
      <c r="B9" s="30"/>
      <c r="C9" s="30"/>
      <c r="D9" s="30"/>
      <c r="E9" s="16">
        <v>0.28000000000000003</v>
      </c>
      <c r="F9" s="16">
        <v>0.24</v>
      </c>
      <c r="G9" s="16">
        <v>0.2</v>
      </c>
      <c r="H9" s="16">
        <v>0.18</v>
      </c>
      <c r="I9" s="16">
        <v>0.15</v>
      </c>
      <c r="J9" s="16">
        <v>0.13</v>
      </c>
      <c r="K9" s="16">
        <v>0.11</v>
      </c>
      <c r="L9" s="16">
        <v>0.09</v>
      </c>
      <c r="M9" s="16">
        <v>0.08</v>
      </c>
      <c r="N9" s="16">
        <v>7.0000000000000007E-2</v>
      </c>
      <c r="O9" s="16">
        <v>0.06</v>
      </c>
      <c r="P9" s="16">
        <v>5.5E-2</v>
      </c>
      <c r="Q9" s="16">
        <v>0.05</v>
      </c>
      <c r="R9" s="16">
        <v>4.4999999999999998E-2</v>
      </c>
      <c r="S9" s="16">
        <v>0.04</v>
      </c>
      <c r="T9" s="16">
        <v>3.7999999999999999E-2</v>
      </c>
      <c r="U9" s="16">
        <v>3.5000000000000003E-2</v>
      </c>
      <c r="V9" s="16">
        <v>3.2000000000000001E-2</v>
      </c>
      <c r="W9" s="16">
        <v>0.03</v>
      </c>
      <c r="X9" s="16">
        <v>2.5000000000000001E-2</v>
      </c>
    </row>
    <row r="10" spans="1:24" x14ac:dyDescent="0.3">
      <c r="A10" t="s">
        <v>59</v>
      </c>
      <c r="B10" s="30"/>
      <c r="C10" s="30"/>
      <c r="D10" s="30"/>
      <c r="E10" s="16">
        <v>0.6</v>
      </c>
      <c r="F10" s="16">
        <v>0.61</v>
      </c>
      <c r="G10" s="16">
        <v>0.62</v>
      </c>
      <c r="H10" s="16">
        <v>0.63</v>
      </c>
      <c r="I10" s="16">
        <v>0.64</v>
      </c>
      <c r="J10" s="16">
        <v>0.64</v>
      </c>
      <c r="K10" s="16">
        <v>0.65</v>
      </c>
      <c r="L10" s="16">
        <v>0.65</v>
      </c>
      <c r="M10" s="16">
        <v>0.65</v>
      </c>
      <c r="N10" s="16">
        <v>0.65</v>
      </c>
      <c r="O10" s="16">
        <v>0.65500000000000003</v>
      </c>
      <c r="P10" s="16">
        <v>0.65500000000000003</v>
      </c>
      <c r="Q10" s="16">
        <v>0.66</v>
      </c>
      <c r="R10" s="16">
        <v>0.66</v>
      </c>
      <c r="S10" s="16">
        <v>0.66</v>
      </c>
      <c r="T10" s="16">
        <v>0.66500000000000004</v>
      </c>
      <c r="U10" s="16">
        <v>0.66500000000000004</v>
      </c>
      <c r="V10" s="16">
        <v>0.67</v>
      </c>
      <c r="W10" s="16">
        <v>0.67</v>
      </c>
      <c r="X10" s="16">
        <v>0.67</v>
      </c>
    </row>
    <row r="11" spans="1:24" x14ac:dyDescent="0.3">
      <c r="A11" t="s">
        <v>61</v>
      </c>
      <c r="B11" s="30"/>
      <c r="C11" s="30"/>
      <c r="D11" s="30"/>
      <c r="E11" s="16">
        <v>0.34</v>
      </c>
      <c r="F11" s="16">
        <v>0.3</v>
      </c>
      <c r="G11" s="16">
        <v>0.26</v>
      </c>
      <c r="H11" s="16">
        <v>0.23</v>
      </c>
      <c r="I11" s="16">
        <v>0.2</v>
      </c>
      <c r="J11" s="16">
        <v>0.18</v>
      </c>
      <c r="K11" s="16">
        <v>0.16</v>
      </c>
      <c r="L11" s="16">
        <v>0.14000000000000001</v>
      </c>
      <c r="M11" s="16">
        <v>0.12</v>
      </c>
      <c r="N11" s="16">
        <v>0.11</v>
      </c>
      <c r="O11" s="16">
        <v>0.105</v>
      </c>
      <c r="P11" s="16">
        <v>0.1</v>
      </c>
      <c r="Q11" s="16">
        <v>0.1</v>
      </c>
      <c r="R11" s="16">
        <v>9.5000000000000001E-2</v>
      </c>
      <c r="S11" s="16">
        <v>9.5000000000000001E-2</v>
      </c>
      <c r="T11" s="16">
        <v>0.09</v>
      </c>
      <c r="U11" s="16">
        <v>0.09</v>
      </c>
      <c r="V11" s="16">
        <v>0.09</v>
      </c>
      <c r="W11" s="16">
        <v>0.09</v>
      </c>
      <c r="X11" s="16">
        <v>0.09</v>
      </c>
    </row>
    <row r="12" spans="1:24" x14ac:dyDescent="0.3">
      <c r="A12" t="s">
        <v>62</v>
      </c>
      <c r="B12" s="30"/>
      <c r="C12" s="30"/>
      <c r="D12" s="30"/>
      <c r="E12" s="16">
        <v>0.05</v>
      </c>
      <c r="F12" s="16">
        <v>0.05</v>
      </c>
      <c r="G12" s="16">
        <v>0.05</v>
      </c>
      <c r="H12" s="16">
        <v>0.05</v>
      </c>
      <c r="I12" s="16">
        <v>0.04</v>
      </c>
      <c r="J12" s="16">
        <v>0.04</v>
      </c>
      <c r="K12" s="16">
        <v>0.04</v>
      </c>
      <c r="L12" s="16">
        <v>0.03</v>
      </c>
      <c r="M12" s="16">
        <v>0.03</v>
      </c>
      <c r="N12" s="16">
        <v>0.03</v>
      </c>
      <c r="O12" s="16">
        <v>0.03</v>
      </c>
      <c r="P12" s="16">
        <v>0.03</v>
      </c>
      <c r="Q12" s="16">
        <v>0.03</v>
      </c>
      <c r="R12" s="16">
        <v>2.5000000000000001E-2</v>
      </c>
      <c r="S12" s="16">
        <v>2.5000000000000001E-2</v>
      </c>
      <c r="T12" s="16">
        <v>2.5000000000000001E-2</v>
      </c>
      <c r="U12" s="16">
        <v>2.5000000000000001E-2</v>
      </c>
      <c r="V12" s="16">
        <v>2.5000000000000001E-2</v>
      </c>
      <c r="W12" s="16">
        <v>2.5000000000000001E-2</v>
      </c>
      <c r="X12" s="16">
        <v>2.5000000000000001E-2</v>
      </c>
    </row>
    <row r="13" spans="1:24" x14ac:dyDescent="0.3">
      <c r="A13" s="324" t="s">
        <v>770</v>
      </c>
      <c r="B13" s="30"/>
      <c r="C13" s="30"/>
      <c r="D13" s="30"/>
      <c r="E13" s="398">
        <v>10200</v>
      </c>
      <c r="F13" s="398">
        <v>11400</v>
      </c>
      <c r="G13" s="398">
        <v>12800</v>
      </c>
      <c r="H13" s="398">
        <v>13850</v>
      </c>
      <c r="I13" s="398">
        <v>14950</v>
      </c>
      <c r="J13" s="398">
        <v>16000</v>
      </c>
      <c r="K13" s="398">
        <v>16800</v>
      </c>
      <c r="L13" s="398">
        <v>17400</v>
      </c>
      <c r="M13" s="398">
        <v>18000</v>
      </c>
      <c r="N13" s="398">
        <v>18600</v>
      </c>
      <c r="O13" s="398">
        <v>18950</v>
      </c>
      <c r="P13" s="398">
        <v>19300</v>
      </c>
      <c r="Q13" s="398">
        <v>19650</v>
      </c>
      <c r="R13" s="398">
        <v>20000</v>
      </c>
      <c r="S13" s="398">
        <v>20350</v>
      </c>
      <c r="T13" s="398">
        <v>20550</v>
      </c>
      <c r="U13" s="398">
        <v>20750</v>
      </c>
      <c r="V13" s="398">
        <v>20950</v>
      </c>
      <c r="W13" s="398">
        <v>21150</v>
      </c>
      <c r="X13" s="398">
        <v>21350</v>
      </c>
    </row>
    <row r="14" spans="1:24" x14ac:dyDescent="0.3">
      <c r="A14" s="324" t="s">
        <v>760</v>
      </c>
      <c r="B14" s="30"/>
      <c r="C14" s="30"/>
      <c r="D14" s="30"/>
      <c r="E14" s="130">
        <v>3.0000000000000002E-2</v>
      </c>
      <c r="F14" s="130">
        <v>3.0000000000000002E-2</v>
      </c>
      <c r="G14" s="130">
        <v>2.9000000000000001E-2</v>
      </c>
      <c r="H14" s="130">
        <v>2.9000000000000001E-2</v>
      </c>
      <c r="I14" s="130">
        <v>2.8000000000000001E-2</v>
      </c>
      <c r="J14" s="130">
        <v>2.8000000000000001E-2</v>
      </c>
      <c r="K14" s="130">
        <v>2.7E-2</v>
      </c>
      <c r="L14" s="130">
        <v>2.7E-2</v>
      </c>
      <c r="M14" s="130">
        <v>2.6000000000000002E-2</v>
      </c>
      <c r="N14" s="130">
        <v>2.6000000000000002E-2</v>
      </c>
      <c r="O14" s="130">
        <v>2.5000000000000001E-2</v>
      </c>
      <c r="P14" s="130">
        <v>2.5000000000000001E-2</v>
      </c>
      <c r="Q14" s="130">
        <v>2.4E-2</v>
      </c>
      <c r="R14" s="130">
        <v>2.4E-2</v>
      </c>
      <c r="S14" s="130">
        <v>2.3E-2</v>
      </c>
      <c r="T14" s="130">
        <v>2.3E-2</v>
      </c>
      <c r="U14" s="130">
        <v>2.2000000000000002E-2</v>
      </c>
      <c r="V14" s="130">
        <v>2.2000000000000002E-2</v>
      </c>
      <c r="W14" s="130">
        <v>2.1000000000000001E-2</v>
      </c>
      <c r="X14" s="130">
        <v>0.02</v>
      </c>
    </row>
    <row r="15" spans="1:24" x14ac:dyDescent="0.3">
      <c r="A15" t="s">
        <v>63</v>
      </c>
      <c r="B15" s="399">
        <f>WACC!D42</f>
        <v>2.5000000000000001E-2</v>
      </c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</row>
    <row r="16" spans="1:24" ht="15" thickBot="1" x14ac:dyDescent="0.35">
      <c r="A16" s="164" t="s">
        <v>38</v>
      </c>
      <c r="B16" s="396">
        <f>WACC!B42</f>
        <v>6.3906891025641024E-2</v>
      </c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</row>
    <row r="17" spans="1:24" ht="15" thickTop="1" x14ac:dyDescent="0.3"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</row>
    <row r="18" spans="1:24" x14ac:dyDescent="0.3">
      <c r="A18" s="92" t="s">
        <v>64</v>
      </c>
      <c r="B18" s="102"/>
      <c r="C18" s="102"/>
      <c r="D18" s="102"/>
      <c r="E18" s="102"/>
      <c r="F18" s="102"/>
      <c r="G18" s="102"/>
      <c r="H18" s="102"/>
      <c r="I18" s="102"/>
      <c r="J18" s="102"/>
      <c r="K18" s="102"/>
      <c r="L18" s="102"/>
      <c r="M18" s="102"/>
      <c r="N18" s="102"/>
      <c r="O18" s="102"/>
      <c r="P18" s="102"/>
      <c r="Q18" s="102"/>
      <c r="R18" s="102"/>
      <c r="S18" s="102"/>
      <c r="T18" s="102"/>
      <c r="U18" s="102"/>
      <c r="V18" s="102"/>
      <c r="W18" s="102"/>
      <c r="X18" s="102"/>
    </row>
    <row r="19" spans="1:24" x14ac:dyDescent="0.3">
      <c r="A19" t="s">
        <v>58</v>
      </c>
      <c r="B19" s="30"/>
      <c r="C19" s="30"/>
      <c r="D19" s="30"/>
      <c r="E19" s="16">
        <v>0.38</v>
      </c>
      <c r="F19" s="16">
        <v>0.32</v>
      </c>
      <c r="G19" s="16">
        <v>0.26</v>
      </c>
      <c r="H19" s="16">
        <v>0.22</v>
      </c>
      <c r="I19" s="16">
        <v>0.18</v>
      </c>
      <c r="J19" s="16">
        <v>0.15</v>
      </c>
      <c r="K19" s="16">
        <v>0.13</v>
      </c>
      <c r="L19" s="16">
        <v>0.11</v>
      </c>
      <c r="M19" s="16">
        <v>0.09</v>
      </c>
      <c r="N19" s="16">
        <v>0.08</v>
      </c>
      <c r="O19" s="16">
        <v>7.0000000000000007E-2</v>
      </c>
      <c r="P19" s="16">
        <v>6.5000000000000002E-2</v>
      </c>
      <c r="Q19" s="16">
        <v>0.06</v>
      </c>
      <c r="R19" s="16">
        <v>5.5E-2</v>
      </c>
      <c r="S19" s="16">
        <v>0.05</v>
      </c>
      <c r="T19" s="16">
        <v>4.4999999999999998E-2</v>
      </c>
      <c r="U19" s="16">
        <v>0.04</v>
      </c>
      <c r="V19" s="16">
        <v>3.7999999999999999E-2</v>
      </c>
      <c r="W19" s="16">
        <v>3.5000000000000003E-2</v>
      </c>
      <c r="X19" s="16">
        <v>0.03</v>
      </c>
    </row>
    <row r="20" spans="1:24" x14ac:dyDescent="0.3">
      <c r="A20" t="s">
        <v>59</v>
      </c>
      <c r="B20" s="30"/>
      <c r="C20" s="30"/>
      <c r="D20" s="30"/>
      <c r="E20" s="16">
        <v>0.63</v>
      </c>
      <c r="F20" s="16">
        <v>0.65</v>
      </c>
      <c r="G20" s="16">
        <v>0.66</v>
      </c>
      <c r="H20" s="16">
        <v>0.67</v>
      </c>
      <c r="I20" s="16">
        <v>0.68</v>
      </c>
      <c r="J20" s="16">
        <v>0.68</v>
      </c>
      <c r="K20" s="16">
        <v>0.68</v>
      </c>
      <c r="L20" s="16">
        <v>0.68</v>
      </c>
      <c r="M20" s="16">
        <v>0.68</v>
      </c>
      <c r="N20" s="16">
        <v>0.68</v>
      </c>
      <c r="O20" s="16">
        <v>0.68500000000000005</v>
      </c>
      <c r="P20" s="16">
        <v>0.68500000000000005</v>
      </c>
      <c r="Q20" s="16">
        <v>0.69</v>
      </c>
      <c r="R20" s="16">
        <v>0.69</v>
      </c>
      <c r="S20" s="16">
        <v>0.69</v>
      </c>
      <c r="T20" s="16">
        <v>0.69499999999999995</v>
      </c>
      <c r="U20" s="16">
        <v>0.69499999999999995</v>
      </c>
      <c r="V20" s="16">
        <v>0.7</v>
      </c>
      <c r="W20" s="16">
        <v>0.7</v>
      </c>
      <c r="X20" s="16">
        <v>0.7</v>
      </c>
    </row>
    <row r="21" spans="1:24" x14ac:dyDescent="0.3">
      <c r="A21" t="s">
        <v>61</v>
      </c>
      <c r="B21" s="30"/>
      <c r="C21" s="30"/>
      <c r="D21" s="30"/>
      <c r="E21" s="16">
        <v>0.32</v>
      </c>
      <c r="F21" s="16">
        <v>0.27</v>
      </c>
      <c r="G21" s="16">
        <v>0.23</v>
      </c>
      <c r="H21" s="16">
        <v>0.2</v>
      </c>
      <c r="I21" s="16">
        <v>0.17</v>
      </c>
      <c r="J21" s="16">
        <v>0.15</v>
      </c>
      <c r="K21" s="16">
        <v>0.13</v>
      </c>
      <c r="L21" s="16">
        <v>0.12</v>
      </c>
      <c r="M21" s="16">
        <v>0.11</v>
      </c>
      <c r="N21" s="16">
        <v>0.1</v>
      </c>
      <c r="O21" s="16">
        <v>9.5000000000000001E-2</v>
      </c>
      <c r="P21" s="16">
        <v>0.09</v>
      </c>
      <c r="Q21" s="16">
        <v>8.7999999999999995E-2</v>
      </c>
      <c r="R21" s="16">
        <v>8.5000000000000006E-2</v>
      </c>
      <c r="S21" s="16">
        <v>8.2000000000000003E-2</v>
      </c>
      <c r="T21" s="16">
        <v>0.08</v>
      </c>
      <c r="U21" s="16">
        <v>0.08</v>
      </c>
      <c r="V21" s="16">
        <v>0.08</v>
      </c>
      <c r="W21" s="16">
        <v>0.08</v>
      </c>
      <c r="X21" s="16">
        <v>0.08</v>
      </c>
    </row>
    <row r="22" spans="1:24" x14ac:dyDescent="0.3">
      <c r="A22" t="s">
        <v>62</v>
      </c>
      <c r="B22" s="30"/>
      <c r="C22" s="30"/>
      <c r="D22" s="30"/>
      <c r="E22" s="16">
        <v>0.04</v>
      </c>
      <c r="F22" s="16">
        <v>0.04</v>
      </c>
      <c r="G22" s="16">
        <v>0.04</v>
      </c>
      <c r="H22" s="16">
        <v>0.04</v>
      </c>
      <c r="I22" s="16">
        <v>0.03</v>
      </c>
      <c r="J22" s="16">
        <v>0.03</v>
      </c>
      <c r="K22" s="16">
        <v>0.03</v>
      </c>
      <c r="L22" s="16">
        <v>0.03</v>
      </c>
      <c r="M22" s="16">
        <v>0.02</v>
      </c>
      <c r="N22" s="16">
        <v>0.02</v>
      </c>
      <c r="O22" s="16">
        <v>0.02</v>
      </c>
      <c r="P22" s="16">
        <v>0.02</v>
      </c>
      <c r="Q22" s="16">
        <v>0.02</v>
      </c>
      <c r="R22" s="16">
        <v>0.02</v>
      </c>
      <c r="S22" s="16">
        <v>0.02</v>
      </c>
      <c r="T22" s="16">
        <v>1.4999999999999999E-2</v>
      </c>
      <c r="U22" s="16">
        <v>1.4999999999999999E-2</v>
      </c>
      <c r="V22" s="16">
        <v>1.4999999999999999E-2</v>
      </c>
      <c r="W22" s="16">
        <v>1.4999999999999999E-2</v>
      </c>
      <c r="X22" s="16">
        <v>1.4999999999999999E-2</v>
      </c>
    </row>
    <row r="23" spans="1:24" x14ac:dyDescent="0.3">
      <c r="A23" s="324" t="s">
        <v>770</v>
      </c>
      <c r="B23" s="30"/>
      <c r="C23" s="30"/>
      <c r="D23" s="30"/>
      <c r="E23" s="398">
        <v>11040</v>
      </c>
      <c r="F23" s="398">
        <v>12696</v>
      </c>
      <c r="G23" s="398">
        <v>14600</v>
      </c>
      <c r="H23" s="398">
        <v>16060</v>
      </c>
      <c r="I23" s="398">
        <v>17666</v>
      </c>
      <c r="J23" s="398">
        <v>19433</v>
      </c>
      <c r="K23" s="398">
        <v>20405</v>
      </c>
      <c r="L23" s="398">
        <v>21425</v>
      </c>
      <c r="M23" s="398">
        <v>22496</v>
      </c>
      <c r="N23" s="398">
        <v>23621</v>
      </c>
      <c r="O23" s="398">
        <v>24093</v>
      </c>
      <c r="P23" s="398">
        <v>24575</v>
      </c>
      <c r="Q23" s="398">
        <v>25067</v>
      </c>
      <c r="R23" s="398">
        <v>25568</v>
      </c>
      <c r="S23" s="398">
        <v>26079</v>
      </c>
      <c r="T23" s="398">
        <v>26340</v>
      </c>
      <c r="U23" s="398">
        <v>26603</v>
      </c>
      <c r="V23" s="398">
        <v>26869</v>
      </c>
      <c r="W23" s="398">
        <v>27138</v>
      </c>
      <c r="X23" s="398">
        <v>27409</v>
      </c>
    </row>
    <row r="24" spans="1:24" x14ac:dyDescent="0.3">
      <c r="A24" s="324" t="s">
        <v>760</v>
      </c>
      <c r="B24" s="30"/>
      <c r="C24" s="30"/>
      <c r="D24" s="30"/>
      <c r="E24" s="130">
        <v>2.5000000000000001E-2</v>
      </c>
      <c r="F24" s="130">
        <v>2.5000000000000001E-2</v>
      </c>
      <c r="G24" s="130">
        <v>2.4E-2</v>
      </c>
      <c r="H24" s="130">
        <v>2.4E-2</v>
      </c>
      <c r="I24" s="130">
        <v>2.3E-2</v>
      </c>
      <c r="J24" s="130">
        <v>2.3E-2</v>
      </c>
      <c r="K24" s="130">
        <v>2.1999999999999999E-2</v>
      </c>
      <c r="L24" s="130">
        <v>2.1999999999999999E-2</v>
      </c>
      <c r="M24" s="130">
        <v>2.1000000000000001E-2</v>
      </c>
      <c r="N24" s="130">
        <v>2.1000000000000001E-2</v>
      </c>
      <c r="O24" s="130">
        <v>0.02</v>
      </c>
      <c r="P24" s="130">
        <v>0.02</v>
      </c>
      <c r="Q24" s="130">
        <v>1.9E-2</v>
      </c>
      <c r="R24" s="130">
        <v>1.9E-2</v>
      </c>
      <c r="S24" s="130">
        <v>1.7999999999999999E-2</v>
      </c>
      <c r="T24" s="130">
        <v>1.7999999999999999E-2</v>
      </c>
      <c r="U24" s="130">
        <v>1.7000000000000001E-2</v>
      </c>
      <c r="V24" s="130">
        <v>1.7000000000000001E-2</v>
      </c>
      <c r="W24" s="130">
        <v>1.6E-2</v>
      </c>
      <c r="X24" s="130">
        <v>1.4999999999999999E-2</v>
      </c>
    </row>
    <row r="25" spans="1:24" x14ac:dyDescent="0.3">
      <c r="A25" t="s">
        <v>63</v>
      </c>
      <c r="B25" s="399">
        <f>WACC!C42</f>
        <v>0.03</v>
      </c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</row>
    <row r="26" spans="1:24" ht="15" thickBot="1" x14ac:dyDescent="0.35">
      <c r="A26" s="164" t="s">
        <v>38</v>
      </c>
      <c r="B26" s="396">
        <f>WACC!B42</f>
        <v>6.3906891025641024E-2</v>
      </c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</row>
    <row r="27" spans="1:24" ht="15" thickTop="1" x14ac:dyDescent="0.3"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</row>
    <row r="28" spans="1:24" x14ac:dyDescent="0.3">
      <c r="A28" s="92" t="s">
        <v>65</v>
      </c>
      <c r="B28" s="102"/>
      <c r="C28" s="102"/>
      <c r="D28" s="102"/>
      <c r="E28" s="102"/>
      <c r="F28" s="102"/>
      <c r="G28" s="102"/>
      <c r="H28" s="102"/>
      <c r="I28" s="102"/>
      <c r="J28" s="102"/>
      <c r="K28" s="102"/>
      <c r="L28" s="102"/>
      <c r="M28" s="102"/>
      <c r="N28" s="102"/>
      <c r="O28" s="102"/>
      <c r="P28" s="102"/>
      <c r="Q28" s="102"/>
      <c r="R28" s="102"/>
      <c r="S28" s="102"/>
      <c r="T28" s="102"/>
      <c r="U28" s="102"/>
      <c r="V28" s="102"/>
      <c r="W28" s="102"/>
      <c r="X28" s="102"/>
    </row>
    <row r="29" spans="1:24" x14ac:dyDescent="0.3">
      <c r="A29" t="s">
        <v>58</v>
      </c>
      <c r="B29" s="30"/>
      <c r="C29" s="30"/>
      <c r="D29" s="30"/>
      <c r="E29" s="16">
        <v>0.48</v>
      </c>
      <c r="F29" s="16">
        <v>0.4</v>
      </c>
      <c r="G29" s="16">
        <v>0.33</v>
      </c>
      <c r="H29" s="16">
        <v>0.27</v>
      </c>
      <c r="I29" s="16">
        <v>0.22</v>
      </c>
      <c r="J29" s="16">
        <v>0.18</v>
      </c>
      <c r="K29" s="16">
        <v>0.15</v>
      </c>
      <c r="L29" s="16">
        <v>0.13</v>
      </c>
      <c r="M29" s="16">
        <v>0.11</v>
      </c>
      <c r="N29" s="16">
        <v>0.09</v>
      </c>
      <c r="O29" s="16">
        <v>8.5000000000000006E-2</v>
      </c>
      <c r="P29" s="16">
        <v>0.08</v>
      </c>
      <c r="Q29" s="16">
        <v>7.4999999999999997E-2</v>
      </c>
      <c r="R29" s="16">
        <v>7.0000000000000007E-2</v>
      </c>
      <c r="S29" s="16">
        <v>6.5000000000000002E-2</v>
      </c>
      <c r="T29" s="16">
        <v>0.06</v>
      </c>
      <c r="U29" s="16">
        <v>5.5E-2</v>
      </c>
      <c r="V29" s="16">
        <v>0.05</v>
      </c>
      <c r="W29" s="16">
        <v>4.4999999999999998E-2</v>
      </c>
      <c r="X29" s="16">
        <v>0.04</v>
      </c>
    </row>
    <row r="30" spans="1:24" x14ac:dyDescent="0.3">
      <c r="A30" t="s">
        <v>59</v>
      </c>
      <c r="B30" s="30"/>
      <c r="C30" s="30"/>
      <c r="D30" s="30"/>
      <c r="E30" s="16">
        <v>0.65</v>
      </c>
      <c r="F30" s="16">
        <v>0.67</v>
      </c>
      <c r="G30" s="16">
        <v>0.69</v>
      </c>
      <c r="H30" s="16">
        <v>0.7</v>
      </c>
      <c r="I30" s="16">
        <v>0.71</v>
      </c>
      <c r="J30" s="16">
        <v>0.71</v>
      </c>
      <c r="K30" s="16">
        <v>0.72</v>
      </c>
      <c r="L30" s="16">
        <v>0.72</v>
      </c>
      <c r="M30" s="16">
        <v>0.72</v>
      </c>
      <c r="N30" s="16">
        <v>0.72</v>
      </c>
      <c r="O30" s="16">
        <v>0.72</v>
      </c>
      <c r="P30" s="16">
        <v>0.72</v>
      </c>
      <c r="Q30" s="16">
        <v>0.72499999999999998</v>
      </c>
      <c r="R30" s="16">
        <v>0.72499999999999998</v>
      </c>
      <c r="S30" s="16">
        <v>0.73</v>
      </c>
      <c r="T30" s="16">
        <v>0.73</v>
      </c>
      <c r="U30" s="16">
        <v>0.73</v>
      </c>
      <c r="V30" s="16">
        <v>0.73</v>
      </c>
      <c r="W30" s="16">
        <v>0.73</v>
      </c>
      <c r="X30" s="16">
        <v>0.73</v>
      </c>
    </row>
    <row r="31" spans="1:24" x14ac:dyDescent="0.3">
      <c r="A31" t="s">
        <v>61</v>
      </c>
      <c r="B31" s="30"/>
      <c r="C31" s="30"/>
      <c r="D31" s="30"/>
      <c r="E31" s="16">
        <v>0.3</v>
      </c>
      <c r="F31" s="16">
        <v>0.25</v>
      </c>
      <c r="G31" s="16">
        <v>0.21</v>
      </c>
      <c r="H31" s="16">
        <v>0.18</v>
      </c>
      <c r="I31" s="16">
        <v>0.15</v>
      </c>
      <c r="J31" s="16">
        <v>0.13</v>
      </c>
      <c r="K31" s="16">
        <v>0.11</v>
      </c>
      <c r="L31" s="16">
        <v>0.1</v>
      </c>
      <c r="M31" s="16">
        <v>0.09</v>
      </c>
      <c r="N31" s="16">
        <v>0.09</v>
      </c>
      <c r="O31" s="16">
        <v>8.5000000000000006E-2</v>
      </c>
      <c r="P31" s="16">
        <v>8.2000000000000003E-2</v>
      </c>
      <c r="Q31" s="16">
        <v>0.08</v>
      </c>
      <c r="R31" s="16">
        <v>7.8E-2</v>
      </c>
      <c r="S31" s="16">
        <v>7.4999999999999997E-2</v>
      </c>
      <c r="T31" s="16">
        <v>7.1999999999999995E-2</v>
      </c>
      <c r="U31" s="16">
        <v>7.0000000000000007E-2</v>
      </c>
      <c r="V31" s="16">
        <v>7.0000000000000007E-2</v>
      </c>
      <c r="W31" s="16">
        <v>7.0000000000000007E-2</v>
      </c>
      <c r="X31" s="16">
        <v>7.0000000000000007E-2</v>
      </c>
    </row>
    <row r="32" spans="1:24" x14ac:dyDescent="0.3">
      <c r="A32" t="s">
        <v>62</v>
      </c>
      <c r="B32" s="30"/>
      <c r="C32" s="30"/>
      <c r="D32" s="30"/>
      <c r="E32" s="16">
        <v>0.03</v>
      </c>
      <c r="F32" s="16">
        <v>0.03</v>
      </c>
      <c r="G32" s="16">
        <v>0.03</v>
      </c>
      <c r="H32" s="16">
        <v>0.03</v>
      </c>
      <c r="I32" s="16">
        <v>0.02</v>
      </c>
      <c r="J32" s="16">
        <v>0.02</v>
      </c>
      <c r="K32" s="16">
        <v>0.02</v>
      </c>
      <c r="L32" s="16">
        <v>0.02</v>
      </c>
      <c r="M32" s="16">
        <v>0.02</v>
      </c>
      <c r="N32" s="16">
        <v>0.02</v>
      </c>
      <c r="O32" s="16">
        <v>0.02</v>
      </c>
      <c r="P32" s="16">
        <v>0.02</v>
      </c>
      <c r="Q32" s="16">
        <v>1.4999999999999999E-2</v>
      </c>
      <c r="R32" s="16">
        <v>1.4999999999999999E-2</v>
      </c>
      <c r="S32" s="16">
        <v>1.4999999999999999E-2</v>
      </c>
      <c r="T32" s="16">
        <v>1.4999999999999999E-2</v>
      </c>
      <c r="U32" s="16">
        <v>1.4999999999999999E-2</v>
      </c>
      <c r="V32" s="16">
        <v>1.4999999999999999E-2</v>
      </c>
      <c r="W32" s="16">
        <v>1.4999999999999999E-2</v>
      </c>
      <c r="X32" s="16">
        <v>1.4999999999999999E-2</v>
      </c>
    </row>
    <row r="33" spans="1:24" x14ac:dyDescent="0.3">
      <c r="A33" s="324" t="s">
        <v>770</v>
      </c>
      <c r="B33" s="30"/>
      <c r="C33" s="30"/>
      <c r="D33" s="30"/>
      <c r="E33" s="398">
        <v>12100</v>
      </c>
      <c r="F33" s="398">
        <v>14400</v>
      </c>
      <c r="G33" s="398">
        <v>17000</v>
      </c>
      <c r="H33" s="398">
        <v>19200</v>
      </c>
      <c r="I33" s="398">
        <v>21600</v>
      </c>
      <c r="J33" s="398">
        <v>24200</v>
      </c>
      <c r="K33" s="398">
        <v>25800</v>
      </c>
      <c r="L33" s="398">
        <v>27500</v>
      </c>
      <c r="M33" s="398">
        <v>29100</v>
      </c>
      <c r="N33" s="398">
        <v>30800</v>
      </c>
      <c r="O33" s="398">
        <v>31600</v>
      </c>
      <c r="P33" s="398">
        <v>32400</v>
      </c>
      <c r="Q33" s="398">
        <v>33250</v>
      </c>
      <c r="R33" s="398">
        <v>34100</v>
      </c>
      <c r="S33" s="398">
        <v>35000</v>
      </c>
      <c r="T33" s="398">
        <v>35500</v>
      </c>
      <c r="U33" s="398">
        <v>36000</v>
      </c>
      <c r="V33" s="398">
        <v>36500</v>
      </c>
      <c r="W33" s="398">
        <v>37000</v>
      </c>
      <c r="X33" s="398">
        <v>37500</v>
      </c>
    </row>
    <row r="34" spans="1:24" x14ac:dyDescent="0.3">
      <c r="A34" s="324" t="s">
        <v>760</v>
      </c>
      <c r="B34" s="30"/>
      <c r="C34" s="30"/>
      <c r="D34" s="30"/>
      <c r="E34" s="130">
        <v>0.02</v>
      </c>
      <c r="F34" s="130">
        <v>0.02</v>
      </c>
      <c r="G34" s="130">
        <v>1.9E-2</v>
      </c>
      <c r="H34" s="130">
        <v>1.9E-2</v>
      </c>
      <c r="I34" s="130">
        <v>1.7999999999999999E-2</v>
      </c>
      <c r="J34" s="130">
        <v>1.7999999999999999E-2</v>
      </c>
      <c r="K34" s="130">
        <v>1.6999999999999998E-2</v>
      </c>
      <c r="L34" s="130">
        <v>1.6999999999999998E-2</v>
      </c>
      <c r="M34" s="130">
        <v>1.6E-2</v>
      </c>
      <c r="N34" s="130">
        <v>1.6E-2</v>
      </c>
      <c r="O34" s="130">
        <v>1.4999999999999999E-2</v>
      </c>
      <c r="P34" s="130">
        <v>1.4999999999999999E-2</v>
      </c>
      <c r="Q34" s="130">
        <v>1.3999999999999999E-2</v>
      </c>
      <c r="R34" s="130">
        <v>1.3999999999999999E-2</v>
      </c>
      <c r="S34" s="130">
        <v>1.2999999999999998E-2</v>
      </c>
      <c r="T34" s="130">
        <v>1.2999999999999998E-2</v>
      </c>
      <c r="U34" s="130">
        <v>1.2E-2</v>
      </c>
      <c r="V34" s="130">
        <v>1.2E-2</v>
      </c>
      <c r="W34" s="130">
        <v>1.0999999999999999E-2</v>
      </c>
      <c r="X34" s="130">
        <v>9.9999999999999985E-3</v>
      </c>
    </row>
    <row r="35" spans="1:24" x14ac:dyDescent="0.3">
      <c r="A35" t="s">
        <v>63</v>
      </c>
      <c r="B35" s="399">
        <f>WACC!E42</f>
        <v>3.5000000000000003E-2</v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</row>
    <row r="36" spans="1:24" ht="15" thickBot="1" x14ac:dyDescent="0.35">
      <c r="A36" s="164" t="s">
        <v>38</v>
      </c>
      <c r="B36" s="396">
        <f>WACC!B42</f>
        <v>6.3906891025641024E-2</v>
      </c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</row>
    <row r="37" spans="1:24" ht="15" thickTop="1" x14ac:dyDescent="0.3"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</row>
    <row r="38" spans="1:24" x14ac:dyDescent="0.3">
      <c r="A38" s="92" t="s">
        <v>66</v>
      </c>
      <c r="B38" s="102"/>
      <c r="C38" s="102"/>
      <c r="D38" s="102"/>
      <c r="E38" s="102"/>
      <c r="F38" s="102"/>
      <c r="G38" s="102"/>
      <c r="H38" s="102"/>
      <c r="I38" s="102"/>
      <c r="J38" s="102"/>
      <c r="K38" s="102"/>
      <c r="L38" s="102"/>
      <c r="M38" s="102"/>
      <c r="N38" s="102"/>
      <c r="O38" s="102"/>
      <c r="P38" s="102"/>
      <c r="Q38" s="102"/>
      <c r="R38" s="102"/>
      <c r="S38" s="102"/>
      <c r="T38" s="102"/>
      <c r="U38" s="102"/>
      <c r="V38" s="102"/>
      <c r="W38" s="102"/>
      <c r="X38" s="102"/>
    </row>
    <row r="39" spans="1:24" x14ac:dyDescent="0.3">
      <c r="A39" t="s">
        <v>58</v>
      </c>
      <c r="B39" s="15"/>
      <c r="C39" s="15"/>
      <c r="D39" s="15"/>
      <c r="E39" s="29">
        <f t="shared" ref="E39:X39" si="0">IF($B$5=1,E9,IF($B$5=2,E19,E29))</f>
        <v>0.38</v>
      </c>
      <c r="F39" s="29">
        <f t="shared" si="0"/>
        <v>0.32</v>
      </c>
      <c r="G39" s="29">
        <f t="shared" si="0"/>
        <v>0.26</v>
      </c>
      <c r="H39" s="29">
        <f t="shared" si="0"/>
        <v>0.22</v>
      </c>
      <c r="I39" s="29">
        <f t="shared" si="0"/>
        <v>0.18</v>
      </c>
      <c r="J39" s="29">
        <f t="shared" si="0"/>
        <v>0.15</v>
      </c>
      <c r="K39" s="29">
        <f t="shared" si="0"/>
        <v>0.13</v>
      </c>
      <c r="L39" s="29">
        <f t="shared" si="0"/>
        <v>0.11</v>
      </c>
      <c r="M39" s="29">
        <f t="shared" si="0"/>
        <v>0.09</v>
      </c>
      <c r="N39" s="29">
        <f t="shared" si="0"/>
        <v>0.08</v>
      </c>
      <c r="O39" s="29">
        <f t="shared" si="0"/>
        <v>7.0000000000000007E-2</v>
      </c>
      <c r="P39" s="29">
        <f t="shared" si="0"/>
        <v>6.5000000000000002E-2</v>
      </c>
      <c r="Q39" s="29">
        <f t="shared" si="0"/>
        <v>0.06</v>
      </c>
      <c r="R39" s="29">
        <f t="shared" si="0"/>
        <v>5.5E-2</v>
      </c>
      <c r="S39" s="29">
        <f t="shared" si="0"/>
        <v>0.05</v>
      </c>
      <c r="T39" s="29">
        <f t="shared" si="0"/>
        <v>4.4999999999999998E-2</v>
      </c>
      <c r="U39" s="29">
        <f t="shared" si="0"/>
        <v>0.04</v>
      </c>
      <c r="V39" s="29">
        <f t="shared" si="0"/>
        <v>3.7999999999999999E-2</v>
      </c>
      <c r="W39" s="29">
        <f t="shared" si="0"/>
        <v>3.5000000000000003E-2</v>
      </c>
      <c r="X39" s="29">
        <f t="shared" si="0"/>
        <v>0.03</v>
      </c>
    </row>
    <row r="40" spans="1:24" x14ac:dyDescent="0.3">
      <c r="A40" t="s">
        <v>59</v>
      </c>
      <c r="B40" s="15"/>
      <c r="C40" s="15"/>
      <c r="D40" s="15"/>
      <c r="E40" s="29">
        <f t="shared" ref="E40:X40" si="1">IF($B$5=1,E10,IF($B$5=2,E20,E30))</f>
        <v>0.63</v>
      </c>
      <c r="F40" s="29">
        <f t="shared" si="1"/>
        <v>0.65</v>
      </c>
      <c r="G40" s="29">
        <f t="shared" si="1"/>
        <v>0.66</v>
      </c>
      <c r="H40" s="29">
        <f t="shared" si="1"/>
        <v>0.67</v>
      </c>
      <c r="I40" s="29">
        <f t="shared" si="1"/>
        <v>0.68</v>
      </c>
      <c r="J40" s="29">
        <f t="shared" si="1"/>
        <v>0.68</v>
      </c>
      <c r="K40" s="29">
        <f t="shared" si="1"/>
        <v>0.68</v>
      </c>
      <c r="L40" s="29">
        <f t="shared" si="1"/>
        <v>0.68</v>
      </c>
      <c r="M40" s="29">
        <f t="shared" si="1"/>
        <v>0.68</v>
      </c>
      <c r="N40" s="29">
        <f t="shared" si="1"/>
        <v>0.68</v>
      </c>
      <c r="O40" s="29">
        <f t="shared" si="1"/>
        <v>0.68500000000000005</v>
      </c>
      <c r="P40" s="29">
        <f t="shared" si="1"/>
        <v>0.68500000000000005</v>
      </c>
      <c r="Q40" s="29">
        <f t="shared" si="1"/>
        <v>0.69</v>
      </c>
      <c r="R40" s="29">
        <f t="shared" si="1"/>
        <v>0.69</v>
      </c>
      <c r="S40" s="29">
        <f t="shared" si="1"/>
        <v>0.69</v>
      </c>
      <c r="T40" s="29">
        <f t="shared" si="1"/>
        <v>0.69499999999999995</v>
      </c>
      <c r="U40" s="29">
        <f t="shared" si="1"/>
        <v>0.69499999999999995</v>
      </c>
      <c r="V40" s="29">
        <f t="shared" si="1"/>
        <v>0.7</v>
      </c>
      <c r="W40" s="29">
        <f t="shared" si="1"/>
        <v>0.7</v>
      </c>
      <c r="X40" s="29">
        <f t="shared" si="1"/>
        <v>0.7</v>
      </c>
    </row>
    <row r="41" spans="1:24" x14ac:dyDescent="0.3">
      <c r="A41" t="s">
        <v>61</v>
      </c>
      <c r="B41" s="15"/>
      <c r="C41" s="15"/>
      <c r="D41" s="15"/>
      <c r="E41" s="29">
        <f t="shared" ref="E41:X41" si="2">IF($B$5=1,E11,IF($B$5=2,E21,E31))</f>
        <v>0.32</v>
      </c>
      <c r="F41" s="29">
        <f t="shared" si="2"/>
        <v>0.27</v>
      </c>
      <c r="G41" s="29">
        <f t="shared" si="2"/>
        <v>0.23</v>
      </c>
      <c r="H41" s="29">
        <f t="shared" si="2"/>
        <v>0.2</v>
      </c>
      <c r="I41" s="29">
        <f t="shared" si="2"/>
        <v>0.17</v>
      </c>
      <c r="J41" s="29">
        <f t="shared" si="2"/>
        <v>0.15</v>
      </c>
      <c r="K41" s="29">
        <f t="shared" si="2"/>
        <v>0.13</v>
      </c>
      <c r="L41" s="29">
        <f t="shared" si="2"/>
        <v>0.12</v>
      </c>
      <c r="M41" s="29">
        <f t="shared" si="2"/>
        <v>0.11</v>
      </c>
      <c r="N41" s="29">
        <f t="shared" si="2"/>
        <v>0.1</v>
      </c>
      <c r="O41" s="29">
        <f t="shared" si="2"/>
        <v>9.5000000000000001E-2</v>
      </c>
      <c r="P41" s="29">
        <f t="shared" si="2"/>
        <v>0.09</v>
      </c>
      <c r="Q41" s="29">
        <f t="shared" si="2"/>
        <v>8.7999999999999995E-2</v>
      </c>
      <c r="R41" s="29">
        <f t="shared" si="2"/>
        <v>8.5000000000000006E-2</v>
      </c>
      <c r="S41" s="29">
        <f t="shared" si="2"/>
        <v>8.2000000000000003E-2</v>
      </c>
      <c r="T41" s="29">
        <f t="shared" si="2"/>
        <v>0.08</v>
      </c>
      <c r="U41" s="29">
        <f t="shared" si="2"/>
        <v>0.08</v>
      </c>
      <c r="V41" s="29">
        <f t="shared" si="2"/>
        <v>0.08</v>
      </c>
      <c r="W41" s="29">
        <f t="shared" si="2"/>
        <v>0.08</v>
      </c>
      <c r="X41" s="29">
        <f t="shared" si="2"/>
        <v>0.08</v>
      </c>
    </row>
    <row r="42" spans="1:24" x14ac:dyDescent="0.3">
      <c r="A42" t="s">
        <v>62</v>
      </c>
      <c r="B42" s="15"/>
      <c r="C42" s="15"/>
      <c r="D42" s="15"/>
      <c r="E42" s="29">
        <f t="shared" ref="E42:X42" si="3">IF($B$5=1,E12,IF($B$5=2,E22,E32))</f>
        <v>0.04</v>
      </c>
      <c r="F42" s="29">
        <f t="shared" si="3"/>
        <v>0.04</v>
      </c>
      <c r="G42" s="29">
        <f t="shared" si="3"/>
        <v>0.04</v>
      </c>
      <c r="H42" s="29">
        <f t="shared" si="3"/>
        <v>0.04</v>
      </c>
      <c r="I42" s="29">
        <f t="shared" si="3"/>
        <v>0.03</v>
      </c>
      <c r="J42" s="29">
        <f t="shared" si="3"/>
        <v>0.03</v>
      </c>
      <c r="K42" s="29">
        <f t="shared" si="3"/>
        <v>0.03</v>
      </c>
      <c r="L42" s="29">
        <f t="shared" si="3"/>
        <v>0.03</v>
      </c>
      <c r="M42" s="29">
        <f t="shared" si="3"/>
        <v>0.02</v>
      </c>
      <c r="N42" s="29">
        <f t="shared" si="3"/>
        <v>0.02</v>
      </c>
      <c r="O42" s="29">
        <f t="shared" si="3"/>
        <v>0.02</v>
      </c>
      <c r="P42" s="29">
        <f t="shared" si="3"/>
        <v>0.02</v>
      </c>
      <c r="Q42" s="29">
        <f t="shared" si="3"/>
        <v>0.02</v>
      </c>
      <c r="R42" s="29">
        <f t="shared" si="3"/>
        <v>0.02</v>
      </c>
      <c r="S42" s="29">
        <f t="shared" si="3"/>
        <v>0.02</v>
      </c>
      <c r="T42" s="29">
        <f t="shared" si="3"/>
        <v>1.4999999999999999E-2</v>
      </c>
      <c r="U42" s="29">
        <f t="shared" si="3"/>
        <v>1.4999999999999999E-2</v>
      </c>
      <c r="V42" s="29">
        <f t="shared" si="3"/>
        <v>1.4999999999999999E-2</v>
      </c>
      <c r="W42" s="29">
        <f t="shared" si="3"/>
        <v>1.4999999999999999E-2</v>
      </c>
      <c r="X42" s="29">
        <f t="shared" si="3"/>
        <v>1.4999999999999999E-2</v>
      </c>
    </row>
    <row r="43" spans="1:24" x14ac:dyDescent="0.3">
      <c r="A43" s="324" t="s">
        <v>770</v>
      </c>
      <c r="B43" s="15"/>
      <c r="C43" s="15"/>
      <c r="D43" s="15"/>
      <c r="E43" s="400">
        <f t="shared" ref="E43:X43" si="4">IF($B$5=1,E13,IF($B$5=2,E23,E33))</f>
        <v>11040</v>
      </c>
      <c r="F43" s="400">
        <f t="shared" si="4"/>
        <v>12696</v>
      </c>
      <c r="G43" s="400">
        <f t="shared" si="4"/>
        <v>14600</v>
      </c>
      <c r="H43" s="400">
        <f t="shared" si="4"/>
        <v>16060</v>
      </c>
      <c r="I43" s="400">
        <f t="shared" si="4"/>
        <v>17666</v>
      </c>
      <c r="J43" s="400">
        <f t="shared" si="4"/>
        <v>19433</v>
      </c>
      <c r="K43" s="400">
        <f t="shared" si="4"/>
        <v>20405</v>
      </c>
      <c r="L43" s="400">
        <f t="shared" si="4"/>
        <v>21425</v>
      </c>
      <c r="M43" s="400">
        <f t="shared" si="4"/>
        <v>22496</v>
      </c>
      <c r="N43" s="400">
        <f t="shared" si="4"/>
        <v>23621</v>
      </c>
      <c r="O43" s="400">
        <f t="shared" si="4"/>
        <v>24093</v>
      </c>
      <c r="P43" s="400">
        <f t="shared" si="4"/>
        <v>24575</v>
      </c>
      <c r="Q43" s="400">
        <f t="shared" si="4"/>
        <v>25067</v>
      </c>
      <c r="R43" s="400">
        <f t="shared" si="4"/>
        <v>25568</v>
      </c>
      <c r="S43" s="400">
        <f t="shared" si="4"/>
        <v>26079</v>
      </c>
      <c r="T43" s="400">
        <f t="shared" si="4"/>
        <v>26340</v>
      </c>
      <c r="U43" s="400">
        <f t="shared" si="4"/>
        <v>26603</v>
      </c>
      <c r="V43" s="400">
        <f t="shared" si="4"/>
        <v>26869</v>
      </c>
      <c r="W43" s="400">
        <f t="shared" si="4"/>
        <v>27138</v>
      </c>
      <c r="X43" s="400">
        <f t="shared" si="4"/>
        <v>27409</v>
      </c>
    </row>
    <row r="44" spans="1:24" x14ac:dyDescent="0.3">
      <c r="A44" t="s">
        <v>760</v>
      </c>
      <c r="E44" s="29">
        <f t="shared" ref="E44:X44" si="5">IF($B$5=1,E14,IF($B$5=2,E24,E34))</f>
        <v>2.5000000000000001E-2</v>
      </c>
      <c r="F44" s="29">
        <f t="shared" si="5"/>
        <v>2.5000000000000001E-2</v>
      </c>
      <c r="G44" s="29">
        <f t="shared" si="5"/>
        <v>2.4E-2</v>
      </c>
      <c r="H44" s="29">
        <f t="shared" si="5"/>
        <v>2.4E-2</v>
      </c>
      <c r="I44" s="29">
        <f t="shared" si="5"/>
        <v>2.3E-2</v>
      </c>
      <c r="J44" s="29">
        <f t="shared" si="5"/>
        <v>2.3E-2</v>
      </c>
      <c r="K44" s="29">
        <f t="shared" si="5"/>
        <v>2.1999999999999999E-2</v>
      </c>
      <c r="L44" s="29">
        <f t="shared" si="5"/>
        <v>2.1999999999999999E-2</v>
      </c>
      <c r="M44" s="29">
        <f t="shared" si="5"/>
        <v>2.1000000000000001E-2</v>
      </c>
      <c r="N44" s="29">
        <f t="shared" si="5"/>
        <v>2.1000000000000001E-2</v>
      </c>
      <c r="O44" s="29">
        <f t="shared" si="5"/>
        <v>0.02</v>
      </c>
      <c r="P44" s="29">
        <f t="shared" si="5"/>
        <v>0.02</v>
      </c>
      <c r="Q44" s="29">
        <f t="shared" si="5"/>
        <v>1.9E-2</v>
      </c>
      <c r="R44" s="29">
        <f t="shared" si="5"/>
        <v>1.9E-2</v>
      </c>
      <c r="S44" s="29">
        <f t="shared" si="5"/>
        <v>1.7999999999999999E-2</v>
      </c>
      <c r="T44" s="29">
        <f t="shared" si="5"/>
        <v>1.7999999999999999E-2</v>
      </c>
      <c r="U44" s="29">
        <f t="shared" si="5"/>
        <v>1.7000000000000001E-2</v>
      </c>
      <c r="V44" s="29">
        <f t="shared" si="5"/>
        <v>1.7000000000000001E-2</v>
      </c>
      <c r="W44" s="29">
        <f t="shared" si="5"/>
        <v>1.6E-2</v>
      </c>
      <c r="X44" s="29">
        <f t="shared" si="5"/>
        <v>1.4999999999999999E-2</v>
      </c>
    </row>
    <row r="45" spans="1:24" x14ac:dyDescent="0.3">
      <c r="A45" t="s">
        <v>63</v>
      </c>
      <c r="B45" s="29">
        <f>IF($B$5=1,B15,IF($B$5=2,B25,B35))</f>
        <v>0.03</v>
      </c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</row>
    <row r="46" spans="1:24" x14ac:dyDescent="0.3">
      <c r="A46" t="s">
        <v>38</v>
      </c>
      <c r="B46" s="393">
        <f>IF($B$5=1,B16,IF($B$5=2,B26,B36))</f>
        <v>6.3906891025641024E-2</v>
      </c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</row>
    <row r="47" spans="1:24" ht="15" thickBot="1" x14ac:dyDescent="0.35">
      <c r="A47" s="164" t="s">
        <v>757</v>
      </c>
      <c r="B47" s="25">
        <f>AVERAGE(E77:X77)</f>
        <v>7.238309715564667E-2</v>
      </c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</row>
    <row r="48" spans="1:24" ht="15" thickTop="1" x14ac:dyDescent="0.3"/>
    <row r="49" spans="1:24" x14ac:dyDescent="0.3">
      <c r="A49" s="92" t="s">
        <v>857</v>
      </c>
      <c r="B49" s="102"/>
      <c r="C49" s="102"/>
      <c r="D49" s="102"/>
      <c r="E49" s="102"/>
      <c r="F49" s="102"/>
      <c r="G49" s="102"/>
      <c r="H49" s="102"/>
      <c r="I49" s="102"/>
      <c r="J49" s="102"/>
      <c r="K49" s="102"/>
      <c r="L49" s="102"/>
      <c r="M49" s="102"/>
      <c r="N49" s="102"/>
      <c r="O49" s="102"/>
      <c r="P49" s="102"/>
      <c r="Q49" s="102"/>
      <c r="R49" s="102"/>
      <c r="S49" s="102"/>
      <c r="T49" s="102"/>
      <c r="U49" s="102"/>
      <c r="V49" s="102"/>
      <c r="W49" s="102"/>
      <c r="X49" s="102"/>
    </row>
    <row r="50" spans="1:24" x14ac:dyDescent="0.3">
      <c r="A50" s="1" t="s">
        <v>67</v>
      </c>
      <c r="B50" s="537">
        <f>Actuals!B8</f>
        <v>3869</v>
      </c>
      <c r="C50" s="537">
        <f>Actuals!C8</f>
        <v>7599</v>
      </c>
      <c r="D50" s="537">
        <f>Actuals!D8</f>
        <v>11387</v>
      </c>
      <c r="E50" s="411">
        <f t="shared" ref="E50:X50" si="6">D50*(1+E39)</f>
        <v>15714.06</v>
      </c>
      <c r="F50" s="411">
        <f t="shared" si="6"/>
        <v>20742.5592</v>
      </c>
      <c r="G50" s="411">
        <f t="shared" si="6"/>
        <v>26135.624592</v>
      </c>
      <c r="H50" s="411">
        <f t="shared" si="6"/>
        <v>31885.462002239998</v>
      </c>
      <c r="I50" s="411">
        <f t="shared" si="6"/>
        <v>37624.845162643192</v>
      </c>
      <c r="J50" s="411">
        <f t="shared" si="6"/>
        <v>43268.571937039669</v>
      </c>
      <c r="K50" s="411">
        <f t="shared" si="6"/>
        <v>48893.486288854823</v>
      </c>
      <c r="L50" s="411">
        <f t="shared" si="6"/>
        <v>54271.769780628856</v>
      </c>
      <c r="M50" s="411">
        <f t="shared" si="6"/>
        <v>59156.22906088546</v>
      </c>
      <c r="N50" s="411">
        <f t="shared" si="6"/>
        <v>63888.727385756298</v>
      </c>
      <c r="O50" s="411">
        <f t="shared" si="6"/>
        <v>68360.938302759241</v>
      </c>
      <c r="P50" s="411">
        <f t="shared" si="6"/>
        <v>72804.399292438582</v>
      </c>
      <c r="Q50" s="411">
        <f t="shared" si="6"/>
        <v>77172.663249984907</v>
      </c>
      <c r="R50" s="411">
        <f t="shared" si="6"/>
        <v>81417.15972873407</v>
      </c>
      <c r="S50" s="411">
        <f t="shared" si="6"/>
        <v>85488.017715170776</v>
      </c>
      <c r="T50" s="411">
        <f t="shared" si="6"/>
        <v>89334.978512353453</v>
      </c>
      <c r="U50" s="411">
        <f t="shared" si="6"/>
        <v>92908.377652847601</v>
      </c>
      <c r="V50" s="411">
        <f t="shared" si="6"/>
        <v>96438.896003655813</v>
      </c>
      <c r="W50" s="411">
        <f t="shared" si="6"/>
        <v>99814.257363783763</v>
      </c>
      <c r="X50" s="411">
        <f t="shared" si="6"/>
        <v>102808.68508469728</v>
      </c>
    </row>
    <row r="51" spans="1:24" x14ac:dyDescent="0.3">
      <c r="A51" t="s">
        <v>68</v>
      </c>
      <c r="B51" s="33" t="s">
        <v>858</v>
      </c>
      <c r="C51" s="50">
        <f t="shared" ref="C51:N51" si="7">C50/B50-1</f>
        <v>0.96407340398035668</v>
      </c>
      <c r="D51" s="50">
        <f t="shared" si="7"/>
        <v>0.49848664297933931</v>
      </c>
      <c r="E51" s="29">
        <f t="shared" si="7"/>
        <v>0.37999999999999989</v>
      </c>
      <c r="F51" s="29">
        <f t="shared" si="7"/>
        <v>0.32000000000000006</v>
      </c>
      <c r="G51" s="29">
        <f t="shared" si="7"/>
        <v>0.26</v>
      </c>
      <c r="H51" s="29">
        <f t="shared" si="7"/>
        <v>0.21999999999999997</v>
      </c>
      <c r="I51" s="29">
        <f t="shared" si="7"/>
        <v>0.17999999999999994</v>
      </c>
      <c r="J51" s="29">
        <f t="shared" si="7"/>
        <v>0.14999999999999991</v>
      </c>
      <c r="K51" s="29">
        <f t="shared" si="7"/>
        <v>0.12999999999999989</v>
      </c>
      <c r="L51" s="29">
        <f t="shared" si="7"/>
        <v>0.1100000000000001</v>
      </c>
      <c r="M51" s="29">
        <f t="shared" si="7"/>
        <v>9.000000000000008E-2</v>
      </c>
      <c r="N51" s="29">
        <f t="shared" si="7"/>
        <v>8.0000000000000071E-2</v>
      </c>
      <c r="O51" s="29">
        <f t="shared" ref="O51:X51" si="8">O50/N50-1</f>
        <v>7.0000000000000062E-2</v>
      </c>
      <c r="P51" s="29">
        <f t="shared" si="8"/>
        <v>6.4999999999999947E-2</v>
      </c>
      <c r="Q51" s="29">
        <f t="shared" si="8"/>
        <v>6.0000000000000053E-2</v>
      </c>
      <c r="R51" s="29">
        <f t="shared" si="8"/>
        <v>5.4999999999999938E-2</v>
      </c>
      <c r="S51" s="29">
        <f t="shared" si="8"/>
        <v>5.0000000000000044E-2</v>
      </c>
      <c r="T51" s="29">
        <f t="shared" si="8"/>
        <v>4.4999999999999929E-2</v>
      </c>
      <c r="U51" s="29">
        <f t="shared" si="8"/>
        <v>4.0000000000000036E-2</v>
      </c>
      <c r="V51" s="29">
        <f t="shared" si="8"/>
        <v>3.8000000000000034E-2</v>
      </c>
      <c r="W51" s="29">
        <f t="shared" si="8"/>
        <v>3.499999999999992E-2</v>
      </c>
      <c r="X51" s="29">
        <f t="shared" si="8"/>
        <v>3.0000000000000027E-2</v>
      </c>
    </row>
    <row r="52" spans="1:24" x14ac:dyDescent="0.3">
      <c r="A52" s="1" t="s">
        <v>69</v>
      </c>
      <c r="B52" s="537">
        <f>Actuals!B11</f>
        <v>1602</v>
      </c>
      <c r="C52" s="537">
        <f>Actuals!C11</f>
        <v>3849</v>
      </c>
      <c r="D52" s="537">
        <f>Actuals!D11</f>
        <v>7168</v>
      </c>
      <c r="E52" s="411">
        <f t="shared" ref="E52:X52" si="9">E50*E40</f>
        <v>9899.8577999999998</v>
      </c>
      <c r="F52" s="411">
        <f t="shared" si="9"/>
        <v>13482.663480000001</v>
      </c>
      <c r="G52" s="411">
        <f t="shared" si="9"/>
        <v>17249.51223072</v>
      </c>
      <c r="H52" s="411">
        <f t="shared" si="9"/>
        <v>21363.2595415008</v>
      </c>
      <c r="I52" s="411">
        <f t="shared" si="9"/>
        <v>25584.894710597371</v>
      </c>
      <c r="J52" s="411">
        <f t="shared" si="9"/>
        <v>29422.628917186976</v>
      </c>
      <c r="K52" s="411">
        <f t="shared" si="9"/>
        <v>33247.570676421281</v>
      </c>
      <c r="L52" s="411">
        <f t="shared" si="9"/>
        <v>36904.803450827625</v>
      </c>
      <c r="M52" s="411">
        <f t="shared" si="9"/>
        <v>40226.235761402117</v>
      </c>
      <c r="N52" s="411">
        <f t="shared" si="9"/>
        <v>43444.334622314287</v>
      </c>
      <c r="O52" s="411">
        <f t="shared" si="9"/>
        <v>46827.242737390086</v>
      </c>
      <c r="P52" s="411">
        <f t="shared" si="9"/>
        <v>49871.013515320432</v>
      </c>
      <c r="Q52" s="411">
        <f t="shared" si="9"/>
        <v>53249.137642489579</v>
      </c>
      <c r="R52" s="411">
        <f t="shared" si="9"/>
        <v>56177.840212826501</v>
      </c>
      <c r="S52" s="411">
        <f t="shared" si="9"/>
        <v>58986.732223467829</v>
      </c>
      <c r="T52" s="411">
        <f t="shared" si="9"/>
        <v>62087.810066085643</v>
      </c>
      <c r="U52" s="411">
        <f t="shared" si="9"/>
        <v>64571.322468729079</v>
      </c>
      <c r="V52" s="411">
        <f t="shared" si="9"/>
        <v>67507.227202559065</v>
      </c>
      <c r="W52" s="411">
        <f t="shared" si="9"/>
        <v>69869.980154648627</v>
      </c>
      <c r="X52" s="411">
        <f t="shared" si="9"/>
        <v>71966.07955928809</v>
      </c>
    </row>
    <row r="53" spans="1:24" x14ac:dyDescent="0.3">
      <c r="A53" t="s">
        <v>70</v>
      </c>
      <c r="B53" s="50">
        <f t="shared" ref="B53:N53" si="10">B52/B50</f>
        <v>0.4140604807443784</v>
      </c>
      <c r="C53" s="50">
        <f t="shared" si="10"/>
        <v>0.50651401500197391</v>
      </c>
      <c r="D53" s="50">
        <f t="shared" si="10"/>
        <v>0.62948976903486431</v>
      </c>
      <c r="E53" s="29">
        <f t="shared" si="10"/>
        <v>0.63</v>
      </c>
      <c r="F53" s="29">
        <f t="shared" si="10"/>
        <v>0.65</v>
      </c>
      <c r="G53" s="29">
        <f t="shared" si="10"/>
        <v>0.66</v>
      </c>
      <c r="H53" s="29">
        <f t="shared" si="10"/>
        <v>0.67</v>
      </c>
      <c r="I53" s="29">
        <f t="shared" si="10"/>
        <v>0.68</v>
      </c>
      <c r="J53" s="29">
        <f t="shared" si="10"/>
        <v>0.68</v>
      </c>
      <c r="K53" s="29">
        <f t="shared" si="10"/>
        <v>0.68</v>
      </c>
      <c r="L53" s="29">
        <f t="shared" si="10"/>
        <v>0.68</v>
      </c>
      <c r="M53" s="29">
        <f t="shared" si="10"/>
        <v>0.68</v>
      </c>
      <c r="N53" s="29">
        <f t="shared" si="10"/>
        <v>0.68</v>
      </c>
      <c r="O53" s="29">
        <f t="shared" ref="O53:X53" si="11">O52/O50</f>
        <v>0.68500000000000005</v>
      </c>
      <c r="P53" s="29">
        <f t="shared" si="11"/>
        <v>0.68500000000000005</v>
      </c>
      <c r="Q53" s="29">
        <f t="shared" si="11"/>
        <v>0.69</v>
      </c>
      <c r="R53" s="29">
        <f t="shared" si="11"/>
        <v>0.69</v>
      </c>
      <c r="S53" s="29">
        <f t="shared" si="11"/>
        <v>0.69</v>
      </c>
      <c r="T53" s="29">
        <f t="shared" si="11"/>
        <v>0.69499999999999995</v>
      </c>
      <c r="U53" s="29">
        <f t="shared" si="11"/>
        <v>0.69499999999999995</v>
      </c>
      <c r="V53" s="29">
        <f t="shared" si="11"/>
        <v>0.7</v>
      </c>
      <c r="W53" s="29">
        <f t="shared" si="11"/>
        <v>0.7</v>
      </c>
      <c r="X53" s="29">
        <f t="shared" si="11"/>
        <v>0.7</v>
      </c>
    </row>
    <row r="54" spans="1:24" x14ac:dyDescent="0.3">
      <c r="A54" t="s">
        <v>719</v>
      </c>
      <c r="B54" s="49">
        <f>Actuals!B14</f>
        <v>884</v>
      </c>
      <c r="C54" s="49">
        <f>Actuals!C14</f>
        <v>1508</v>
      </c>
      <c r="D54" s="49">
        <f>Actuals!D14</f>
        <v>2376</v>
      </c>
      <c r="E54" s="78">
        <f>E171</f>
        <v>2760</v>
      </c>
      <c r="F54" s="78">
        <f t="shared" ref="F54:X54" si="12">F171</f>
        <v>3174</v>
      </c>
      <c r="G54" s="78">
        <f t="shared" si="12"/>
        <v>3650</v>
      </c>
      <c r="H54" s="78">
        <f t="shared" si="12"/>
        <v>4015</v>
      </c>
      <c r="I54" s="78">
        <f t="shared" si="12"/>
        <v>4416.5</v>
      </c>
      <c r="J54" s="78">
        <f t="shared" si="12"/>
        <v>4858.25</v>
      </c>
      <c r="K54" s="78">
        <f t="shared" si="12"/>
        <v>5101.25</v>
      </c>
      <c r="L54" s="78">
        <f t="shared" si="12"/>
        <v>5356.25</v>
      </c>
      <c r="M54" s="78">
        <f t="shared" si="12"/>
        <v>5624</v>
      </c>
      <c r="N54" s="78">
        <f t="shared" si="12"/>
        <v>5905.25</v>
      </c>
      <c r="O54" s="78">
        <f t="shared" si="12"/>
        <v>6023.25</v>
      </c>
      <c r="P54" s="78">
        <f t="shared" si="12"/>
        <v>6143.75</v>
      </c>
      <c r="Q54" s="78">
        <f t="shared" si="12"/>
        <v>6266.75</v>
      </c>
      <c r="R54" s="78">
        <f t="shared" si="12"/>
        <v>6392</v>
      </c>
      <c r="S54" s="78">
        <f t="shared" si="12"/>
        <v>6519.75</v>
      </c>
      <c r="T54" s="78">
        <f t="shared" si="12"/>
        <v>6585</v>
      </c>
      <c r="U54" s="78">
        <f t="shared" si="12"/>
        <v>6650.75</v>
      </c>
      <c r="V54" s="78">
        <f t="shared" si="12"/>
        <v>6717.25</v>
      </c>
      <c r="W54" s="78">
        <f t="shared" si="12"/>
        <v>6784.5</v>
      </c>
      <c r="X54" s="78">
        <f t="shared" si="12"/>
        <v>6852.25</v>
      </c>
    </row>
    <row r="55" spans="1:24" x14ac:dyDescent="0.3">
      <c r="A55" s="1" t="s">
        <v>72</v>
      </c>
      <c r="B55" s="538">
        <f t="shared" ref="B55:N55" si="13">B52-B54</f>
        <v>718</v>
      </c>
      <c r="C55" s="538">
        <f t="shared" si="13"/>
        <v>2341</v>
      </c>
      <c r="D55" s="538">
        <f t="shared" si="13"/>
        <v>4792</v>
      </c>
      <c r="E55" s="411">
        <f t="shared" si="13"/>
        <v>7139.8577999999998</v>
      </c>
      <c r="F55" s="539">
        <f>F52-F54</f>
        <v>10308.663480000001</v>
      </c>
      <c r="G55" s="539">
        <f t="shared" ref="G55:J55" si="14">G52-G54</f>
        <v>13599.51223072</v>
      </c>
      <c r="H55" s="539">
        <f t="shared" si="14"/>
        <v>17348.2595415008</v>
      </c>
      <c r="I55" s="539">
        <f t="shared" si="14"/>
        <v>21168.394710597371</v>
      </c>
      <c r="J55" s="539">
        <f t="shared" si="14"/>
        <v>24564.378917186976</v>
      </c>
      <c r="K55" s="411">
        <f t="shared" si="13"/>
        <v>28146.320676421281</v>
      </c>
      <c r="L55" s="411">
        <f t="shared" si="13"/>
        <v>31548.553450827625</v>
      </c>
      <c r="M55" s="411">
        <f t="shared" si="13"/>
        <v>34602.235761402117</v>
      </c>
      <c r="N55" s="411">
        <f t="shared" si="13"/>
        <v>37539.084622314287</v>
      </c>
      <c r="O55" s="411">
        <f t="shared" ref="O55:X55" si="15">O52-O54</f>
        <v>40803.992737390086</v>
      </c>
      <c r="P55" s="411">
        <f t="shared" si="15"/>
        <v>43727.263515320432</v>
      </c>
      <c r="Q55" s="411">
        <f t="shared" si="15"/>
        <v>46982.387642489579</v>
      </c>
      <c r="R55" s="411">
        <f t="shared" si="15"/>
        <v>49785.840212826501</v>
      </c>
      <c r="S55" s="411">
        <f t="shared" si="15"/>
        <v>52466.982223467829</v>
      </c>
      <c r="T55" s="411">
        <f t="shared" si="15"/>
        <v>55502.810066085643</v>
      </c>
      <c r="U55" s="411">
        <f t="shared" si="15"/>
        <v>57920.572468729079</v>
      </c>
      <c r="V55" s="411">
        <f t="shared" si="15"/>
        <v>60789.977202559065</v>
      </c>
      <c r="W55" s="411">
        <f t="shared" si="15"/>
        <v>63085.480154648627</v>
      </c>
      <c r="X55" s="411">
        <f t="shared" si="15"/>
        <v>65113.82955928809</v>
      </c>
    </row>
    <row r="56" spans="1:24" x14ac:dyDescent="0.3">
      <c r="A56" t="s">
        <v>73</v>
      </c>
      <c r="B56" s="50">
        <f t="shared" ref="B56:N56" si="16">B55/B50</f>
        <v>0.18557766864822953</v>
      </c>
      <c r="C56" s="50">
        <f t="shared" si="16"/>
        <v>0.30806685090143437</v>
      </c>
      <c r="D56" s="50">
        <f t="shared" si="16"/>
        <v>0.42083077193290597</v>
      </c>
      <c r="E56" s="29">
        <f t="shared" si="16"/>
        <v>0.4543611135505401</v>
      </c>
      <c r="F56" s="8">
        <f>F55/F50</f>
        <v>0.49698127316903118</v>
      </c>
      <c r="G56" s="8">
        <f t="shared" ref="G56:J56" si="17">G55/G50</f>
        <v>0.52034387710339058</v>
      </c>
      <c r="H56" s="8">
        <f t="shared" si="17"/>
        <v>0.54408054492928659</v>
      </c>
      <c r="I56" s="8">
        <f t="shared" si="17"/>
        <v>0.56261745713747047</v>
      </c>
      <c r="J56" s="8">
        <f t="shared" si="17"/>
        <v>0.5677187348112791</v>
      </c>
      <c r="K56" s="29">
        <f t="shared" si="16"/>
        <v>0.57566606132639764</v>
      </c>
      <c r="L56" s="29">
        <f t="shared" si="16"/>
        <v>0.58130688529873964</v>
      </c>
      <c r="M56" s="29">
        <f t="shared" si="16"/>
        <v>0.58492970750026008</v>
      </c>
      <c r="N56" s="29">
        <f t="shared" si="16"/>
        <v>0.58756976634791225</v>
      </c>
      <c r="O56" s="29">
        <f t="shared" ref="O56:X56" si="18">O55/O50</f>
        <v>0.59689047210961299</v>
      </c>
      <c r="P56" s="29">
        <f t="shared" si="18"/>
        <v>0.60061292916761855</v>
      </c>
      <c r="Q56" s="29">
        <f t="shared" si="18"/>
        <v>0.60879572719033725</v>
      </c>
      <c r="R56" s="29">
        <f t="shared" si="18"/>
        <v>0.61149075181083579</v>
      </c>
      <c r="S56" s="29">
        <f t="shared" si="18"/>
        <v>0.61373492596678836</v>
      </c>
      <c r="T56" s="29">
        <f t="shared" si="18"/>
        <v>0.62128867091416584</v>
      </c>
      <c r="U56" s="29">
        <f t="shared" si="18"/>
        <v>0.62341603558238257</v>
      </c>
      <c r="V56" s="29">
        <f t="shared" si="18"/>
        <v>0.63034708734383105</v>
      </c>
      <c r="W56" s="29">
        <f t="shared" si="18"/>
        <v>0.63202874840541901</v>
      </c>
      <c r="X56" s="29">
        <f t="shared" si="18"/>
        <v>0.6333495025799144</v>
      </c>
    </row>
    <row r="57" spans="1:24" x14ac:dyDescent="0.3">
      <c r="A57" t="s">
        <v>100</v>
      </c>
      <c r="B57" s="49">
        <f>MAX(B55,0)*WACC!$B$9</f>
        <v>150.78</v>
      </c>
      <c r="C57" s="49">
        <f>MAX(C55,0)*WACC!$B$9</f>
        <v>491.60999999999996</v>
      </c>
      <c r="D57" s="49">
        <f>MAX(D55,0)*WACC!$B$9</f>
        <v>1006.3199999999999</v>
      </c>
      <c r="E57" s="46">
        <f>MAX(E55,0)*WACC!$B$9</f>
        <v>1499.370138</v>
      </c>
      <c r="F57" s="402">
        <f>MAX(F55,0)*WACC!$B$9</f>
        <v>2164.8193308</v>
      </c>
      <c r="G57" s="402">
        <f>MAX(G55,0)*WACC!$B$9</f>
        <v>2855.8975684511997</v>
      </c>
      <c r="H57" s="402">
        <f>MAX(H55,0)*WACC!$B$9</f>
        <v>3643.1345037151677</v>
      </c>
      <c r="I57" s="402">
        <f>MAX(I55,0)*WACC!$B$9</f>
        <v>4445.3628892254474</v>
      </c>
      <c r="J57" s="402">
        <f>MAX(J55,0)*WACC!$B$9</f>
        <v>5158.5195726092643</v>
      </c>
      <c r="K57" s="46">
        <f>MAX(K55,0)*WACC!$B$9</f>
        <v>5910.7273420484689</v>
      </c>
      <c r="L57" s="46">
        <f>MAX(L55,0)*WACC!$B$9</f>
        <v>6625.1962246738012</v>
      </c>
      <c r="M57" s="46">
        <f>MAX(M55,0)*WACC!$B$9</f>
        <v>7266.4695098944439</v>
      </c>
      <c r="N57" s="46">
        <f>MAX(N55,0)*WACC!$B$9</f>
        <v>7883.207770686</v>
      </c>
      <c r="O57" s="46">
        <f>MAX(O55,0)*WACC!$B$9</f>
        <v>8568.8384748519184</v>
      </c>
      <c r="P57" s="46">
        <f>MAX(P55,0)*WACC!$B$9</f>
        <v>9182.7253382172912</v>
      </c>
      <c r="Q57" s="46">
        <f>MAX(Q55,0)*WACC!$B$9</f>
        <v>9866.3014049228113</v>
      </c>
      <c r="R57" s="46">
        <f>MAX(R55,0)*WACC!$B$9</f>
        <v>10455.026444693565</v>
      </c>
      <c r="S57" s="46">
        <f>MAX(S55,0)*WACC!$B$9</f>
        <v>11018.066266928243</v>
      </c>
      <c r="T57" s="46">
        <f>MAX(T55,0)*WACC!$B$9</f>
        <v>11655.590113877985</v>
      </c>
      <c r="U57" s="46">
        <f>MAX(U55,0)*WACC!$B$9</f>
        <v>12163.320218433106</v>
      </c>
      <c r="V57" s="46">
        <f>MAX(V55,0)*WACC!$B$9</f>
        <v>12765.895212537403</v>
      </c>
      <c r="W57" s="46">
        <f>MAX(W55,0)*WACC!$B$9</f>
        <v>13247.950832476212</v>
      </c>
      <c r="X57" s="46">
        <f>MAX(X55,0)*WACC!$B$9</f>
        <v>13673.904207450498</v>
      </c>
    </row>
    <row r="58" spans="1:24" x14ac:dyDescent="0.3">
      <c r="A58" t="s">
        <v>74</v>
      </c>
      <c r="B58" s="51">
        <f t="shared" ref="B58:N58" si="19">B55-B57</f>
        <v>567.22</v>
      </c>
      <c r="C58" s="51">
        <f t="shared" si="19"/>
        <v>1849.39</v>
      </c>
      <c r="D58" s="51">
        <f t="shared" si="19"/>
        <v>3785.6800000000003</v>
      </c>
      <c r="E58" s="78">
        <f t="shared" si="19"/>
        <v>5640.4876619999995</v>
      </c>
      <c r="F58" s="401">
        <f>F55-F57</f>
        <v>8143.8441492000011</v>
      </c>
      <c r="G58" s="401">
        <f t="shared" ref="G58:J58" si="20">G55-G57</f>
        <v>10743.614662268799</v>
      </c>
      <c r="H58" s="401">
        <f t="shared" si="20"/>
        <v>13705.125037785632</v>
      </c>
      <c r="I58" s="401">
        <f t="shared" si="20"/>
        <v>16723.031821371922</v>
      </c>
      <c r="J58" s="401">
        <f t="shared" si="20"/>
        <v>19405.859344577711</v>
      </c>
      <c r="K58" s="78">
        <f t="shared" si="19"/>
        <v>22235.59333437281</v>
      </c>
      <c r="L58" s="78">
        <f t="shared" si="19"/>
        <v>24923.357226153825</v>
      </c>
      <c r="M58" s="78">
        <f t="shared" si="19"/>
        <v>27335.766251507674</v>
      </c>
      <c r="N58" s="78">
        <f t="shared" si="19"/>
        <v>29655.876851628287</v>
      </c>
      <c r="O58" s="78">
        <f t="shared" ref="O58:X58" si="21">O55-O57</f>
        <v>32235.15426253817</v>
      </c>
      <c r="P58" s="78">
        <f t="shared" si="21"/>
        <v>34544.538177103139</v>
      </c>
      <c r="Q58" s="78">
        <f t="shared" si="21"/>
        <v>37116.086237566764</v>
      </c>
      <c r="R58" s="78">
        <f t="shared" si="21"/>
        <v>39330.813768132939</v>
      </c>
      <c r="S58" s="78">
        <f t="shared" si="21"/>
        <v>41448.915956539582</v>
      </c>
      <c r="T58" s="78">
        <f t="shared" si="21"/>
        <v>43847.219952207655</v>
      </c>
      <c r="U58" s="78">
        <f t="shared" si="21"/>
        <v>45757.252250295976</v>
      </c>
      <c r="V58" s="78">
        <f t="shared" si="21"/>
        <v>48024.081990021659</v>
      </c>
      <c r="W58" s="78">
        <f t="shared" si="21"/>
        <v>49837.529322172413</v>
      </c>
      <c r="X58" s="78">
        <f t="shared" si="21"/>
        <v>51439.925351837592</v>
      </c>
    </row>
    <row r="59" spans="1:24" x14ac:dyDescent="0.3">
      <c r="A59" t="s">
        <v>75</v>
      </c>
      <c r="B59" s="51">
        <f t="shared" ref="B59:N59" si="22">B54</f>
        <v>884</v>
      </c>
      <c r="C59" s="51">
        <f t="shared" si="22"/>
        <v>1508</v>
      </c>
      <c r="D59" s="51">
        <f t="shared" si="22"/>
        <v>2376</v>
      </c>
      <c r="E59" s="78">
        <f t="shared" si="22"/>
        <v>2760</v>
      </c>
      <c r="F59" s="401">
        <f>F54</f>
        <v>3174</v>
      </c>
      <c r="G59" s="401">
        <f t="shared" ref="G59:J59" si="23">G54</f>
        <v>3650</v>
      </c>
      <c r="H59" s="401">
        <f t="shared" si="23"/>
        <v>4015</v>
      </c>
      <c r="I59" s="401">
        <f t="shared" si="23"/>
        <v>4416.5</v>
      </c>
      <c r="J59" s="401">
        <f t="shared" si="23"/>
        <v>4858.25</v>
      </c>
      <c r="K59" s="78">
        <f t="shared" si="22"/>
        <v>5101.25</v>
      </c>
      <c r="L59" s="78">
        <f t="shared" si="22"/>
        <v>5356.25</v>
      </c>
      <c r="M59" s="78">
        <f t="shared" si="22"/>
        <v>5624</v>
      </c>
      <c r="N59" s="78">
        <f t="shared" si="22"/>
        <v>5905.25</v>
      </c>
      <c r="O59" s="78">
        <f t="shared" ref="O59:X59" si="24">O54</f>
        <v>6023.25</v>
      </c>
      <c r="P59" s="78">
        <f t="shared" si="24"/>
        <v>6143.75</v>
      </c>
      <c r="Q59" s="78">
        <f t="shared" si="24"/>
        <v>6266.75</v>
      </c>
      <c r="R59" s="78">
        <f t="shared" si="24"/>
        <v>6392</v>
      </c>
      <c r="S59" s="78">
        <f t="shared" si="24"/>
        <v>6519.75</v>
      </c>
      <c r="T59" s="78">
        <f t="shared" si="24"/>
        <v>6585</v>
      </c>
      <c r="U59" s="78">
        <f t="shared" si="24"/>
        <v>6650.75</v>
      </c>
      <c r="V59" s="78">
        <f t="shared" si="24"/>
        <v>6717.25</v>
      </c>
      <c r="W59" s="78">
        <f t="shared" si="24"/>
        <v>6784.5</v>
      </c>
      <c r="X59" s="78">
        <f t="shared" si="24"/>
        <v>6852.25</v>
      </c>
    </row>
    <row r="60" spans="1:24" x14ac:dyDescent="0.3">
      <c r="A60" t="s">
        <v>76</v>
      </c>
      <c r="B60" s="49">
        <f>Actuals!B18</f>
        <v>-2455</v>
      </c>
      <c r="C60" s="49">
        <f>Actuals!C18</f>
        <v>-3498</v>
      </c>
      <c r="D60" s="49">
        <f>Actuals!D18</f>
        <v>-4178</v>
      </c>
      <c r="E60" s="78">
        <f t="shared" ref="E60:X60" si="25">-E50*E41</f>
        <v>-5028.4992000000002</v>
      </c>
      <c r="F60" s="401">
        <f t="shared" si="25"/>
        <v>-5600.490984</v>
      </c>
      <c r="G60" s="401">
        <f t="shared" si="25"/>
        <v>-6011.1936561600005</v>
      </c>
      <c r="H60" s="401">
        <f t="shared" si="25"/>
        <v>-6377.0924004480003</v>
      </c>
      <c r="I60" s="401">
        <f t="shared" si="25"/>
        <v>-6396.2236776493428</v>
      </c>
      <c r="J60" s="401">
        <f t="shared" si="25"/>
        <v>-6490.2857905559504</v>
      </c>
      <c r="K60" s="78">
        <f t="shared" si="25"/>
        <v>-6356.1532175511275</v>
      </c>
      <c r="L60" s="78">
        <f t="shared" si="25"/>
        <v>-6512.6123736754625</v>
      </c>
      <c r="M60" s="78">
        <f t="shared" si="25"/>
        <v>-6507.1851966974009</v>
      </c>
      <c r="N60" s="78">
        <f t="shared" si="25"/>
        <v>-6388.8727385756301</v>
      </c>
      <c r="O60" s="78">
        <f t="shared" si="25"/>
        <v>-6494.2891387621275</v>
      </c>
      <c r="P60" s="78">
        <f t="shared" si="25"/>
        <v>-6552.3959363194717</v>
      </c>
      <c r="Q60" s="78">
        <f t="shared" si="25"/>
        <v>-6791.1943659986719</v>
      </c>
      <c r="R60" s="78">
        <f t="shared" si="25"/>
        <v>-6920.4585769423966</v>
      </c>
      <c r="S60" s="78">
        <f t="shared" si="25"/>
        <v>-7010.0174526440042</v>
      </c>
      <c r="T60" s="78">
        <f t="shared" si="25"/>
        <v>-7146.798280988276</v>
      </c>
      <c r="U60" s="78">
        <f t="shared" si="25"/>
        <v>-7432.6702122278084</v>
      </c>
      <c r="V60" s="78">
        <f t="shared" si="25"/>
        <v>-7715.1116802924653</v>
      </c>
      <c r="W60" s="78">
        <f t="shared" si="25"/>
        <v>-7985.1405891027016</v>
      </c>
      <c r="X60" s="78">
        <f t="shared" si="25"/>
        <v>-8224.6948067757821</v>
      </c>
    </row>
    <row r="61" spans="1:24" x14ac:dyDescent="0.3">
      <c r="A61" t="s">
        <v>77</v>
      </c>
      <c r="B61" s="31">
        <v>0</v>
      </c>
      <c r="C61" s="31">
        <v>0</v>
      </c>
      <c r="D61" s="31">
        <v>0</v>
      </c>
      <c r="E61" s="78">
        <f t="shared" ref="E61:X61" si="26">-(E50-D50)*E42</f>
        <v>-173.08239999999998</v>
      </c>
      <c r="F61" s="401">
        <f t="shared" si="26"/>
        <v>-201.13996800000001</v>
      </c>
      <c r="G61" s="401">
        <f t="shared" si="26"/>
        <v>-215.72261568000002</v>
      </c>
      <c r="H61" s="401">
        <f t="shared" si="26"/>
        <v>-229.99349640959991</v>
      </c>
      <c r="I61" s="401">
        <f t="shared" si="26"/>
        <v>-172.18149481209585</v>
      </c>
      <c r="J61" s="401">
        <f t="shared" si="26"/>
        <v>-169.31180323189429</v>
      </c>
      <c r="K61" s="78">
        <f t="shared" si="26"/>
        <v>-168.74743055445461</v>
      </c>
      <c r="L61" s="78">
        <f t="shared" si="26"/>
        <v>-161.34850475322099</v>
      </c>
      <c r="M61" s="78">
        <f t="shared" si="26"/>
        <v>-97.689185605132081</v>
      </c>
      <c r="N61" s="78">
        <f t="shared" si="26"/>
        <v>-94.649966497416756</v>
      </c>
      <c r="O61" s="78">
        <f t="shared" si="26"/>
        <v>-89.444218340058868</v>
      </c>
      <c r="P61" s="78">
        <f t="shared" si="26"/>
        <v>-88.869219793586822</v>
      </c>
      <c r="Q61" s="78">
        <f t="shared" si="26"/>
        <v>-87.365279150926511</v>
      </c>
      <c r="R61" s="78">
        <f t="shared" si="26"/>
        <v>-84.889929574983256</v>
      </c>
      <c r="S61" s="78">
        <f t="shared" si="26"/>
        <v>-81.41715972873412</v>
      </c>
      <c r="T61" s="78">
        <f t="shared" si="26"/>
        <v>-57.704411957740156</v>
      </c>
      <c r="U61" s="78">
        <f t="shared" si="26"/>
        <v>-53.600987107412216</v>
      </c>
      <c r="V61" s="78">
        <f t="shared" si="26"/>
        <v>-52.957775262123178</v>
      </c>
      <c r="W61" s="78">
        <f t="shared" si="26"/>
        <v>-50.630420401919253</v>
      </c>
      <c r="X61" s="78">
        <f t="shared" si="26"/>
        <v>-44.91641581370277</v>
      </c>
    </row>
    <row r="62" spans="1:24" x14ac:dyDescent="0.3">
      <c r="A62" s="95" t="s">
        <v>723</v>
      </c>
      <c r="B62" s="481">
        <f t="shared" ref="B62:D62" si="27">B58+B59+B60+B61</f>
        <v>-1003.78</v>
      </c>
      <c r="C62" s="481">
        <f t="shared" si="27"/>
        <v>-140.60999999999967</v>
      </c>
      <c r="D62" s="481">
        <f t="shared" si="27"/>
        <v>1983.6800000000003</v>
      </c>
      <c r="E62" s="481">
        <f>E58+E59+E60+E61-E50*E44*(1-WACC!$B$9)</f>
        <v>2888.5533769999997</v>
      </c>
      <c r="F62" s="481">
        <f>F58+F59+F60+F61-F50*F44*(1-WACC!$B$9)</f>
        <v>5106.5476530000014</v>
      </c>
      <c r="G62" s="481">
        <f>G58+G59+G60+G61-G50*G44*(1-WACC!$B$9)</f>
        <v>7671.1669481644785</v>
      </c>
      <c r="H62" s="481">
        <f>H58+H59+H60+H61-H50*H44*(1-WACC!$B$9)</f>
        <v>10508.490781365565</v>
      </c>
      <c r="I62" s="481">
        <f>I58+I59+I60+I61-I50*I44*(1-WACC!$B$9)</f>
        <v>13887.483212305257</v>
      </c>
      <c r="J62" s="481">
        <f>J58+J59+J60+J61-J50*J44*(1-WACC!$B$9)</f>
        <v>16818.321798693858</v>
      </c>
      <c r="K62" s="481">
        <f>K58+K59+K60+K61-K50*K44*(1-WACC!$B$9)</f>
        <v>19962.173894566935</v>
      </c>
      <c r="L62" s="481">
        <f>L58+L59+L60+L61-L50*L44*(1-WACC!$B$9)</f>
        <v>22662.402988937811</v>
      </c>
      <c r="M62" s="481">
        <f>M58+M59+M60+M61-M50*M44*(1-WACC!$B$9)</f>
        <v>25373.490029085053</v>
      </c>
      <c r="N62" s="481">
        <f>N58+N59+N60+N61-N50*N44*(1-WACC!$B$9)</f>
        <v>28017.690159225545</v>
      </c>
      <c r="O62" s="481">
        <f>O58+O59+O60+O61-O50*O44*(1-WACC!$B$9)</f>
        <v>30594.568080252386</v>
      </c>
      <c r="P62" s="481">
        <f>P58+P59+P60+P61-P50*P44*(1-WACC!$B$9)</f>
        <v>32896.713512169546</v>
      </c>
      <c r="Q62" s="481">
        <f>Q58+Q59+Q60+Q61-Q50*Q44*(1-WACC!$B$9)</f>
        <v>35345.914917034897</v>
      </c>
      <c r="R62" s="481">
        <f>R58+R59+R60+R61-R50*R44*(1-WACC!$B$9)</f>
        <v>37495.393694087266</v>
      </c>
      <c r="S62" s="481">
        <f>S58+S59+S60+S61-S50*S44*(1-WACC!$B$9)</f>
        <v>39661.591732257119</v>
      </c>
      <c r="T62" s="481">
        <f>T58+T59+T60+T61-T50*T44*(1-WACC!$B$9)</f>
        <v>41957.373864815978</v>
      </c>
      <c r="U62" s="481">
        <f>U58+U59+U60+U61-U50*U44*(1-WACC!$B$9)</f>
        <v>43673.97153908301</v>
      </c>
      <c r="V62" s="481">
        <f>V58+V59+V60+V61-V50*V44*(1-WACC!$B$9)</f>
        <v>45678.088161137966</v>
      </c>
      <c r="W62" s="481">
        <f>W58+W59+W60+W61-W50*W44*(1-WACC!$B$9)</f>
        <v>47324.606099589568</v>
      </c>
      <c r="X62" s="481">
        <f>X58+X59+X60+X61-X50*X44*(1-WACC!$B$9)</f>
        <v>48804.281210994435</v>
      </c>
    </row>
    <row r="63" spans="1:24" ht="15" thickBot="1" x14ac:dyDescent="0.35">
      <c r="A63" s="164" t="s">
        <v>78</v>
      </c>
      <c r="B63" s="403">
        <f t="shared" ref="B63:N63" si="28">B62/B50</f>
        <v>-0.25944171620573792</v>
      </c>
      <c r="C63" s="403">
        <f t="shared" si="28"/>
        <v>-1.8503750493485942E-2</v>
      </c>
      <c r="D63" s="403">
        <f t="shared" si="28"/>
        <v>0.17420567313603233</v>
      </c>
      <c r="E63" s="230">
        <f t="shared" si="28"/>
        <v>0.18381967340076338</v>
      </c>
      <c r="F63" s="404">
        <f>F62/F50</f>
        <v>0.24618696293753384</v>
      </c>
      <c r="G63" s="404">
        <f t="shared" ref="G63:J63" si="29">G62/G50</f>
        <v>0.29351381755431966</v>
      </c>
      <c r="H63" s="404">
        <f t="shared" si="29"/>
        <v>0.32956997081075157</v>
      </c>
      <c r="I63" s="404">
        <f t="shared" si="29"/>
        <v>0.36910406281469049</v>
      </c>
      <c r="J63" s="404">
        <f t="shared" si="29"/>
        <v>0.38869602221137062</v>
      </c>
      <c r="K63" s="230">
        <f t="shared" si="28"/>
        <v>0.40827879968782826</v>
      </c>
      <c r="L63" s="230">
        <f t="shared" si="28"/>
        <v>0.41757258111429174</v>
      </c>
      <c r="M63" s="230">
        <f t="shared" si="28"/>
        <v>0.42892338527815649</v>
      </c>
      <c r="N63" s="230">
        <f t="shared" si="28"/>
        <v>0.43853886758545707</v>
      </c>
      <c r="O63" s="230">
        <f t="shared" ref="O63:X63" si="30">O62/O50</f>
        <v>0.44754458964202809</v>
      </c>
      <c r="P63" s="230">
        <f t="shared" si="30"/>
        <v>0.45185062759780475</v>
      </c>
      <c r="Q63" s="230">
        <f t="shared" si="30"/>
        <v>0.45801082181833097</v>
      </c>
      <c r="R63" s="230">
        <f t="shared" si="30"/>
        <v>0.46053428809128849</v>
      </c>
      <c r="S63" s="230">
        <f t="shared" si="30"/>
        <v>0.46394328459459339</v>
      </c>
      <c r="T63" s="230">
        <f t="shared" si="30"/>
        <v>0.46966344609367106</v>
      </c>
      <c r="U63" s="230">
        <f t="shared" si="30"/>
        <v>0.47007570945077654</v>
      </c>
      <c r="V63" s="230">
        <f t="shared" si="30"/>
        <v>0.47364797870981845</v>
      </c>
      <c r="W63" s="230">
        <f t="shared" si="30"/>
        <v>0.47412671645805032</v>
      </c>
      <c r="X63" s="230">
        <f t="shared" si="30"/>
        <v>0.47470971125433431</v>
      </c>
    </row>
    <row r="64" spans="1:24" ht="15" thickTop="1" x14ac:dyDescent="0.3">
      <c r="B64" s="32"/>
      <c r="C64" s="32"/>
      <c r="D64" s="32"/>
      <c r="E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2"/>
      <c r="X64" s="32"/>
    </row>
    <row r="65" spans="1:24" x14ac:dyDescent="0.3">
      <c r="A65" s="92" t="s">
        <v>859</v>
      </c>
      <c r="B65" s="103"/>
      <c r="C65" s="103"/>
      <c r="D65" s="103"/>
      <c r="E65" s="103"/>
      <c r="F65" s="92"/>
      <c r="G65" s="92"/>
      <c r="H65" s="92"/>
      <c r="I65" s="92"/>
      <c r="J65" s="92"/>
      <c r="K65" s="103"/>
      <c r="L65" s="103"/>
      <c r="M65" s="103"/>
      <c r="N65" s="103"/>
      <c r="O65" s="103"/>
      <c r="P65" s="103"/>
      <c r="Q65" s="103"/>
      <c r="R65" s="103"/>
      <c r="S65" s="103"/>
      <c r="T65" s="103"/>
      <c r="U65" s="103"/>
      <c r="V65" s="103"/>
      <c r="W65" s="103"/>
      <c r="X65" s="103"/>
    </row>
    <row r="66" spans="1:24" s="82" customFormat="1" ht="3" customHeight="1" x14ac:dyDescent="0.3">
      <c r="A66" s="143"/>
      <c r="B66" s="123"/>
      <c r="C66" s="123"/>
      <c r="D66" s="123"/>
      <c r="E66" s="123"/>
      <c r="F66" s="143"/>
      <c r="G66" s="143"/>
      <c r="H66" s="143"/>
      <c r="I66" s="143"/>
      <c r="J66" s="143"/>
      <c r="K66" s="123"/>
      <c r="L66" s="123"/>
      <c r="M66" s="123"/>
      <c r="N66" s="123"/>
      <c r="O66" s="123"/>
      <c r="P66" s="123"/>
      <c r="Q66" s="123"/>
      <c r="R66" s="123"/>
      <c r="S66" s="123"/>
      <c r="T66" s="123"/>
      <c r="U66" s="123"/>
      <c r="V66" s="123"/>
      <c r="W66" s="123"/>
      <c r="X66" s="123"/>
    </row>
    <row r="67" spans="1:24" x14ac:dyDescent="0.3">
      <c r="A67" s="93" t="s">
        <v>642</v>
      </c>
      <c r="B67" s="94"/>
      <c r="C67" s="94"/>
      <c r="D67" s="94"/>
      <c r="E67" s="94"/>
      <c r="F67" s="93"/>
      <c r="G67" s="93"/>
      <c r="H67" s="93"/>
      <c r="I67" s="93"/>
      <c r="J67" s="93"/>
      <c r="K67" s="94"/>
      <c r="L67" s="94"/>
      <c r="M67" s="94"/>
      <c r="N67" s="94"/>
      <c r="O67" s="94"/>
      <c r="P67" s="94"/>
      <c r="Q67" s="94"/>
      <c r="R67" s="94"/>
      <c r="S67" s="94"/>
      <c r="T67" s="94"/>
      <c r="U67" s="94"/>
      <c r="V67" s="94"/>
      <c r="W67" s="94"/>
      <c r="X67" s="94"/>
    </row>
    <row r="68" spans="1:24" x14ac:dyDescent="0.3">
      <c r="A68" s="129" t="s">
        <v>643</v>
      </c>
      <c r="B68" s="405">
        <f>'Conn Comps'!X20</f>
        <v>0.51874806217016978</v>
      </c>
      <c r="C68" s="145" t="s">
        <v>653</v>
      </c>
      <c r="D68" s="22"/>
      <c r="E68" s="127">
        <f>$B$68</f>
        <v>0.51874806217016978</v>
      </c>
      <c r="F68" s="127">
        <f t="shared" ref="F68:X68" si="31">$B$68</f>
        <v>0.51874806217016978</v>
      </c>
      <c r="G68" s="127">
        <f t="shared" si="31"/>
        <v>0.51874806217016978</v>
      </c>
      <c r="H68" s="127">
        <f t="shared" si="31"/>
        <v>0.51874806217016978</v>
      </c>
      <c r="I68" s="127">
        <f t="shared" si="31"/>
        <v>0.51874806217016978</v>
      </c>
      <c r="J68" s="127">
        <f t="shared" si="31"/>
        <v>0.51874806217016978</v>
      </c>
      <c r="K68" s="127">
        <f t="shared" si="31"/>
        <v>0.51874806217016978</v>
      </c>
      <c r="L68" s="127">
        <f t="shared" si="31"/>
        <v>0.51874806217016978</v>
      </c>
      <c r="M68" s="127">
        <f t="shared" si="31"/>
        <v>0.51874806217016978</v>
      </c>
      <c r="N68" s="127">
        <f t="shared" si="31"/>
        <v>0.51874806217016978</v>
      </c>
      <c r="O68" s="127">
        <f t="shared" si="31"/>
        <v>0.51874806217016978</v>
      </c>
      <c r="P68" s="127">
        <f t="shared" si="31"/>
        <v>0.51874806217016978</v>
      </c>
      <c r="Q68" s="127">
        <f t="shared" si="31"/>
        <v>0.51874806217016978</v>
      </c>
      <c r="R68" s="127">
        <f t="shared" si="31"/>
        <v>0.51874806217016978</v>
      </c>
      <c r="S68" s="127">
        <f t="shared" si="31"/>
        <v>0.51874806217016978</v>
      </c>
      <c r="T68" s="127">
        <f t="shared" si="31"/>
        <v>0.51874806217016978</v>
      </c>
      <c r="U68" s="127">
        <f t="shared" si="31"/>
        <v>0.51874806217016978</v>
      </c>
      <c r="V68" s="127">
        <f t="shared" si="31"/>
        <v>0.51874806217016978</v>
      </c>
      <c r="W68" s="127">
        <f t="shared" si="31"/>
        <v>0.51874806217016978</v>
      </c>
      <c r="X68" s="127">
        <f t="shared" si="31"/>
        <v>0.51874806217016978</v>
      </c>
    </row>
    <row r="69" spans="1:24" x14ac:dyDescent="0.3">
      <c r="A69" s="129" t="s">
        <v>644</v>
      </c>
      <c r="B69" s="405">
        <f>'Conn Comps'!X37</f>
        <v>0.48368267682318961</v>
      </c>
      <c r="C69" s="145" t="s">
        <v>654</v>
      </c>
      <c r="D69" s="22"/>
      <c r="E69" s="127">
        <f>$B$69</f>
        <v>0.48368267682318961</v>
      </c>
      <c r="F69" s="127">
        <f t="shared" ref="F69:X69" si="32">$B$69</f>
        <v>0.48368267682318961</v>
      </c>
      <c r="G69" s="127">
        <f t="shared" si="32"/>
        <v>0.48368267682318961</v>
      </c>
      <c r="H69" s="127">
        <f t="shared" si="32"/>
        <v>0.48368267682318961</v>
      </c>
      <c r="I69" s="127">
        <f t="shared" si="32"/>
        <v>0.48368267682318961</v>
      </c>
      <c r="J69" s="127">
        <f t="shared" si="32"/>
        <v>0.48368267682318961</v>
      </c>
      <c r="K69" s="127">
        <f t="shared" si="32"/>
        <v>0.48368267682318961</v>
      </c>
      <c r="L69" s="127">
        <f t="shared" si="32"/>
        <v>0.48368267682318961</v>
      </c>
      <c r="M69" s="127">
        <f t="shared" si="32"/>
        <v>0.48368267682318961</v>
      </c>
      <c r="N69" s="127">
        <f t="shared" si="32"/>
        <v>0.48368267682318961</v>
      </c>
      <c r="O69" s="127">
        <f t="shared" si="32"/>
        <v>0.48368267682318961</v>
      </c>
      <c r="P69" s="127">
        <f t="shared" si="32"/>
        <v>0.48368267682318961</v>
      </c>
      <c r="Q69" s="127">
        <f t="shared" si="32"/>
        <v>0.48368267682318961</v>
      </c>
      <c r="R69" s="127">
        <f t="shared" si="32"/>
        <v>0.48368267682318961</v>
      </c>
      <c r="S69" s="127">
        <f t="shared" si="32"/>
        <v>0.48368267682318961</v>
      </c>
      <c r="T69" s="127">
        <f t="shared" si="32"/>
        <v>0.48368267682318961</v>
      </c>
      <c r="U69" s="127">
        <f t="shared" si="32"/>
        <v>0.48368267682318961</v>
      </c>
      <c r="V69" s="127">
        <f t="shared" si="32"/>
        <v>0.48368267682318961</v>
      </c>
      <c r="W69" s="127">
        <f t="shared" si="32"/>
        <v>0.48368267682318961</v>
      </c>
      <c r="X69" s="127">
        <f t="shared" si="32"/>
        <v>0.48368267682318961</v>
      </c>
    </row>
    <row r="70" spans="1:24" x14ac:dyDescent="0.3">
      <c r="A70" s="129" t="s">
        <v>645</v>
      </c>
      <c r="B70" s="405">
        <f>'Conn Comps'!X54</f>
        <v>0.20833333333333331</v>
      </c>
      <c r="C70" s="145" t="s">
        <v>655</v>
      </c>
      <c r="D70" s="22"/>
      <c r="E70" s="127">
        <f>$B$70</f>
        <v>0.20833333333333331</v>
      </c>
      <c r="F70" s="127">
        <f t="shared" ref="F70:X70" si="33">$B$70</f>
        <v>0.20833333333333331</v>
      </c>
      <c r="G70" s="127">
        <f t="shared" si="33"/>
        <v>0.20833333333333331</v>
      </c>
      <c r="H70" s="127">
        <f t="shared" si="33"/>
        <v>0.20833333333333331</v>
      </c>
      <c r="I70" s="127">
        <f t="shared" si="33"/>
        <v>0.20833333333333331</v>
      </c>
      <c r="J70" s="127">
        <f t="shared" si="33"/>
        <v>0.20833333333333331</v>
      </c>
      <c r="K70" s="127">
        <f t="shared" si="33"/>
        <v>0.20833333333333331</v>
      </c>
      <c r="L70" s="127">
        <f t="shared" si="33"/>
        <v>0.20833333333333331</v>
      </c>
      <c r="M70" s="127">
        <f t="shared" si="33"/>
        <v>0.20833333333333331</v>
      </c>
      <c r="N70" s="127">
        <f t="shared" si="33"/>
        <v>0.20833333333333331</v>
      </c>
      <c r="O70" s="127">
        <f t="shared" si="33"/>
        <v>0.20833333333333331</v>
      </c>
      <c r="P70" s="127">
        <f t="shared" si="33"/>
        <v>0.20833333333333331</v>
      </c>
      <c r="Q70" s="127">
        <f t="shared" si="33"/>
        <v>0.20833333333333331</v>
      </c>
      <c r="R70" s="127">
        <f t="shared" si="33"/>
        <v>0.20833333333333331</v>
      </c>
      <c r="S70" s="127">
        <f t="shared" si="33"/>
        <v>0.20833333333333331</v>
      </c>
      <c r="T70" s="127">
        <f t="shared" si="33"/>
        <v>0.20833333333333331</v>
      </c>
      <c r="U70" s="127">
        <f t="shared" si="33"/>
        <v>0.20833333333333331</v>
      </c>
      <c r="V70" s="127">
        <f t="shared" si="33"/>
        <v>0.20833333333333331</v>
      </c>
      <c r="W70" s="127">
        <f t="shared" si="33"/>
        <v>0.20833333333333331</v>
      </c>
      <c r="X70" s="127">
        <f t="shared" si="33"/>
        <v>0.20833333333333331</v>
      </c>
    </row>
    <row r="71" spans="1:24" x14ac:dyDescent="0.3">
      <c r="A71" s="129" t="s">
        <v>646</v>
      </c>
      <c r="B71" s="128">
        <f>IF($B$5=1,0.6,IF($B$5=2,0.5,0.4))</f>
        <v>0.5</v>
      </c>
      <c r="C71" s="128">
        <f>IF($B$5=1,0.15,IF($B$5=2,0.1,0.05))</f>
        <v>0.1</v>
      </c>
      <c r="D71" s="58" t="s">
        <v>678</v>
      </c>
      <c r="E71" s="128">
        <f>$B71+($C71-$B71)*(COLUMN()-5)/19</f>
        <v>0.5</v>
      </c>
      <c r="F71" s="128">
        <f t="shared" ref="F71:X72" si="34">$B71+($C71-$B71)*(COLUMN()-5)/19</f>
        <v>0.47894736842105262</v>
      </c>
      <c r="G71" s="128">
        <f t="shared" si="34"/>
        <v>0.45789473684210524</v>
      </c>
      <c r="H71" s="128">
        <f t="shared" si="34"/>
        <v>0.43684210526315786</v>
      </c>
      <c r="I71" s="128">
        <f t="shared" si="34"/>
        <v>0.41578947368421054</v>
      </c>
      <c r="J71" s="128">
        <f t="shared" si="34"/>
        <v>0.39473684210526316</v>
      </c>
      <c r="K71" s="128">
        <f t="shared" si="34"/>
        <v>0.37368421052631573</v>
      </c>
      <c r="L71" s="128">
        <f t="shared" si="34"/>
        <v>0.35263157894736841</v>
      </c>
      <c r="M71" s="128">
        <f t="shared" si="34"/>
        <v>0.33157894736842108</v>
      </c>
      <c r="N71" s="128">
        <f t="shared" si="34"/>
        <v>0.31052631578947365</v>
      </c>
      <c r="O71" s="128">
        <f t="shared" si="34"/>
        <v>0.28947368421052633</v>
      </c>
      <c r="P71" s="128">
        <f t="shared" si="34"/>
        <v>0.26842105263157889</v>
      </c>
      <c r="Q71" s="128">
        <f t="shared" si="34"/>
        <v>0.24736842105263152</v>
      </c>
      <c r="R71" s="128">
        <f t="shared" si="34"/>
        <v>0.22631578947368419</v>
      </c>
      <c r="S71" s="128">
        <f t="shared" si="34"/>
        <v>0.20526315789473681</v>
      </c>
      <c r="T71" s="128">
        <f t="shared" si="34"/>
        <v>0.18421052631578949</v>
      </c>
      <c r="U71" s="128">
        <f t="shared" si="34"/>
        <v>0.16315789473684211</v>
      </c>
      <c r="V71" s="128">
        <f t="shared" si="34"/>
        <v>0.14210526315789468</v>
      </c>
      <c r="W71" s="128">
        <f t="shared" si="34"/>
        <v>0.12105263157894736</v>
      </c>
      <c r="X71" s="128">
        <f t="shared" si="34"/>
        <v>9.9999999999999978E-2</v>
      </c>
    </row>
    <row r="72" spans="1:24" x14ac:dyDescent="0.3">
      <c r="A72" s="129" t="s">
        <v>647</v>
      </c>
      <c r="B72" s="128">
        <f>IF($B$5=1,0.25,IF($B$5=2,0.3,0.35))</f>
        <v>0.3</v>
      </c>
      <c r="C72" s="128">
        <f>IF($B$5=1,0.25,IF($B$5=2,0.2,0.15))</f>
        <v>0.2</v>
      </c>
      <c r="D72" s="58" t="s">
        <v>679</v>
      </c>
      <c r="E72" s="128">
        <f>$B72+($C72-$B72)*(COLUMN()-5)/19</f>
        <v>0.3</v>
      </c>
      <c r="F72" s="128">
        <f t="shared" si="34"/>
        <v>0.29473684210526313</v>
      </c>
      <c r="G72" s="128">
        <f t="shared" si="34"/>
        <v>0.28947368421052633</v>
      </c>
      <c r="H72" s="128">
        <f t="shared" si="34"/>
        <v>0.28421052631578947</v>
      </c>
      <c r="I72" s="128">
        <f t="shared" si="34"/>
        <v>0.27894736842105261</v>
      </c>
      <c r="J72" s="128">
        <f t="shared" si="34"/>
        <v>0.27368421052631581</v>
      </c>
      <c r="K72" s="128">
        <f t="shared" si="34"/>
        <v>0.26842105263157895</v>
      </c>
      <c r="L72" s="128">
        <f t="shared" si="34"/>
        <v>0.26315789473684209</v>
      </c>
      <c r="M72" s="128">
        <f t="shared" si="34"/>
        <v>0.25789473684210529</v>
      </c>
      <c r="N72" s="128">
        <f t="shared" si="34"/>
        <v>0.25263157894736843</v>
      </c>
      <c r="O72" s="128">
        <f t="shared" si="34"/>
        <v>0.24736842105263157</v>
      </c>
      <c r="P72" s="128">
        <f t="shared" si="34"/>
        <v>0.24210526315789474</v>
      </c>
      <c r="Q72" s="128">
        <f t="shared" si="34"/>
        <v>0.23684210526315791</v>
      </c>
      <c r="R72" s="128">
        <f t="shared" si="34"/>
        <v>0.23157894736842105</v>
      </c>
      <c r="S72" s="128">
        <f t="shared" si="34"/>
        <v>0.22631578947368422</v>
      </c>
      <c r="T72" s="128">
        <f t="shared" si="34"/>
        <v>0.22105263157894739</v>
      </c>
      <c r="U72" s="128">
        <f t="shared" si="34"/>
        <v>0.21578947368421053</v>
      </c>
      <c r="V72" s="128">
        <f t="shared" si="34"/>
        <v>0.21052631578947367</v>
      </c>
      <c r="W72" s="128">
        <f t="shared" si="34"/>
        <v>0.20526315789473687</v>
      </c>
      <c r="X72" s="128">
        <f t="shared" si="34"/>
        <v>0.2</v>
      </c>
    </row>
    <row r="73" spans="1:24" x14ac:dyDescent="0.3">
      <c r="A73" s="129" t="s">
        <v>648</v>
      </c>
      <c r="B73" s="128">
        <f>1-B71-B72</f>
        <v>0.2</v>
      </c>
      <c r="C73" s="128">
        <f>1-C71-C72</f>
        <v>0.7</v>
      </c>
      <c r="D73" s="22"/>
      <c r="E73" s="128">
        <f>1-E71-E72</f>
        <v>0.2</v>
      </c>
      <c r="F73" s="128">
        <f t="shared" ref="F73:X73" si="35">1-F71-F72</f>
        <v>0.2263157894736843</v>
      </c>
      <c r="G73" s="128">
        <f t="shared" si="35"/>
        <v>0.25263157894736843</v>
      </c>
      <c r="H73" s="128">
        <f t="shared" si="35"/>
        <v>0.27894736842105261</v>
      </c>
      <c r="I73" s="128">
        <f t="shared" si="35"/>
        <v>0.3052631578947369</v>
      </c>
      <c r="J73" s="128">
        <f t="shared" si="35"/>
        <v>0.33157894736842103</v>
      </c>
      <c r="K73" s="128">
        <f t="shared" si="35"/>
        <v>0.35789473684210532</v>
      </c>
      <c r="L73" s="128">
        <f t="shared" si="35"/>
        <v>0.3842105263157895</v>
      </c>
      <c r="M73" s="128">
        <f t="shared" si="35"/>
        <v>0.41052631578947363</v>
      </c>
      <c r="N73" s="128">
        <f t="shared" si="35"/>
        <v>0.43684210526315792</v>
      </c>
      <c r="O73" s="128">
        <f t="shared" si="35"/>
        <v>0.4631578947368421</v>
      </c>
      <c r="P73" s="128">
        <f t="shared" si="35"/>
        <v>0.48947368421052639</v>
      </c>
      <c r="Q73" s="128">
        <f t="shared" si="35"/>
        <v>0.51578947368421058</v>
      </c>
      <c r="R73" s="128">
        <f t="shared" si="35"/>
        <v>0.54210526315789465</v>
      </c>
      <c r="S73" s="128">
        <f t="shared" si="35"/>
        <v>0.56842105263157894</v>
      </c>
      <c r="T73" s="128">
        <f t="shared" si="35"/>
        <v>0.59473684210526312</v>
      </c>
      <c r="U73" s="128">
        <f t="shared" si="35"/>
        <v>0.6210526315789473</v>
      </c>
      <c r="V73" s="128">
        <f t="shared" si="35"/>
        <v>0.64736842105263159</v>
      </c>
      <c r="W73" s="128">
        <f t="shared" si="35"/>
        <v>0.67368421052631589</v>
      </c>
      <c r="X73" s="128">
        <f t="shared" si="35"/>
        <v>0.7</v>
      </c>
    </row>
    <row r="74" spans="1:24" x14ac:dyDescent="0.3">
      <c r="A74" s="85" t="s">
        <v>649</v>
      </c>
      <c r="B74" s="22"/>
      <c r="C74" s="22"/>
      <c r="D74" s="22"/>
      <c r="E74" s="131">
        <f>E68*E71+E69*E72+E70*E73</f>
        <v>0.44614550079870846</v>
      </c>
      <c r="F74" s="131">
        <f t="shared" ref="F74:X74" si="36">F68*F71+F69*F72+F70*F73</f>
        <v>0.43816124680482837</v>
      </c>
      <c r="G74" s="131">
        <f t="shared" si="36"/>
        <v>0.4301769928109484</v>
      </c>
      <c r="H74" s="131">
        <f t="shared" si="36"/>
        <v>0.42219273881706837</v>
      </c>
      <c r="I74" s="131">
        <f t="shared" si="36"/>
        <v>0.41420848482318839</v>
      </c>
      <c r="J74" s="131">
        <f t="shared" si="36"/>
        <v>0.40622423082930836</v>
      </c>
      <c r="K74" s="131">
        <f t="shared" si="36"/>
        <v>0.39823997683542833</v>
      </c>
      <c r="L74" s="131">
        <f t="shared" si="36"/>
        <v>0.39025572284154836</v>
      </c>
      <c r="M74" s="131">
        <f t="shared" si="36"/>
        <v>0.38227146884766838</v>
      </c>
      <c r="N74" s="131">
        <f t="shared" si="36"/>
        <v>0.3742872148537883</v>
      </c>
      <c r="O74" s="131">
        <f t="shared" si="36"/>
        <v>0.36630296085990832</v>
      </c>
      <c r="P74" s="131">
        <f t="shared" si="36"/>
        <v>0.35831870686602829</v>
      </c>
      <c r="Q74" s="131">
        <f t="shared" si="36"/>
        <v>0.35033445287214826</v>
      </c>
      <c r="R74" s="131">
        <f t="shared" si="36"/>
        <v>0.34235019887826829</v>
      </c>
      <c r="S74" s="131">
        <f t="shared" si="36"/>
        <v>0.33436594488438826</v>
      </c>
      <c r="T74" s="131">
        <f t="shared" si="36"/>
        <v>0.32638169089050828</v>
      </c>
      <c r="U74" s="131">
        <f t="shared" si="36"/>
        <v>0.31839743689662825</v>
      </c>
      <c r="V74" s="131">
        <f t="shared" si="36"/>
        <v>0.31041318290274822</v>
      </c>
      <c r="W74" s="131">
        <f t="shared" si="36"/>
        <v>0.3024289289088683</v>
      </c>
      <c r="X74" s="131">
        <f t="shared" si="36"/>
        <v>0.29444467491498821</v>
      </c>
    </row>
    <row r="75" spans="1:24" x14ac:dyDescent="0.3">
      <c r="A75" s="129" t="s">
        <v>650</v>
      </c>
      <c r="B75" s="22"/>
      <c r="C75" s="22"/>
      <c r="D75" s="22"/>
      <c r="E75" s="405">
        <f>E74*(1+(1-WACC!$B$9)*WACC!$B$22)</f>
        <v>0.55188198448800241</v>
      </c>
      <c r="F75" s="405">
        <f>F74*(1+(1-WACC!$B$9)*WACC!$B$22)</f>
        <v>0.54200546229757274</v>
      </c>
      <c r="G75" s="405">
        <f>G74*(1+(1-WACC!$B$9)*WACC!$B$22)</f>
        <v>0.53212894010714318</v>
      </c>
      <c r="H75" s="405">
        <f>H74*(1+(1-WACC!$B$9)*WACC!$B$22)</f>
        <v>0.52225241791671362</v>
      </c>
      <c r="I75" s="405">
        <f>I74*(1+(1-WACC!$B$9)*WACC!$B$22)</f>
        <v>0.51237589572628406</v>
      </c>
      <c r="J75" s="405">
        <f>J74*(1+(1-WACC!$B$9)*WACC!$B$22)</f>
        <v>0.5024993735358545</v>
      </c>
      <c r="K75" s="405">
        <f>K74*(1+(1-WACC!$B$9)*WACC!$B$22)</f>
        <v>0.49262285134542488</v>
      </c>
      <c r="L75" s="405">
        <f>L74*(1+(1-WACC!$B$9)*WACC!$B$22)</f>
        <v>0.48274632915499538</v>
      </c>
      <c r="M75" s="405">
        <f>M74*(1+(1-WACC!$B$9)*WACC!$B$22)</f>
        <v>0.47286980696456582</v>
      </c>
      <c r="N75" s="405">
        <f>N74*(1+(1-WACC!$B$9)*WACC!$B$22)</f>
        <v>0.46299328477413615</v>
      </c>
      <c r="O75" s="405">
        <f>O74*(1+(1-WACC!$B$9)*WACC!$B$22)</f>
        <v>0.45311676258370664</v>
      </c>
      <c r="P75" s="405">
        <f>P74*(1+(1-WACC!$B$9)*WACC!$B$22)</f>
        <v>0.44324024039327703</v>
      </c>
      <c r="Q75" s="405">
        <f>Q74*(1+(1-WACC!$B$9)*WACC!$B$22)</f>
        <v>0.43336371820284741</v>
      </c>
      <c r="R75" s="405">
        <f>R74*(1+(1-WACC!$B$9)*WACC!$B$22)</f>
        <v>0.42348719601241791</v>
      </c>
      <c r="S75" s="405">
        <f>S74*(1+(1-WACC!$B$9)*WACC!$B$22)</f>
        <v>0.4136106738219883</v>
      </c>
      <c r="T75" s="405">
        <f>T74*(1+(1-WACC!$B$9)*WACC!$B$22)</f>
        <v>0.40373415163155879</v>
      </c>
      <c r="U75" s="405">
        <f>U74*(1+(1-WACC!$B$9)*WACC!$B$22)</f>
        <v>0.39385762944112918</v>
      </c>
      <c r="V75" s="405">
        <f>V74*(1+(1-WACC!$B$9)*WACC!$B$22)</f>
        <v>0.38398110725069956</v>
      </c>
      <c r="W75" s="405">
        <f>W74*(1+(1-WACC!$B$9)*WACC!$B$22)</f>
        <v>0.37410458506027011</v>
      </c>
      <c r="X75" s="405">
        <f>X74*(1+(1-WACC!$B$9)*WACC!$B$22)</f>
        <v>0.36422806286984044</v>
      </c>
    </row>
    <row r="76" spans="1:24" x14ac:dyDescent="0.3">
      <c r="A76" s="129" t="s">
        <v>651</v>
      </c>
      <c r="B76" s="22"/>
      <c r="C76" s="22"/>
      <c r="D76" s="22"/>
      <c r="E76" s="258">
        <f>WACC!$B$7+E75*WACC!$B$8+WACC!$B$10</f>
        <v>8.385350914684013E-2</v>
      </c>
      <c r="F76" s="258">
        <f>WACC!$B$7+F75*WACC!$B$8+WACC!$B$10</f>
        <v>8.3310300426366488E-2</v>
      </c>
      <c r="G76" s="258">
        <f>WACC!$B$7+G75*WACC!$B$8+WACC!$B$10</f>
        <v>8.2767091705892873E-2</v>
      </c>
      <c r="H76" s="258">
        <f>WACC!$B$7+H75*WACC!$B$8+WACC!$B$10</f>
        <v>8.2223882985419244E-2</v>
      </c>
      <c r="I76" s="258">
        <f>WACC!$B$7+I75*WACC!$B$8+WACC!$B$10</f>
        <v>8.1680674264945616E-2</v>
      </c>
      <c r="J76" s="258">
        <f>WACC!$B$7+J75*WACC!$B$8+WACC!$B$10</f>
        <v>8.1137465544471987E-2</v>
      </c>
      <c r="K76" s="258">
        <f>WACC!$B$7+K75*WACC!$B$8+WACC!$B$10</f>
        <v>8.0594256823998359E-2</v>
      </c>
      <c r="L76" s="258">
        <f>WACC!$B$7+L75*WACC!$B$8+WACC!$B$10</f>
        <v>8.0051048103524744E-2</v>
      </c>
      <c r="M76" s="258">
        <f>WACC!$B$7+M75*WACC!$B$8+WACC!$B$10</f>
        <v>7.9507839383051115E-2</v>
      </c>
      <c r="N76" s="258">
        <f>WACC!$B$7+N75*WACC!$B$8+WACC!$B$10</f>
        <v>7.8964630662577487E-2</v>
      </c>
      <c r="O76" s="258">
        <f>WACC!$B$7+O75*WACC!$B$8+WACC!$B$10</f>
        <v>7.8421421942103858E-2</v>
      </c>
      <c r="P76" s="258">
        <f>WACC!$B$7+P75*WACC!$B$8+WACC!$B$10</f>
        <v>7.787821322163023E-2</v>
      </c>
      <c r="Q76" s="258">
        <f>WACC!$B$7+Q75*WACC!$B$8+WACC!$B$10</f>
        <v>7.7335004501156601E-2</v>
      </c>
      <c r="R76" s="258">
        <f>WACC!$B$7+R75*WACC!$B$8+WACC!$B$10</f>
        <v>7.6791795780682973E-2</v>
      </c>
      <c r="S76" s="258">
        <f>WACC!$B$7+S75*WACC!$B$8+WACC!$B$10</f>
        <v>7.6248587060209344E-2</v>
      </c>
      <c r="T76" s="258">
        <f>WACC!$B$7+T75*WACC!$B$8+WACC!$B$10</f>
        <v>7.5705378339735729E-2</v>
      </c>
      <c r="U76" s="258">
        <f>WACC!$B$7+U75*WACC!$B$8+WACC!$B$10</f>
        <v>7.5162169619262101E-2</v>
      </c>
      <c r="V76" s="258">
        <f>WACC!$B$7+V75*WACC!$B$8+WACC!$B$10</f>
        <v>7.4618960898788472E-2</v>
      </c>
      <c r="W76" s="258">
        <f>WACC!$B$7+W75*WACC!$B$8+WACC!$B$10</f>
        <v>7.4075752178314844E-2</v>
      </c>
      <c r="X76" s="258">
        <f>WACC!$B$7+X75*WACC!$B$8+WACC!$B$10</f>
        <v>7.3532543457841215E-2</v>
      </c>
    </row>
    <row r="77" spans="1:24" x14ac:dyDescent="0.3">
      <c r="A77" s="85" t="s">
        <v>652</v>
      </c>
      <c r="B77" s="406">
        <f>E77</f>
        <v>7.6352699343723171E-2</v>
      </c>
      <c r="C77" s="213" t="s">
        <v>656</v>
      </c>
      <c r="D77" s="406">
        <f>X77</f>
        <v>6.8413494967570168E-2</v>
      </c>
      <c r="E77" s="407">
        <f>E76*WACC!$B$35+WACC!$B$30*WACC!$B$36</f>
        <v>7.6352699343723171E-2</v>
      </c>
      <c r="F77" s="407">
        <f>F76*WACC!$B$35+WACC!$B$30*WACC!$B$36</f>
        <v>7.5934846481820376E-2</v>
      </c>
      <c r="G77" s="407">
        <f>G76*WACC!$B$35+WACC!$B$30*WACC!$B$36</f>
        <v>7.5516993619917594E-2</v>
      </c>
      <c r="H77" s="407">
        <f>H76*WACC!$B$35+WACC!$B$30*WACC!$B$36</f>
        <v>7.5099140758014798E-2</v>
      </c>
      <c r="I77" s="407">
        <f>I76*WACC!$B$35+WACC!$B$30*WACC!$B$36</f>
        <v>7.4681287896112003E-2</v>
      </c>
      <c r="J77" s="407">
        <f>J76*WACC!$B$35+WACC!$B$30*WACC!$B$36</f>
        <v>7.4263435034209221E-2</v>
      </c>
      <c r="K77" s="407">
        <f>K76*WACC!$B$35+WACC!$B$30*WACC!$B$36</f>
        <v>7.3845582172306426E-2</v>
      </c>
      <c r="L77" s="407">
        <f>L76*WACC!$B$35+WACC!$B$30*WACC!$B$36</f>
        <v>7.3427729310403644E-2</v>
      </c>
      <c r="M77" s="407">
        <f>M76*WACC!$B$35+WACC!$B$30*WACC!$B$36</f>
        <v>7.3009876448500849E-2</v>
      </c>
      <c r="N77" s="407">
        <f>N76*WACC!$B$35+WACC!$B$30*WACC!$B$36</f>
        <v>7.2592023586598067E-2</v>
      </c>
      <c r="O77" s="407">
        <f>O76*WACC!$B$35+WACC!$B$30*WACC!$B$36</f>
        <v>7.2174170724695272E-2</v>
      </c>
      <c r="P77" s="407">
        <f>P76*WACC!$B$35+WACC!$B$30*WACC!$B$36</f>
        <v>7.1756317862792476E-2</v>
      </c>
      <c r="Q77" s="407">
        <f>Q76*WACC!$B$35+WACC!$B$30*WACC!$B$36</f>
        <v>7.1338465000889695E-2</v>
      </c>
      <c r="R77" s="407">
        <f>R76*WACC!$B$35+WACC!$B$30*WACC!$B$36</f>
        <v>7.0920612138986899E-2</v>
      </c>
      <c r="S77" s="407">
        <f>S76*WACC!$B$35+WACC!$B$30*WACC!$B$36</f>
        <v>7.0502759277084104E-2</v>
      </c>
      <c r="T77" s="407">
        <f>T76*WACC!$B$35+WACC!$B$30*WACC!$B$36</f>
        <v>7.0084906415181322E-2</v>
      </c>
      <c r="U77" s="407">
        <f>U76*WACC!$B$35+WACC!$B$30*WACC!$B$36</f>
        <v>6.9667053553278541E-2</v>
      </c>
      <c r="V77" s="407">
        <f>V76*WACC!$B$35+WACC!$B$30*WACC!$B$36</f>
        <v>6.9249200691375745E-2</v>
      </c>
      <c r="W77" s="407">
        <f>W76*WACC!$B$35+WACC!$B$30*WACC!$B$36</f>
        <v>6.883134782947295E-2</v>
      </c>
      <c r="X77" s="407">
        <f>X76*WACC!$B$35+WACC!$B$30*WACC!$B$36</f>
        <v>6.8413494967570168E-2</v>
      </c>
    </row>
    <row r="78" spans="1:24" x14ac:dyDescent="0.3">
      <c r="A78" s="85"/>
      <c r="B78" s="22"/>
      <c r="C78" s="22"/>
      <c r="D78" s="22"/>
      <c r="E78" s="84"/>
      <c r="F78" s="84"/>
      <c r="G78" s="84"/>
      <c r="H78" s="84"/>
      <c r="I78" s="84"/>
      <c r="J78" s="84"/>
      <c r="K78" s="84"/>
      <c r="L78" s="84"/>
      <c r="M78" s="84"/>
      <c r="N78" s="84"/>
      <c r="O78" s="84"/>
      <c r="P78" s="84"/>
      <c r="Q78" s="84"/>
      <c r="R78" s="84"/>
      <c r="S78" s="84"/>
      <c r="T78" s="84"/>
      <c r="U78" s="84"/>
      <c r="V78" s="84"/>
      <c r="W78" s="84"/>
      <c r="X78" s="84"/>
    </row>
    <row r="79" spans="1:24" x14ac:dyDescent="0.3">
      <c r="A79" t="s">
        <v>79</v>
      </c>
      <c r="B79" s="15"/>
      <c r="C79" s="15"/>
      <c r="D79" s="15"/>
      <c r="E79" s="34">
        <v>0.5</v>
      </c>
      <c r="F79" s="34">
        <v>1.5</v>
      </c>
      <c r="G79" s="34">
        <v>2.5</v>
      </c>
      <c r="H79" s="34">
        <v>3.5</v>
      </c>
      <c r="I79" s="34">
        <v>4.5</v>
      </c>
      <c r="J79" s="34">
        <v>5.5</v>
      </c>
      <c r="K79" s="34">
        <v>6.5</v>
      </c>
      <c r="L79" s="34">
        <v>7.5</v>
      </c>
      <c r="M79" s="34">
        <v>8.5</v>
      </c>
      <c r="N79" s="34">
        <v>9.5</v>
      </c>
      <c r="O79" s="34">
        <v>10.5</v>
      </c>
      <c r="P79" s="34">
        <v>11.5</v>
      </c>
      <c r="Q79" s="34">
        <v>12.5</v>
      </c>
      <c r="R79" s="34">
        <v>13.5</v>
      </c>
      <c r="S79" s="34">
        <v>14.5</v>
      </c>
      <c r="T79" s="34">
        <v>15.5</v>
      </c>
      <c r="U79" s="34">
        <v>16.5</v>
      </c>
      <c r="V79" s="34">
        <v>17.5</v>
      </c>
      <c r="W79" s="34">
        <v>18.5</v>
      </c>
      <c r="X79" s="34">
        <v>19.5</v>
      </c>
    </row>
    <row r="80" spans="1:24" x14ac:dyDescent="0.3">
      <c r="A80" t="s">
        <v>80</v>
      </c>
      <c r="B80" s="15"/>
      <c r="C80" s="15"/>
      <c r="D80" s="15"/>
      <c r="E80" s="408">
        <f>1/(1+E77)^0.5</f>
        <v>0.96387939823664859</v>
      </c>
      <c r="F80" s="408">
        <f>E80/((1+E77)^0.5*(1+F77)^0.5)</f>
        <v>0.89567903533269155</v>
      </c>
      <c r="G80" s="408">
        <f t="shared" ref="G80:X80" si="37">F80/((1+F77)^0.5*(1+G77)^0.5)</f>
        <v>0.83262756389034809</v>
      </c>
      <c r="H80" s="408">
        <f t="shared" si="37"/>
        <v>0.77431538459761162</v>
      </c>
      <c r="I80" s="408">
        <f t="shared" si="37"/>
        <v>0.72036696297312219</v>
      </c>
      <c r="J80" s="408">
        <f t="shared" si="37"/>
        <v>0.67043788414346428</v>
      </c>
      <c r="K80" s="408">
        <f t="shared" si="37"/>
        <v>0.62421217122352224</v>
      </c>
      <c r="L80" s="408">
        <f t="shared" si="37"/>
        <v>0.58139984295834701</v>
      </c>
      <c r="M80" s="408">
        <f t="shared" si="37"/>
        <v>0.54173468859773966</v>
      </c>
      <c r="N80" s="408">
        <f t="shared" si="37"/>
        <v>0.50497224006192698</v>
      </c>
      <c r="O80" s="408">
        <f t="shared" si="37"/>
        <v>0.4708879233408319</v>
      </c>
      <c r="P80" s="408">
        <f t="shared" si="37"/>
        <v>0.43927537277076972</v>
      </c>
      <c r="Q80" s="408">
        <f t="shared" si="37"/>
        <v>0.409944893369106</v>
      </c>
      <c r="R80" s="408">
        <f t="shared" si="37"/>
        <v>0.38272205779582208</v>
      </c>
      <c r="S80" s="408">
        <f t="shared" si="37"/>
        <v>0.35744642576571717</v>
      </c>
      <c r="T80" s="408">
        <f t="shared" si="37"/>
        <v>0.33397037486932152</v>
      </c>
      <c r="U80" s="408">
        <f t="shared" si="37"/>
        <v>0.31215803278634974</v>
      </c>
      <c r="V80" s="408">
        <f t="shared" si="37"/>
        <v>0.2918843018033534</v>
      </c>
      <c r="W80" s="408">
        <f t="shared" si="37"/>
        <v>0.27303396738672192</v>
      </c>
      <c r="X80" s="408">
        <f t="shared" si="37"/>
        <v>0.25550088332195831</v>
      </c>
    </row>
    <row r="81" spans="1:24" x14ac:dyDescent="0.3">
      <c r="A81" t="s">
        <v>81</v>
      </c>
      <c r="B81" s="32"/>
      <c r="C81" s="32"/>
      <c r="D81" s="32"/>
      <c r="E81" s="78">
        <f t="shared" ref="E81:N81" si="38">E62</f>
        <v>2888.5533769999997</v>
      </c>
      <c r="F81" s="78">
        <f t="shared" si="38"/>
        <v>5106.5476530000014</v>
      </c>
      <c r="G81" s="78">
        <f t="shared" si="38"/>
        <v>7671.1669481644785</v>
      </c>
      <c r="H81" s="78">
        <f t="shared" si="38"/>
        <v>10508.490781365565</v>
      </c>
      <c r="I81" s="78">
        <f t="shared" si="38"/>
        <v>13887.483212305257</v>
      </c>
      <c r="J81" s="78">
        <f t="shared" si="38"/>
        <v>16818.321798693858</v>
      </c>
      <c r="K81" s="78">
        <f t="shared" si="38"/>
        <v>19962.173894566935</v>
      </c>
      <c r="L81" s="78">
        <f t="shared" si="38"/>
        <v>22662.402988937811</v>
      </c>
      <c r="M81" s="78">
        <f t="shared" si="38"/>
        <v>25373.490029085053</v>
      </c>
      <c r="N81" s="78">
        <f t="shared" si="38"/>
        <v>28017.690159225545</v>
      </c>
      <c r="O81" s="78">
        <f t="shared" ref="O81:X81" si="39">O62</f>
        <v>30594.568080252386</v>
      </c>
      <c r="P81" s="78">
        <f t="shared" si="39"/>
        <v>32896.713512169546</v>
      </c>
      <c r="Q81" s="78">
        <f t="shared" si="39"/>
        <v>35345.914917034897</v>
      </c>
      <c r="R81" s="78">
        <f t="shared" si="39"/>
        <v>37495.393694087266</v>
      </c>
      <c r="S81" s="78">
        <f t="shared" si="39"/>
        <v>39661.591732257119</v>
      </c>
      <c r="T81" s="78">
        <f t="shared" si="39"/>
        <v>41957.373864815978</v>
      </c>
      <c r="U81" s="78">
        <f t="shared" si="39"/>
        <v>43673.97153908301</v>
      </c>
      <c r="V81" s="78">
        <f t="shared" si="39"/>
        <v>45678.088161137966</v>
      </c>
      <c r="W81" s="78">
        <f t="shared" si="39"/>
        <v>47324.606099589568</v>
      </c>
      <c r="X81" s="78">
        <f t="shared" si="39"/>
        <v>48804.281210994435</v>
      </c>
    </row>
    <row r="82" spans="1:24" ht="15" thickBot="1" x14ac:dyDescent="0.35">
      <c r="A82" s="164" t="s">
        <v>82</v>
      </c>
      <c r="B82" s="18"/>
      <c r="C82" s="18"/>
      <c r="D82" s="18"/>
      <c r="E82" s="409">
        <f t="shared" ref="E82:N82" si="40">E81*E80</f>
        <v>2784.217090797199</v>
      </c>
      <c r="F82" s="409">
        <f t="shared" si="40"/>
        <v>4573.8276757194617</v>
      </c>
      <c r="G82" s="409">
        <f t="shared" si="40"/>
        <v>6387.225048246346</v>
      </c>
      <c r="H82" s="409">
        <f t="shared" si="40"/>
        <v>8136.8860809135331</v>
      </c>
      <c r="I82" s="409">
        <f t="shared" si="40"/>
        <v>10004.084104988557</v>
      </c>
      <c r="J82" s="409">
        <f t="shared" si="40"/>
        <v>11275.640081560212</v>
      </c>
      <c r="K82" s="409">
        <f t="shared" si="40"/>
        <v>12460.631909069141</v>
      </c>
      <c r="L82" s="409">
        <f t="shared" si="40"/>
        <v>13175.917538827218</v>
      </c>
      <c r="M82" s="409">
        <f t="shared" si="40"/>
        <v>13745.699719544244</v>
      </c>
      <c r="N82" s="409">
        <f t="shared" si="40"/>
        <v>14148.155761065131</v>
      </c>
      <c r="O82" s="410">
        <f t="shared" ref="O82:X82" si="41">O81*O80</f>
        <v>14406.612628819748</v>
      </c>
      <c r="P82" s="410">
        <f t="shared" si="41"/>
        <v>14450.716090991495</v>
      </c>
      <c r="Q82" s="410">
        <f t="shared" si="41"/>
        <v>14489.877321697364</v>
      </c>
      <c r="R82" s="410">
        <f t="shared" si="41"/>
        <v>14350.314232465569</v>
      </c>
      <c r="S82" s="410">
        <f t="shared" si="41"/>
        <v>14176.894204874427</v>
      </c>
      <c r="T82" s="410">
        <f t="shared" si="41"/>
        <v>14012.519878164865</v>
      </c>
      <c r="U82" s="410">
        <f t="shared" si="41"/>
        <v>13633.18103960718</v>
      </c>
      <c r="V82" s="410">
        <f t="shared" si="41"/>
        <v>13332.716870625778</v>
      </c>
      <c r="W82" s="410">
        <f t="shared" si="41"/>
        <v>12921.224958384799</v>
      </c>
      <c r="X82" s="410">
        <f t="shared" si="41"/>
        <v>12469.536959302332</v>
      </c>
    </row>
    <row r="83" spans="1:24" ht="15" thickTop="1" x14ac:dyDescent="0.3"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</row>
    <row r="84" spans="1:24" x14ac:dyDescent="0.3">
      <c r="A84" s="92" t="s">
        <v>83</v>
      </c>
      <c r="B84" s="102"/>
      <c r="C84" s="102"/>
      <c r="D84" s="102"/>
      <c r="E84" s="102"/>
      <c r="F84" s="102"/>
      <c r="G84" s="102"/>
      <c r="H84" s="102"/>
      <c r="I84" s="102"/>
      <c r="J84" s="102"/>
      <c r="K84" s="102"/>
      <c r="L84" s="102"/>
      <c r="M84" s="102"/>
      <c r="N84" s="102"/>
      <c r="O84" s="102"/>
      <c r="P84" s="102"/>
      <c r="Q84" s="102"/>
      <c r="R84" s="102"/>
      <c r="S84" s="102"/>
      <c r="T84" s="102"/>
      <c r="U84" s="102"/>
      <c r="V84" s="102"/>
      <c r="W84" s="102"/>
      <c r="X84" s="102"/>
    </row>
    <row r="85" spans="1:24" x14ac:dyDescent="0.3">
      <c r="A85" s="1" t="s">
        <v>84</v>
      </c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</row>
    <row r="86" spans="1:24" x14ac:dyDescent="0.3">
      <c r="A86" t="s">
        <v>85</v>
      </c>
      <c r="B86" s="78">
        <f>X62</f>
        <v>48804.281210994435</v>
      </c>
      <c r="C86" s="32"/>
      <c r="D86" s="32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</row>
    <row r="87" spans="1:24" x14ac:dyDescent="0.3">
      <c r="A87" t="s">
        <v>86</v>
      </c>
      <c r="B87" s="78">
        <f>X62*(1+$B$45)</f>
        <v>50268.409647324268</v>
      </c>
      <c r="C87" s="32"/>
      <c r="D87" s="32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</row>
    <row r="88" spans="1:24" x14ac:dyDescent="0.3">
      <c r="A88" t="s">
        <v>87</v>
      </c>
      <c r="B88" s="411">
        <f>B87/($X$77-$B$45)</f>
        <v>1308613.2800403186</v>
      </c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</row>
    <row r="89" spans="1:24" x14ac:dyDescent="0.3">
      <c r="A89" t="s">
        <v>88</v>
      </c>
      <c r="B89" s="411">
        <f>B88*$X$80/(1+$X$77)^0.5</f>
        <v>323470.02847236319</v>
      </c>
      <c r="C89" s="32"/>
      <c r="D89" s="32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</row>
    <row r="90" spans="1:24" x14ac:dyDescent="0.3">
      <c r="A90" t="s">
        <v>758</v>
      </c>
      <c r="B90" s="412">
        <f>B88/B94</f>
        <v>18.183751123503104</v>
      </c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</row>
    <row r="91" spans="1:24" x14ac:dyDescent="0.3">
      <c r="B91" s="158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</row>
    <row r="92" spans="1:24" x14ac:dyDescent="0.3">
      <c r="A92" s="1" t="s">
        <v>89</v>
      </c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</row>
    <row r="93" spans="1:24" x14ac:dyDescent="0.3">
      <c r="A93" t="s">
        <v>575</v>
      </c>
      <c r="B93" s="79">
        <f>IF(N('Conn Comps'!K54)&gt;0,'Conn Comps'!K54,25)</f>
        <v>5.9253197384649177</v>
      </c>
      <c r="C93" s="15"/>
      <c r="D93" s="413" t="str">
        <f>IF(N('Conn Comps'!K54)&gt;0,"✓ LIVE – "&amp;TEXT('Conn Comps'!K54,"0.0x")&amp;" from Conn Comps mature tier","⚠ FALLBACK – using 25x default")</f>
        <v>✓ LIVE – 5.9x from Conn Comps mature tier</v>
      </c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</row>
    <row r="94" spans="1:24" x14ac:dyDescent="0.3">
      <c r="A94" t="s">
        <v>90</v>
      </c>
      <c r="B94" s="78">
        <f>X52</f>
        <v>71966.07955928809</v>
      </c>
      <c r="C94" s="32"/>
      <c r="D94" s="32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</row>
    <row r="95" spans="1:24" x14ac:dyDescent="0.3">
      <c r="A95" t="s">
        <v>91</v>
      </c>
      <c r="B95" s="411">
        <f>B93*B94</f>
        <v>426422.03171258635</v>
      </c>
      <c r="C95" s="32"/>
      <c r="D95" s="32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</row>
    <row r="96" spans="1:24" ht="15" thickBot="1" x14ac:dyDescent="0.35">
      <c r="A96" s="164" t="s">
        <v>92</v>
      </c>
      <c r="B96" s="409">
        <f>B95*$X$80/(1+$X$77)^0.5</f>
        <v>105405.27812392631</v>
      </c>
      <c r="C96" s="212"/>
      <c r="D96" s="212"/>
      <c r="E96" s="18"/>
      <c r="F96" s="18"/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</row>
    <row r="97" spans="1:24" ht="15" thickTop="1" x14ac:dyDescent="0.3"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</row>
    <row r="98" spans="1:24" x14ac:dyDescent="0.3">
      <c r="A98" s="92" t="s">
        <v>93</v>
      </c>
      <c r="B98" s="102"/>
      <c r="C98" s="102"/>
      <c r="D98" s="102"/>
      <c r="E98" s="102"/>
      <c r="F98" s="102"/>
      <c r="G98" s="102"/>
      <c r="H98" s="102"/>
      <c r="I98" s="102"/>
      <c r="J98" s="102"/>
      <c r="K98" s="102"/>
      <c r="L98" s="102"/>
      <c r="M98" s="102"/>
      <c r="N98" s="102"/>
      <c r="O98" s="102"/>
      <c r="P98" s="102"/>
      <c r="Q98" s="102"/>
      <c r="R98" s="102"/>
      <c r="S98" s="102"/>
      <c r="T98" s="102"/>
      <c r="U98" s="102"/>
      <c r="V98" s="102"/>
      <c r="W98" s="102"/>
      <c r="X98" s="102"/>
    </row>
    <row r="99" spans="1:24" s="82" customFormat="1" ht="3" customHeight="1" x14ac:dyDescent="0.3">
      <c r="A99" s="143"/>
      <c r="B99" s="41"/>
      <c r="C99" s="41"/>
      <c r="D99" s="41"/>
      <c r="E99" s="41"/>
      <c r="F99" s="41"/>
      <c r="G99" s="41"/>
      <c r="H99" s="41"/>
      <c r="I99" s="41"/>
      <c r="J99" s="41"/>
      <c r="K99" s="41"/>
      <c r="L99" s="41"/>
      <c r="M99" s="41"/>
      <c r="N99" s="41"/>
      <c r="O99" s="41"/>
      <c r="P99" s="41"/>
      <c r="Q99" s="41"/>
      <c r="R99" s="41"/>
      <c r="S99" s="41"/>
      <c r="T99" s="41"/>
      <c r="U99" s="41"/>
      <c r="V99" s="41"/>
      <c r="W99" s="41"/>
      <c r="X99" s="41"/>
    </row>
    <row r="100" spans="1:24" x14ac:dyDescent="0.3">
      <c r="A100" s="93"/>
      <c r="B100" s="137" t="s">
        <v>94</v>
      </c>
      <c r="C100" s="137" t="s">
        <v>95</v>
      </c>
      <c r="D100" s="137"/>
      <c r="E100" s="137"/>
      <c r="F100" s="137"/>
      <c r="G100" s="137"/>
      <c r="H100" s="137"/>
      <c r="I100" s="137"/>
      <c r="J100" s="137"/>
      <c r="K100" s="137"/>
      <c r="L100" s="137"/>
      <c r="M100" s="137"/>
      <c r="N100" s="137"/>
      <c r="O100" s="137"/>
      <c r="P100" s="137"/>
      <c r="Q100" s="137"/>
      <c r="R100" s="137"/>
      <c r="S100" s="137"/>
      <c r="T100" s="137"/>
      <c r="U100" s="137"/>
      <c r="V100" s="137"/>
      <c r="W100" s="137"/>
      <c r="X100" s="137"/>
    </row>
    <row r="101" spans="1:24" x14ac:dyDescent="0.3">
      <c r="A101" t="s">
        <v>96</v>
      </c>
      <c r="B101" s="78">
        <f>SUM(E82:X82)</f>
        <v>234935.8791956646</v>
      </c>
      <c r="C101" s="78">
        <f>SUM(E82:X82)</f>
        <v>234935.8791956646</v>
      </c>
      <c r="D101" s="32"/>
      <c r="E101" s="32"/>
      <c r="F101" s="32"/>
      <c r="G101" s="32"/>
      <c r="H101" s="32"/>
      <c r="I101" s="32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2"/>
      <c r="X101" s="32"/>
    </row>
    <row r="102" spans="1:24" x14ac:dyDescent="0.3">
      <c r="A102" t="s">
        <v>97</v>
      </c>
      <c r="B102" s="78">
        <f>B89</f>
        <v>323470.02847236319</v>
      </c>
      <c r="C102" s="78">
        <f>B96</f>
        <v>105405.27812392631</v>
      </c>
      <c r="D102" s="32"/>
      <c r="E102" s="32"/>
      <c r="F102" s="32"/>
      <c r="G102" s="32"/>
      <c r="H102" s="32"/>
      <c r="I102" s="32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2"/>
      <c r="X102" s="32"/>
    </row>
    <row r="103" spans="1:24" x14ac:dyDescent="0.3">
      <c r="A103" s="482" t="s">
        <v>724</v>
      </c>
      <c r="B103" s="483">
        <f>B101+B102</f>
        <v>558405.90766802779</v>
      </c>
      <c r="C103" s="483">
        <f>C101+C102</f>
        <v>340341.15731959091</v>
      </c>
      <c r="D103" s="138"/>
      <c r="E103" s="138"/>
      <c r="F103" s="138"/>
      <c r="G103" s="138"/>
      <c r="H103" s="138"/>
      <c r="I103" s="138"/>
      <c r="J103" s="138"/>
      <c r="K103" s="138"/>
      <c r="L103" s="138"/>
      <c r="M103" s="138"/>
      <c r="N103" s="138"/>
      <c r="O103" s="138"/>
      <c r="P103" s="138"/>
      <c r="Q103" s="138"/>
      <c r="R103" s="138"/>
      <c r="S103" s="138"/>
      <c r="T103" s="138"/>
      <c r="U103" s="138"/>
      <c r="V103" s="138"/>
      <c r="W103" s="138"/>
      <c r="X103" s="138"/>
    </row>
    <row r="104" spans="1:24" x14ac:dyDescent="0.3">
      <c r="B104" s="32"/>
      <c r="C104" s="32"/>
      <c r="D104" s="32"/>
      <c r="E104" s="32"/>
      <c r="F104" s="32"/>
      <c r="G104" s="32"/>
      <c r="H104" s="32"/>
      <c r="I104" s="32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2"/>
      <c r="X104" s="32"/>
    </row>
    <row r="105" spans="1:24" ht="15" thickBot="1" x14ac:dyDescent="0.35">
      <c r="A105" s="164" t="s">
        <v>722</v>
      </c>
      <c r="B105" s="230">
        <f>B102/B103</f>
        <v>0.57927400844166221</v>
      </c>
      <c r="C105" s="230">
        <f>C102/C103</f>
        <v>0.30970476493075882</v>
      </c>
      <c r="D105" s="36"/>
      <c r="E105" s="36"/>
      <c r="F105" s="36"/>
      <c r="G105" s="36"/>
      <c r="H105" s="36"/>
      <c r="I105" s="36"/>
      <c r="J105" s="36"/>
      <c r="K105" s="36"/>
      <c r="L105" s="36"/>
      <c r="M105" s="36"/>
      <c r="N105" s="36"/>
      <c r="O105" s="36"/>
      <c r="P105" s="36"/>
      <c r="Q105" s="36"/>
      <c r="R105" s="36"/>
      <c r="S105" s="36"/>
      <c r="T105" s="36"/>
      <c r="U105" s="36"/>
      <c r="V105" s="36"/>
      <c r="W105" s="36"/>
      <c r="X105" s="36"/>
    </row>
    <row r="106" spans="1:24" ht="15" thickTop="1" x14ac:dyDescent="0.3"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</row>
    <row r="107" spans="1:24" x14ac:dyDescent="0.3">
      <c r="A107" s="92" t="s">
        <v>860</v>
      </c>
      <c r="B107" s="92"/>
      <c r="C107" s="92"/>
      <c r="D107" s="92"/>
      <c r="E107" s="92"/>
      <c r="F107" s="92"/>
      <c r="G107" s="92"/>
      <c r="H107" s="92"/>
      <c r="I107" s="92"/>
      <c r="J107" s="92"/>
      <c r="K107" s="92"/>
      <c r="L107" s="92"/>
      <c r="M107" s="92"/>
      <c r="N107" s="92"/>
      <c r="O107" s="92"/>
      <c r="P107" s="92"/>
      <c r="Q107" s="92"/>
      <c r="R107" s="92"/>
      <c r="S107" s="92"/>
      <c r="T107" s="92"/>
      <c r="U107" s="92"/>
      <c r="V107" s="92"/>
      <c r="W107" s="92"/>
      <c r="X107" s="92"/>
    </row>
    <row r="108" spans="1:24" ht="3" customHeight="1" x14ac:dyDescent="0.3"/>
    <row r="109" spans="1:24" x14ac:dyDescent="0.3">
      <c r="A109" s="93" t="s">
        <v>861</v>
      </c>
      <c r="B109" s="93"/>
      <c r="C109" s="93"/>
      <c r="D109" s="93"/>
      <c r="E109" s="93"/>
      <c r="F109" s="93"/>
      <c r="G109" s="93"/>
      <c r="H109" s="93"/>
      <c r="I109" s="93"/>
      <c r="J109" s="146"/>
      <c r="K109" s="146"/>
      <c r="L109" s="146"/>
      <c r="M109" s="146"/>
      <c r="N109" s="146"/>
      <c r="O109" s="146"/>
      <c r="P109" s="146"/>
      <c r="Q109" s="146"/>
      <c r="R109" s="146"/>
      <c r="S109" s="146"/>
      <c r="T109" s="146"/>
      <c r="U109" s="146"/>
      <c r="V109" s="146"/>
      <c r="W109" s="146"/>
      <c r="X109" s="146"/>
    </row>
    <row r="110" spans="1:24" x14ac:dyDescent="0.3">
      <c r="B110" s="526" t="s">
        <v>916</v>
      </c>
      <c r="C110" s="532">
        <f>$B$45-0.0075</f>
        <v>2.2499999999999999E-2</v>
      </c>
      <c r="D110" s="532">
        <f>$B$45-0.005</f>
        <v>2.4999999999999998E-2</v>
      </c>
      <c r="E110" s="532">
        <f>$B$45-0.0025</f>
        <v>2.75E-2</v>
      </c>
      <c r="F110" s="532">
        <f>$B$45</f>
        <v>0.03</v>
      </c>
      <c r="G110" s="528">
        <f>$B$45+0.0025</f>
        <v>3.2500000000000001E-2</v>
      </c>
      <c r="H110" s="528">
        <f>$B$45+0.005</f>
        <v>3.4999999999999996E-2</v>
      </c>
      <c r="I110" s="528">
        <f>$B$45+0.0075</f>
        <v>3.7499999999999999E-2</v>
      </c>
    </row>
    <row r="111" spans="1:24" x14ac:dyDescent="0.3">
      <c r="B111" s="527">
        <f>$B$47-0.0075</f>
        <v>6.4883097155646663E-2</v>
      </c>
      <c r="C111" s="401">
        <f t="shared" ref="C111:I117" si="42">SUMPRODUCT($E$62:$X$62,1/(1+$B111)^$E$79:$X$79)+($X$62*(1+C$110)/($B111-C$110))/(1+$B111)^20</f>
        <v>592887.13933082717</v>
      </c>
      <c r="D111" s="401">
        <f t="shared" si="42"/>
        <v>614748.62265188084</v>
      </c>
      <c r="E111" s="401">
        <f t="shared" si="42"/>
        <v>639534.08565685851</v>
      </c>
      <c r="F111" s="401">
        <f t="shared" si="42"/>
        <v>667872.19521933468</v>
      </c>
      <c r="G111" s="401">
        <f t="shared" si="42"/>
        <v>700585.75247698813</v>
      </c>
      <c r="H111" s="401">
        <f t="shared" si="42"/>
        <v>738772.89854761912</v>
      </c>
      <c r="I111" s="401">
        <f t="shared" si="42"/>
        <v>783932.80337040545</v>
      </c>
    </row>
    <row r="112" spans="1:24" x14ac:dyDescent="0.3">
      <c r="B112" s="527">
        <f>$B$47-0.005</f>
        <v>6.7383097155646665E-2</v>
      </c>
      <c r="C112" s="401">
        <f t="shared" si="42"/>
        <v>552936.74396910798</v>
      </c>
      <c r="D112" s="401">
        <f t="shared" si="42"/>
        <v>571516.34229091601</v>
      </c>
      <c r="E112" s="401">
        <f t="shared" si="42"/>
        <v>592425.19782277755</v>
      </c>
      <c r="F112" s="401">
        <f t="shared" si="42"/>
        <v>616130.61879767943</v>
      </c>
      <c r="G112" s="401">
        <f t="shared" si="42"/>
        <v>643233.87753754936</v>
      </c>
      <c r="H112" s="401">
        <f t="shared" si="42"/>
        <v>674521.9211066158</v>
      </c>
      <c r="I112" s="401">
        <f t="shared" si="42"/>
        <v>711045.03843763261</v>
      </c>
    </row>
    <row r="113" spans="1:24" x14ac:dyDescent="0.3">
      <c r="B113" s="527">
        <f>$B$47-0.0025</f>
        <v>6.9883097155646667E-2</v>
      </c>
      <c r="C113" s="401">
        <f t="shared" si="42"/>
        <v>517371.74492490996</v>
      </c>
      <c r="D113" s="401">
        <f t="shared" si="42"/>
        <v>533268.24324215797</v>
      </c>
      <c r="E113" s="401">
        <f t="shared" si="42"/>
        <v>551040.07623101713</v>
      </c>
      <c r="F113" s="401">
        <f t="shared" si="42"/>
        <v>571039.89980439655</v>
      </c>
      <c r="G113" s="401">
        <f t="shared" si="42"/>
        <v>593714.70553483348</v>
      </c>
      <c r="H113" s="401">
        <f t="shared" si="42"/>
        <v>619639.62487032998</v>
      </c>
      <c r="I113" s="401">
        <f t="shared" si="42"/>
        <v>649567.39161892154</v>
      </c>
    </row>
    <row r="114" spans="1:24" x14ac:dyDescent="0.3">
      <c r="B114" s="527">
        <f>$B$47</f>
        <v>7.238309715564667E-2</v>
      </c>
      <c r="C114" s="401">
        <f t="shared" si="42"/>
        <v>485527.01917439996</v>
      </c>
      <c r="D114" s="401">
        <f t="shared" si="42"/>
        <v>499209.72008878202</v>
      </c>
      <c r="E114" s="401">
        <f t="shared" si="42"/>
        <v>514416.68088956794</v>
      </c>
      <c r="F114" s="470">
        <f t="shared" si="42"/>
        <v>531417.63054691849</v>
      </c>
      <c r="G114" s="401">
        <f t="shared" si="42"/>
        <v>550549.9279267143</v>
      </c>
      <c r="H114" s="401">
        <f t="shared" si="42"/>
        <v>572241.17558558111</v>
      </c>
      <c r="I114" s="401">
        <f t="shared" si="42"/>
        <v>597041.557671658</v>
      </c>
    </row>
    <row r="115" spans="1:24" x14ac:dyDescent="0.3">
      <c r="B115" s="527">
        <f>$B$47+0.0025</f>
        <v>7.4883097155646672E-2</v>
      </c>
      <c r="C115" s="401">
        <f t="shared" si="42"/>
        <v>456864.66277681687</v>
      </c>
      <c r="D115" s="401">
        <f t="shared" si="42"/>
        <v>468705.70445079834</v>
      </c>
      <c r="E115" s="401">
        <f t="shared" si="42"/>
        <v>481796.24672570999</v>
      </c>
      <c r="F115" s="401">
        <f t="shared" si="42"/>
        <v>496345.08211144642</v>
      </c>
      <c r="G115" s="401">
        <f t="shared" si="42"/>
        <v>512610.26627324172</v>
      </c>
      <c r="H115" s="401">
        <f t="shared" si="42"/>
        <v>530914.5578918024</v>
      </c>
      <c r="I115" s="401">
        <f t="shared" si="42"/>
        <v>551667.05378064478</v>
      </c>
    </row>
    <row r="116" spans="1:24" x14ac:dyDescent="0.3">
      <c r="B116" s="527">
        <f>$B$47+0.005</f>
        <v>7.7383097155646674E-2</v>
      </c>
      <c r="C116" s="401">
        <f t="shared" si="42"/>
        <v>430945.00366301101</v>
      </c>
      <c r="D116" s="401">
        <f t="shared" si="42"/>
        <v>441242.58305960702</v>
      </c>
      <c r="E116" s="401">
        <f t="shared" si="42"/>
        <v>452572.33367087971</v>
      </c>
      <c r="F116" s="401">
        <f t="shared" si="42"/>
        <v>465097.6319870709</v>
      </c>
      <c r="G116" s="401">
        <f t="shared" si="42"/>
        <v>479018.25494772196</v>
      </c>
      <c r="H116" s="401">
        <f t="shared" si="42"/>
        <v>494581.11548595352</v>
      </c>
      <c r="I116" s="401">
        <f t="shared" si="42"/>
        <v>512095.0357021105</v>
      </c>
    </row>
    <row r="117" spans="1:24" x14ac:dyDescent="0.3">
      <c r="B117" s="527">
        <f>$B$47+0.0075</f>
        <v>7.9883097155646676E-2</v>
      </c>
      <c r="C117" s="401">
        <f t="shared" si="42"/>
        <v>407405.19237682229</v>
      </c>
      <c r="D117" s="401">
        <f t="shared" si="42"/>
        <v>416400.52460289671</v>
      </c>
      <c r="E117" s="401">
        <f t="shared" si="42"/>
        <v>426254.46702142956</v>
      </c>
      <c r="F117" s="401">
        <f t="shared" si="42"/>
        <v>437096.11298890057</v>
      </c>
      <c r="G117" s="401">
        <f t="shared" si="42"/>
        <v>449081.80046255025</v>
      </c>
      <c r="H117" s="401">
        <f t="shared" si="42"/>
        <v>462402.69965655927</v>
      </c>
      <c r="I117" s="401">
        <f t="shared" si="42"/>
        <v>477295.0860810898</v>
      </c>
    </row>
    <row r="118" spans="1:24" ht="3" customHeight="1" x14ac:dyDescent="0.3"/>
    <row r="119" spans="1:24" x14ac:dyDescent="0.3">
      <c r="A119" s="93" t="s">
        <v>862</v>
      </c>
      <c r="B119" s="93"/>
      <c r="C119" s="93"/>
      <c r="D119" s="93"/>
      <c r="E119" s="93"/>
      <c r="F119" s="93"/>
      <c r="G119" s="93"/>
      <c r="H119" s="93"/>
      <c r="I119" s="93"/>
      <c r="J119" s="146"/>
      <c r="K119" s="146"/>
      <c r="L119" s="146"/>
      <c r="M119" s="146"/>
      <c r="N119" s="146"/>
      <c r="O119" s="146"/>
      <c r="P119" s="146"/>
      <c r="Q119" s="146"/>
      <c r="R119" s="146"/>
      <c r="S119" s="146"/>
      <c r="T119" s="146"/>
      <c r="U119" s="146"/>
      <c r="V119" s="146"/>
      <c r="W119" s="146"/>
      <c r="X119" s="146"/>
    </row>
    <row r="120" spans="1:24" x14ac:dyDescent="0.3">
      <c r="B120" s="526" t="s">
        <v>918</v>
      </c>
      <c r="C120" s="533">
        <f>$B$93-3</f>
        <v>2.9253197384649177</v>
      </c>
      <c r="D120" s="533">
        <f>$B$93-2</f>
        <v>3.9253197384649177</v>
      </c>
      <c r="E120" s="533">
        <f>$B$93-1</f>
        <v>4.9253197384649177</v>
      </c>
      <c r="F120" s="533">
        <f>$B$93</f>
        <v>5.9253197384649177</v>
      </c>
      <c r="G120" s="533">
        <f>$B$93+1</f>
        <v>6.9253197384649177</v>
      </c>
      <c r="H120" s="530">
        <f>$B$93+2</f>
        <v>7.9253197384649177</v>
      </c>
      <c r="I120" s="530">
        <f>$B$93+3</f>
        <v>8.9253197384649177</v>
      </c>
    </row>
    <row r="121" spans="1:24" x14ac:dyDescent="0.3">
      <c r="B121" s="534">
        <f>$X$40-0.06</f>
        <v>0.6399999999999999</v>
      </c>
      <c r="C121" s="401">
        <f t="shared" ref="C121:I127" si="43">SUM($E$82:$X$82)+($X$50*$B121*C$120)/(1+$B$46)^20</f>
        <v>290694.32794730028</v>
      </c>
      <c r="D121" s="401">
        <f t="shared" si="43"/>
        <v>309754.9619075713</v>
      </c>
      <c r="E121" s="401">
        <f t="shared" si="43"/>
        <v>328815.59586784238</v>
      </c>
      <c r="F121" s="401">
        <f t="shared" si="43"/>
        <v>347876.2298281134</v>
      </c>
      <c r="G121" s="401">
        <f t="shared" si="43"/>
        <v>366936.86378838448</v>
      </c>
      <c r="H121" s="401">
        <f t="shared" si="43"/>
        <v>385997.4977486555</v>
      </c>
      <c r="I121" s="401">
        <f t="shared" si="43"/>
        <v>405058.13170892652</v>
      </c>
    </row>
    <row r="122" spans="1:24" x14ac:dyDescent="0.3">
      <c r="B122" s="534">
        <f>$X$40-0.04</f>
        <v>0.65999999999999992</v>
      </c>
      <c r="C122" s="401">
        <f t="shared" si="43"/>
        <v>292436.77947078884</v>
      </c>
      <c r="D122" s="401">
        <f t="shared" si="43"/>
        <v>312093.0582423184</v>
      </c>
      <c r="E122" s="519">
        <f t="shared" si="43"/>
        <v>331749.33701384789</v>
      </c>
      <c r="F122" s="401">
        <f t="shared" si="43"/>
        <v>351405.61578537745</v>
      </c>
      <c r="G122" s="401">
        <f t="shared" si="43"/>
        <v>371061.89455690695</v>
      </c>
      <c r="H122" s="401">
        <f t="shared" si="43"/>
        <v>390718.17332843645</v>
      </c>
      <c r="I122" s="401">
        <f t="shared" si="43"/>
        <v>410374.452099966</v>
      </c>
    </row>
    <row r="123" spans="1:24" x14ac:dyDescent="0.3">
      <c r="B123" s="534">
        <f>$X$40-0.02</f>
        <v>0.67999999999999994</v>
      </c>
      <c r="C123" s="401">
        <f t="shared" si="43"/>
        <v>294179.23099427746</v>
      </c>
      <c r="D123" s="519">
        <f t="shared" si="43"/>
        <v>314431.15457706549</v>
      </c>
      <c r="E123" s="518">
        <f t="shared" si="43"/>
        <v>334683.07815985347</v>
      </c>
      <c r="F123" s="520">
        <f t="shared" si="43"/>
        <v>354935.00174264144</v>
      </c>
      <c r="G123" s="401">
        <f t="shared" si="43"/>
        <v>375186.92532542942</v>
      </c>
      <c r="H123" s="401">
        <f t="shared" si="43"/>
        <v>395438.84890821745</v>
      </c>
      <c r="I123" s="401">
        <f t="shared" si="43"/>
        <v>415690.77249100548</v>
      </c>
    </row>
    <row r="124" spans="1:24" x14ac:dyDescent="0.3">
      <c r="B124" s="534">
        <f>$X$40</f>
        <v>0.7</v>
      </c>
      <c r="C124" s="401">
        <f t="shared" si="43"/>
        <v>295921.68251776608</v>
      </c>
      <c r="D124" s="401">
        <f t="shared" si="43"/>
        <v>316769.25091181253</v>
      </c>
      <c r="E124" s="522">
        <f t="shared" si="43"/>
        <v>337616.81930585904</v>
      </c>
      <c r="F124" s="523">
        <f t="shared" si="43"/>
        <v>358464.38769990549</v>
      </c>
      <c r="G124" s="524">
        <f t="shared" si="43"/>
        <v>379311.95609395194</v>
      </c>
      <c r="H124" s="401">
        <f t="shared" si="43"/>
        <v>400159.52448799839</v>
      </c>
      <c r="I124" s="401">
        <f t="shared" si="43"/>
        <v>421007.09288204485</v>
      </c>
    </row>
    <row r="125" spans="1:24" x14ac:dyDescent="0.3">
      <c r="B125" s="534">
        <f>$X$40+0.02</f>
        <v>0.72</v>
      </c>
      <c r="C125" s="401">
        <f t="shared" si="43"/>
        <v>297664.1340412547</v>
      </c>
      <c r="D125" s="401">
        <f t="shared" si="43"/>
        <v>319107.34724655963</v>
      </c>
      <c r="E125" s="401">
        <f t="shared" si="43"/>
        <v>340550.56045186456</v>
      </c>
      <c r="F125" s="521">
        <f t="shared" si="43"/>
        <v>361993.77365716948</v>
      </c>
      <c r="G125" s="401">
        <f t="shared" si="43"/>
        <v>383436.98686247447</v>
      </c>
      <c r="H125" s="401">
        <f t="shared" si="43"/>
        <v>404880.20006777934</v>
      </c>
      <c r="I125" s="401">
        <f t="shared" si="43"/>
        <v>426323.41327308433</v>
      </c>
    </row>
    <row r="126" spans="1:24" x14ac:dyDescent="0.3">
      <c r="B126" s="534">
        <f>$X$40+0.04</f>
        <v>0.74</v>
      </c>
      <c r="C126" s="401">
        <f t="shared" si="43"/>
        <v>299406.58556474332</v>
      </c>
      <c r="D126" s="401">
        <f t="shared" si="43"/>
        <v>321445.44358130672</v>
      </c>
      <c r="E126" s="401">
        <f t="shared" si="43"/>
        <v>343484.30159787013</v>
      </c>
      <c r="F126" s="401">
        <f t="shared" si="43"/>
        <v>365523.15961443353</v>
      </c>
      <c r="G126" s="401">
        <f t="shared" si="43"/>
        <v>387562.017630997</v>
      </c>
      <c r="H126" s="401">
        <f t="shared" si="43"/>
        <v>409600.87564756034</v>
      </c>
      <c r="I126" s="401">
        <f t="shared" si="43"/>
        <v>431639.73366412381</v>
      </c>
    </row>
    <row r="127" spans="1:24" x14ac:dyDescent="0.3">
      <c r="B127" s="534">
        <f>$X$40+0.06</f>
        <v>0.76</v>
      </c>
      <c r="C127" s="401">
        <f t="shared" si="43"/>
        <v>301149.03708823194</v>
      </c>
      <c r="D127" s="401">
        <f t="shared" si="43"/>
        <v>323783.53991605382</v>
      </c>
      <c r="E127" s="401">
        <f t="shared" si="43"/>
        <v>346418.0427438757</v>
      </c>
      <c r="F127" s="401">
        <f t="shared" si="43"/>
        <v>369052.54557169753</v>
      </c>
      <c r="G127" s="401">
        <f t="shared" si="43"/>
        <v>391687.04839951941</v>
      </c>
      <c r="H127" s="401">
        <f t="shared" si="43"/>
        <v>414321.55122734135</v>
      </c>
      <c r="I127" s="401">
        <f t="shared" si="43"/>
        <v>436956.05405516317</v>
      </c>
    </row>
    <row r="128" spans="1:24" ht="3" customHeight="1" x14ac:dyDescent="0.3">
      <c r="F128" s="401"/>
      <c r="G128" s="401"/>
      <c r="H128" s="401"/>
      <c r="I128" s="401"/>
    </row>
    <row r="129" spans="1:24" x14ac:dyDescent="0.3">
      <c r="A129" s="93" t="s">
        <v>863</v>
      </c>
      <c r="B129" s="93"/>
      <c r="C129" s="93"/>
      <c r="D129" s="93"/>
      <c r="E129" s="93"/>
      <c r="F129" s="93"/>
      <c r="G129" s="93"/>
      <c r="H129" s="93"/>
      <c r="I129" s="93"/>
      <c r="J129" s="146"/>
      <c r="K129" s="146"/>
      <c r="L129" s="146"/>
      <c r="M129" s="146"/>
      <c r="N129" s="146"/>
      <c r="O129" s="146"/>
      <c r="P129" s="146"/>
      <c r="Q129" s="146"/>
      <c r="R129" s="146"/>
      <c r="S129" s="146"/>
      <c r="T129" s="146"/>
      <c r="U129" s="146"/>
      <c r="V129" s="146"/>
      <c r="W129" s="146"/>
      <c r="X129" s="146"/>
    </row>
    <row r="130" spans="1:24" x14ac:dyDescent="0.3">
      <c r="B130" s="526" t="s">
        <v>919</v>
      </c>
      <c r="C130" s="533">
        <f>$B$93-3</f>
        <v>2.9253197384649177</v>
      </c>
      <c r="D130" s="533">
        <f>$B$93-2</f>
        <v>3.9253197384649177</v>
      </c>
      <c r="E130" s="533">
        <f>$B$93-1</f>
        <v>4.9253197384649177</v>
      </c>
      <c r="F130" s="533">
        <f>$B$93</f>
        <v>5.9253197384649177</v>
      </c>
      <c r="G130" s="533">
        <f>$B$93+1</f>
        <v>6.9253197384649177</v>
      </c>
      <c r="H130" s="530">
        <f>$B$93+2</f>
        <v>7.9253197384649177</v>
      </c>
      <c r="I130" s="530">
        <f>$B$93+3</f>
        <v>8.9253197384649177</v>
      </c>
    </row>
    <row r="131" spans="1:24" x14ac:dyDescent="0.3">
      <c r="B131" s="532">
        <f>$B$47-0.0075</f>
        <v>6.4883097155646663E-2</v>
      </c>
      <c r="C131" s="401">
        <f t="shared" ref="C131:I137" si="44">SUMPRODUCT($E$62:$X$62,1/(1+$B131)^$E$79:$X$79)+($X$52*C$130)/(1+$B131)^19.5</f>
        <v>319795.95534975681</v>
      </c>
      <c r="D131" s="401">
        <f t="shared" si="44"/>
        <v>340918.20349042676</v>
      </c>
      <c r="E131" s="401">
        <f t="shared" si="44"/>
        <v>362040.45163109672</v>
      </c>
      <c r="F131" s="401">
        <f t="shared" si="44"/>
        <v>383162.69977176673</v>
      </c>
      <c r="G131" s="401">
        <f t="shared" si="44"/>
        <v>404284.94791243668</v>
      </c>
      <c r="H131" s="401">
        <f t="shared" si="44"/>
        <v>425407.19605310669</v>
      </c>
      <c r="I131" s="401">
        <f t="shared" si="44"/>
        <v>446529.44419377664</v>
      </c>
    </row>
    <row r="132" spans="1:24" x14ac:dyDescent="0.3">
      <c r="B132" s="532">
        <f>$B$47-0.005</f>
        <v>6.7383097155646665E-2</v>
      </c>
      <c r="C132" s="401">
        <f t="shared" si="44"/>
        <v>310224.93410527922</v>
      </c>
      <c r="D132" s="401">
        <f t="shared" si="44"/>
        <v>330403.09508933709</v>
      </c>
      <c r="E132" s="519">
        <f t="shared" si="44"/>
        <v>350581.25607339491</v>
      </c>
      <c r="F132" s="401">
        <f t="shared" si="44"/>
        <v>370759.41705745278</v>
      </c>
      <c r="G132" s="401">
        <f t="shared" si="44"/>
        <v>390937.5780415106</v>
      </c>
      <c r="H132" s="401">
        <f t="shared" si="44"/>
        <v>411115.73902556847</v>
      </c>
      <c r="I132" s="401">
        <f t="shared" si="44"/>
        <v>431293.90000962629</v>
      </c>
    </row>
    <row r="133" spans="1:24" x14ac:dyDescent="0.3">
      <c r="B133" s="532">
        <f>$B$47-0.0025</f>
        <v>6.9883097155646667E-2</v>
      </c>
      <c r="C133" s="401">
        <f t="shared" si="44"/>
        <v>301012.94596383307</v>
      </c>
      <c r="D133" s="519">
        <f t="shared" si="44"/>
        <v>320291.27918617445</v>
      </c>
      <c r="E133" s="518">
        <f t="shared" si="44"/>
        <v>339569.61240851588</v>
      </c>
      <c r="F133" s="520">
        <f t="shared" si="44"/>
        <v>358847.94563085726</v>
      </c>
      <c r="G133" s="401">
        <f t="shared" si="44"/>
        <v>378126.27885319863</v>
      </c>
      <c r="H133" s="401">
        <f t="shared" si="44"/>
        <v>397404.61207554006</v>
      </c>
      <c r="I133" s="401">
        <f t="shared" si="44"/>
        <v>416682.9452978815</v>
      </c>
    </row>
    <row r="134" spans="1:24" x14ac:dyDescent="0.3">
      <c r="B134" s="532">
        <f>$B$47</f>
        <v>7.238309715564667E-2</v>
      </c>
      <c r="C134" s="401">
        <f t="shared" si="44"/>
        <v>292144.74107648508</v>
      </c>
      <c r="D134" s="401">
        <f t="shared" si="44"/>
        <v>310565.33479148662</v>
      </c>
      <c r="E134" s="522">
        <f t="shared" si="44"/>
        <v>328985.9285064881</v>
      </c>
      <c r="F134" s="523">
        <f t="shared" si="44"/>
        <v>347406.52222148969</v>
      </c>
      <c r="G134" s="524">
        <f t="shared" si="44"/>
        <v>365827.11593649117</v>
      </c>
      <c r="H134" s="401">
        <f t="shared" si="44"/>
        <v>384247.70965149277</v>
      </c>
      <c r="I134" s="401">
        <f t="shared" si="44"/>
        <v>402668.30336649425</v>
      </c>
    </row>
    <row r="135" spans="1:24" x14ac:dyDescent="0.3">
      <c r="B135" s="532">
        <f>$B$47+0.0025</f>
        <v>7.4883097155646672E-2</v>
      </c>
      <c r="C135" s="401">
        <f t="shared" si="44"/>
        <v>283605.77583401173</v>
      </c>
      <c r="D135" s="401">
        <f t="shared" si="44"/>
        <v>301208.65835973737</v>
      </c>
      <c r="E135" s="401">
        <f t="shared" si="44"/>
        <v>318811.54088546307</v>
      </c>
      <c r="F135" s="521">
        <f t="shared" si="44"/>
        <v>336414.42341118876</v>
      </c>
      <c r="G135" s="401">
        <f t="shared" si="44"/>
        <v>354017.30593691446</v>
      </c>
      <c r="H135" s="401">
        <f t="shared" si="44"/>
        <v>371620.18846264016</v>
      </c>
      <c r="I135" s="401">
        <f t="shared" si="44"/>
        <v>389223.07098836586</v>
      </c>
    </row>
    <row r="136" spans="1:24" x14ac:dyDescent="0.3">
      <c r="B136" s="532">
        <f>$B$47+0.005</f>
        <v>7.7383097155646674E-2</v>
      </c>
      <c r="C136" s="401">
        <f t="shared" si="44"/>
        <v>275382.17787301977</v>
      </c>
      <c r="D136" s="401">
        <f t="shared" si="44"/>
        <v>292205.42286004237</v>
      </c>
      <c r="E136" s="401">
        <f t="shared" si="44"/>
        <v>309028.66784706496</v>
      </c>
      <c r="F136" s="401">
        <f t="shared" si="44"/>
        <v>325851.91283408762</v>
      </c>
      <c r="G136" s="401">
        <f t="shared" si="44"/>
        <v>342675.15782111022</v>
      </c>
      <c r="H136" s="401">
        <f t="shared" si="44"/>
        <v>359498.40280813281</v>
      </c>
      <c r="I136" s="401">
        <f t="shared" si="44"/>
        <v>376321.64779515541</v>
      </c>
    </row>
    <row r="137" spans="1:24" ht="15" thickBot="1" x14ac:dyDescent="0.35">
      <c r="A137" s="164"/>
      <c r="B137" s="535">
        <f>$B$47+0.0075</f>
        <v>7.9883097155646676E-2</v>
      </c>
      <c r="C137" s="414">
        <f t="shared" si="44"/>
        <v>267460.71291707526</v>
      </c>
      <c r="D137" s="414">
        <f t="shared" si="44"/>
        <v>283540.53901143634</v>
      </c>
      <c r="E137" s="414">
        <f t="shared" si="44"/>
        <v>299620.36510579742</v>
      </c>
      <c r="F137" s="414">
        <f t="shared" si="44"/>
        <v>315700.19120015856</v>
      </c>
      <c r="G137" s="414">
        <f t="shared" si="44"/>
        <v>331780.01729451964</v>
      </c>
      <c r="H137" s="414">
        <f t="shared" si="44"/>
        <v>347859.84338888072</v>
      </c>
      <c r="I137" s="414">
        <f t="shared" si="44"/>
        <v>363939.66948324186</v>
      </c>
      <c r="J137" s="164"/>
      <c r="K137" s="164"/>
      <c r="L137" s="164"/>
      <c r="M137" s="164"/>
      <c r="N137" s="164"/>
      <c r="O137" s="164"/>
      <c r="P137" s="164"/>
      <c r="Q137" s="164"/>
      <c r="R137" s="164"/>
      <c r="S137" s="164"/>
      <c r="T137" s="164"/>
      <c r="U137" s="164"/>
      <c r="V137" s="164"/>
      <c r="W137" s="164"/>
      <c r="X137" s="164"/>
    </row>
    <row r="138" spans="1:24" ht="15" thickTop="1" x14ac:dyDescent="0.3"/>
    <row r="139" spans="1:24" x14ac:dyDescent="0.3">
      <c r="A139" s="135" t="s">
        <v>864</v>
      </c>
      <c r="B139" s="135"/>
      <c r="C139" s="135"/>
      <c r="D139" s="135"/>
      <c r="E139" s="135"/>
      <c r="F139" s="135"/>
      <c r="G139" s="135"/>
      <c r="H139" s="135"/>
      <c r="I139" s="135"/>
      <c r="J139" s="135"/>
      <c r="K139" s="135"/>
      <c r="L139" s="135"/>
      <c r="M139" s="135"/>
      <c r="N139" s="135"/>
      <c r="O139" s="135"/>
      <c r="P139" s="135"/>
      <c r="Q139" s="135"/>
      <c r="R139" s="135"/>
      <c r="S139" s="135"/>
      <c r="T139" s="135"/>
      <c r="U139" s="135"/>
      <c r="V139" s="135"/>
      <c r="W139" s="135"/>
      <c r="X139" s="135"/>
    </row>
    <row r="140" spans="1:24" x14ac:dyDescent="0.3">
      <c r="A140" s="93" t="s">
        <v>725</v>
      </c>
      <c r="B140" s="93"/>
      <c r="C140" s="93"/>
      <c r="D140" s="94" t="s">
        <v>47</v>
      </c>
      <c r="E140" s="94" t="s">
        <v>48</v>
      </c>
      <c r="F140" s="94" t="s">
        <v>49</v>
      </c>
      <c r="G140" s="94" t="s">
        <v>50</v>
      </c>
      <c r="H140" s="94" t="s">
        <v>51</v>
      </c>
      <c r="I140" s="94" t="s">
        <v>52</v>
      </c>
      <c r="J140" s="94" t="s">
        <v>53</v>
      </c>
      <c r="K140" s="94" t="s">
        <v>54</v>
      </c>
      <c r="L140" s="94" t="s">
        <v>55</v>
      </c>
      <c r="M140" s="94" t="s">
        <v>56</v>
      </c>
      <c r="N140" s="94" t="s">
        <v>57</v>
      </c>
      <c r="O140" s="94" t="s">
        <v>179</v>
      </c>
      <c r="P140" s="94" t="s">
        <v>180</v>
      </c>
      <c r="Q140" s="94" t="s">
        <v>181</v>
      </c>
      <c r="R140" s="94" t="s">
        <v>182</v>
      </c>
      <c r="S140" s="94" t="s">
        <v>183</v>
      </c>
      <c r="T140" s="94" t="s">
        <v>184</v>
      </c>
      <c r="U140" s="94" t="s">
        <v>185</v>
      </c>
      <c r="V140" s="94" t="s">
        <v>186</v>
      </c>
      <c r="W140" s="94" t="s">
        <v>187</v>
      </c>
      <c r="X140" s="94" t="s">
        <v>188</v>
      </c>
    </row>
    <row r="141" spans="1:24" x14ac:dyDescent="0.3">
      <c r="A141" t="s">
        <v>195</v>
      </c>
      <c r="D141" s="44">
        <v>400</v>
      </c>
      <c r="E141" s="44">
        <v>408</v>
      </c>
      <c r="F141" s="44">
        <v>417</v>
      </c>
      <c r="G141" s="44">
        <v>425</v>
      </c>
      <c r="H141" s="44">
        <v>433</v>
      </c>
      <c r="I141" s="44">
        <v>441</v>
      </c>
      <c r="J141" s="44">
        <v>450</v>
      </c>
      <c r="K141" s="44">
        <v>458</v>
      </c>
      <c r="L141" s="44">
        <v>466</v>
      </c>
      <c r="M141" s="44">
        <v>474</v>
      </c>
      <c r="N141" s="44">
        <v>483</v>
      </c>
      <c r="O141" s="44">
        <v>491</v>
      </c>
      <c r="P141" s="44">
        <v>499</v>
      </c>
      <c r="Q141" s="44">
        <v>507</v>
      </c>
      <c r="R141" s="44">
        <v>516</v>
      </c>
      <c r="S141" s="44">
        <v>524</v>
      </c>
      <c r="T141" s="44">
        <v>532</v>
      </c>
      <c r="U141" s="44">
        <v>540</v>
      </c>
      <c r="V141" s="44">
        <v>549</v>
      </c>
      <c r="W141" s="44">
        <v>557</v>
      </c>
      <c r="X141" s="44">
        <v>565</v>
      </c>
    </row>
    <row r="142" spans="1:24" x14ac:dyDescent="0.3">
      <c r="A142" t="s">
        <v>196</v>
      </c>
      <c r="D142" s="16">
        <v>0.02</v>
      </c>
      <c r="E142" s="16">
        <v>0.03</v>
      </c>
      <c r="F142" s="16">
        <v>4.2999999999999997E-2</v>
      </c>
      <c r="G142" s="16">
        <v>5.8000000000000003E-2</v>
      </c>
      <c r="H142" s="16">
        <v>7.4999999999999997E-2</v>
      </c>
      <c r="I142" s="16">
        <v>9.2999999999999999E-2</v>
      </c>
      <c r="J142" s="16">
        <v>0.112</v>
      </c>
      <c r="K142" s="16">
        <v>0.13100000000000001</v>
      </c>
      <c r="L142" s="16">
        <v>0.15</v>
      </c>
      <c r="M142" s="16">
        <v>0.16800000000000001</v>
      </c>
      <c r="N142" s="16">
        <v>0.185</v>
      </c>
      <c r="O142" s="16">
        <v>0.20100000000000001</v>
      </c>
      <c r="P142" s="16">
        <v>0.216</v>
      </c>
      <c r="Q142" s="16">
        <v>0.23</v>
      </c>
      <c r="R142" s="16">
        <v>0.24299999999999999</v>
      </c>
      <c r="S142" s="16">
        <v>0.255</v>
      </c>
      <c r="T142" s="16">
        <v>0.26600000000000001</v>
      </c>
      <c r="U142" s="16">
        <v>0.27600000000000002</v>
      </c>
      <c r="V142" s="16">
        <v>0.28499999999999998</v>
      </c>
      <c r="W142" s="16">
        <v>0.29299999999999998</v>
      </c>
      <c r="X142" s="16">
        <v>0.3</v>
      </c>
    </row>
    <row r="143" spans="1:24" x14ac:dyDescent="0.3">
      <c r="A143" t="s">
        <v>197</v>
      </c>
      <c r="D143" s="64">
        <f t="shared" ref="D143:X143" si="45">D141*D142</f>
        <v>8</v>
      </c>
      <c r="E143" s="64">
        <f t="shared" si="45"/>
        <v>12.24</v>
      </c>
      <c r="F143" s="64">
        <f t="shared" si="45"/>
        <v>17.930999999999997</v>
      </c>
      <c r="G143" s="64">
        <f t="shared" si="45"/>
        <v>24.650000000000002</v>
      </c>
      <c r="H143" s="64">
        <f t="shared" si="45"/>
        <v>32.475000000000001</v>
      </c>
      <c r="I143" s="64">
        <f t="shared" si="45"/>
        <v>41.012999999999998</v>
      </c>
      <c r="J143" s="64">
        <f t="shared" si="45"/>
        <v>50.4</v>
      </c>
      <c r="K143" s="64">
        <f t="shared" si="45"/>
        <v>59.998000000000005</v>
      </c>
      <c r="L143" s="64">
        <f t="shared" si="45"/>
        <v>69.899999999999991</v>
      </c>
      <c r="M143" s="64">
        <f t="shared" si="45"/>
        <v>79.632000000000005</v>
      </c>
      <c r="N143" s="64">
        <f t="shared" si="45"/>
        <v>89.355000000000004</v>
      </c>
      <c r="O143" s="64">
        <f t="shared" si="45"/>
        <v>98.691000000000003</v>
      </c>
      <c r="P143" s="64">
        <f t="shared" si="45"/>
        <v>107.78399999999999</v>
      </c>
      <c r="Q143" s="64">
        <f t="shared" si="45"/>
        <v>116.61</v>
      </c>
      <c r="R143" s="64">
        <f t="shared" si="45"/>
        <v>125.38799999999999</v>
      </c>
      <c r="S143" s="64">
        <f t="shared" si="45"/>
        <v>133.62</v>
      </c>
      <c r="T143" s="64">
        <f t="shared" si="45"/>
        <v>141.512</v>
      </c>
      <c r="U143" s="64">
        <f t="shared" si="45"/>
        <v>149.04000000000002</v>
      </c>
      <c r="V143" s="64">
        <f t="shared" si="45"/>
        <v>156.46499999999997</v>
      </c>
      <c r="W143" s="64">
        <f t="shared" si="45"/>
        <v>163.20099999999999</v>
      </c>
      <c r="X143" s="64">
        <f t="shared" si="45"/>
        <v>169.5</v>
      </c>
    </row>
    <row r="144" spans="1:24" x14ac:dyDescent="0.3">
      <c r="A144" t="s">
        <v>198</v>
      </c>
      <c r="D144" s="43">
        <v>81</v>
      </c>
      <c r="E144" s="43">
        <v>78</v>
      </c>
      <c r="F144" s="43">
        <v>75</v>
      </c>
      <c r="G144" s="43">
        <v>73</v>
      </c>
      <c r="H144" s="43">
        <v>70</v>
      </c>
      <c r="I144" s="43">
        <v>67</v>
      </c>
      <c r="J144" s="43">
        <v>64</v>
      </c>
      <c r="K144" s="43">
        <v>61</v>
      </c>
      <c r="L144" s="43">
        <v>59</v>
      </c>
      <c r="M144" s="43">
        <v>56</v>
      </c>
      <c r="N144" s="43">
        <v>53</v>
      </c>
      <c r="O144" s="43">
        <v>50</v>
      </c>
      <c r="P144" s="43">
        <v>47</v>
      </c>
      <c r="Q144" s="43">
        <v>45</v>
      </c>
      <c r="R144" s="43">
        <v>42</v>
      </c>
      <c r="S144" s="43">
        <v>39</v>
      </c>
      <c r="T144" s="43">
        <v>36</v>
      </c>
      <c r="U144" s="43">
        <v>33</v>
      </c>
      <c r="V144" s="43">
        <v>31</v>
      </c>
      <c r="W144" s="43">
        <v>28</v>
      </c>
      <c r="X144" s="43">
        <v>25</v>
      </c>
    </row>
    <row r="145" spans="1:24" x14ac:dyDescent="0.3">
      <c r="A145" t="s">
        <v>199</v>
      </c>
      <c r="D145" s="67">
        <f t="shared" ref="D145:X145" si="46">D143*D144*12</f>
        <v>7776</v>
      </c>
      <c r="E145" s="67">
        <f t="shared" si="46"/>
        <v>11456.64</v>
      </c>
      <c r="F145" s="67">
        <f t="shared" si="46"/>
        <v>16137.899999999998</v>
      </c>
      <c r="G145" s="67">
        <f t="shared" si="46"/>
        <v>21593.4</v>
      </c>
      <c r="H145" s="67">
        <f t="shared" si="46"/>
        <v>27279</v>
      </c>
      <c r="I145" s="67">
        <f t="shared" si="46"/>
        <v>32974.452000000005</v>
      </c>
      <c r="J145" s="67">
        <f t="shared" si="46"/>
        <v>38707.199999999997</v>
      </c>
      <c r="K145" s="67">
        <f t="shared" si="46"/>
        <v>43918.536</v>
      </c>
      <c r="L145" s="67">
        <f t="shared" si="46"/>
        <v>49489.2</v>
      </c>
      <c r="M145" s="67">
        <f t="shared" si="46"/>
        <v>53512.703999999998</v>
      </c>
      <c r="N145" s="67">
        <f t="shared" si="46"/>
        <v>56829.780000000006</v>
      </c>
      <c r="O145" s="67">
        <f t="shared" si="46"/>
        <v>59214.600000000006</v>
      </c>
      <c r="P145" s="67">
        <f t="shared" si="46"/>
        <v>60790.175999999999</v>
      </c>
      <c r="Q145" s="67">
        <f t="shared" si="46"/>
        <v>62969.399999999994</v>
      </c>
      <c r="R145" s="67">
        <f t="shared" si="46"/>
        <v>63195.551999999996</v>
      </c>
      <c r="S145" s="67">
        <f t="shared" si="46"/>
        <v>62534.16</v>
      </c>
      <c r="T145" s="67">
        <f t="shared" si="46"/>
        <v>61133.183999999994</v>
      </c>
      <c r="U145" s="67">
        <f t="shared" si="46"/>
        <v>59019.840000000011</v>
      </c>
      <c r="V145" s="67">
        <f t="shared" si="46"/>
        <v>58204.979999999989</v>
      </c>
      <c r="W145" s="67">
        <f t="shared" si="46"/>
        <v>54835.535999999993</v>
      </c>
      <c r="X145" s="67">
        <f t="shared" si="46"/>
        <v>50850</v>
      </c>
    </row>
    <row r="146" spans="1:24" x14ac:dyDescent="0.3">
      <c r="A146" t="s">
        <v>200</v>
      </c>
      <c r="D146" s="39">
        <v>4179</v>
      </c>
      <c r="E146" s="67">
        <f t="shared" ref="E146:X146" si="47">D146*(1+E147)</f>
        <v>5641.6500000000005</v>
      </c>
      <c r="F146" s="67">
        <f t="shared" si="47"/>
        <v>7334.1450000000013</v>
      </c>
      <c r="G146" s="67">
        <f t="shared" si="47"/>
        <v>9241.0227000000014</v>
      </c>
      <c r="H146" s="67">
        <f t="shared" si="47"/>
        <v>11274.047694000001</v>
      </c>
      <c r="I146" s="67">
        <f t="shared" si="47"/>
        <v>13303.376278920001</v>
      </c>
      <c r="J146" s="67">
        <f t="shared" si="47"/>
        <v>15298.882720758</v>
      </c>
      <c r="K146" s="67">
        <f t="shared" si="47"/>
        <v>17287.737474456539</v>
      </c>
      <c r="L146" s="67">
        <f t="shared" si="47"/>
        <v>19189.388596646761</v>
      </c>
      <c r="M146" s="67">
        <f t="shared" si="47"/>
        <v>21108.327456311439</v>
      </c>
      <c r="N146" s="67">
        <f t="shared" si="47"/>
        <v>23008.076927379472</v>
      </c>
      <c r="O146" s="67">
        <f t="shared" si="47"/>
        <v>24848.723081569831</v>
      </c>
      <c r="P146" s="67">
        <f t="shared" si="47"/>
        <v>26588.133697279722</v>
      </c>
      <c r="Q146" s="67">
        <f t="shared" si="47"/>
        <v>28316.362387602901</v>
      </c>
      <c r="R146" s="67">
        <f t="shared" si="47"/>
        <v>30015.344130859077</v>
      </c>
      <c r="S146" s="67">
        <f t="shared" si="47"/>
        <v>31666.188058056323</v>
      </c>
      <c r="T146" s="67">
        <f t="shared" si="47"/>
        <v>33249.497460959137</v>
      </c>
      <c r="U146" s="67">
        <f t="shared" si="47"/>
        <v>34911.972334007092</v>
      </c>
      <c r="V146" s="67">
        <f t="shared" si="47"/>
        <v>36483.011089037405</v>
      </c>
      <c r="W146" s="67">
        <f t="shared" si="47"/>
        <v>37942.331532598902</v>
      </c>
      <c r="X146" s="67">
        <f t="shared" si="47"/>
        <v>39460.024793902863</v>
      </c>
    </row>
    <row r="147" spans="1:24" x14ac:dyDescent="0.3">
      <c r="A147" t="s">
        <v>201</v>
      </c>
      <c r="D147" s="15"/>
      <c r="E147" s="16">
        <v>0.35</v>
      </c>
      <c r="F147" s="16">
        <v>0.3</v>
      </c>
      <c r="G147" s="16">
        <v>0.26</v>
      </c>
      <c r="H147" s="16">
        <v>0.22</v>
      </c>
      <c r="I147" s="16">
        <v>0.18</v>
      </c>
      <c r="J147" s="16">
        <v>0.15</v>
      </c>
      <c r="K147" s="16">
        <v>0.13</v>
      </c>
      <c r="L147" s="16">
        <v>0.11</v>
      </c>
      <c r="M147" s="16">
        <v>0.1</v>
      </c>
      <c r="N147" s="16">
        <v>0.09</v>
      </c>
      <c r="O147" s="16">
        <v>0.08</v>
      </c>
      <c r="P147" s="16">
        <v>7.0000000000000007E-2</v>
      </c>
      <c r="Q147" s="16">
        <v>6.5000000000000002E-2</v>
      </c>
      <c r="R147" s="16">
        <v>0.06</v>
      </c>
      <c r="S147" s="16">
        <v>5.5E-2</v>
      </c>
      <c r="T147" s="16">
        <v>0.05</v>
      </c>
      <c r="U147" s="16">
        <v>0.05</v>
      </c>
      <c r="V147" s="16">
        <v>4.4999999999999998E-2</v>
      </c>
      <c r="W147" s="16">
        <v>0.04</v>
      </c>
      <c r="X147" s="16">
        <v>0.04</v>
      </c>
    </row>
    <row r="148" spans="1:24" x14ac:dyDescent="0.3">
      <c r="A148" s="1" t="s">
        <v>202</v>
      </c>
      <c r="B148" s="1"/>
      <c r="C148" s="1"/>
      <c r="D148" s="415">
        <f t="shared" ref="D148:X148" si="48">D145+D146</f>
        <v>11955</v>
      </c>
      <c r="E148" s="415">
        <f t="shared" si="48"/>
        <v>17098.29</v>
      </c>
      <c r="F148" s="415">
        <f t="shared" si="48"/>
        <v>23472.044999999998</v>
      </c>
      <c r="G148" s="415">
        <f t="shared" si="48"/>
        <v>30834.422700000003</v>
      </c>
      <c r="H148" s="415">
        <f t="shared" si="48"/>
        <v>38553.047694000001</v>
      </c>
      <c r="I148" s="415">
        <f t="shared" si="48"/>
        <v>46277.828278920002</v>
      </c>
      <c r="J148" s="415">
        <f t="shared" si="48"/>
        <v>54006.082720758001</v>
      </c>
      <c r="K148" s="415">
        <f t="shared" si="48"/>
        <v>61206.273474456539</v>
      </c>
      <c r="L148" s="415">
        <f t="shared" si="48"/>
        <v>68678.588596646761</v>
      </c>
      <c r="M148" s="415">
        <f t="shared" si="48"/>
        <v>74621.031456311437</v>
      </c>
      <c r="N148" s="415">
        <f t="shared" si="48"/>
        <v>79837.856927379471</v>
      </c>
      <c r="O148" s="415">
        <f t="shared" si="48"/>
        <v>84063.323081569833</v>
      </c>
      <c r="P148" s="415">
        <f t="shared" si="48"/>
        <v>87378.309697279721</v>
      </c>
      <c r="Q148" s="415">
        <f t="shared" si="48"/>
        <v>91285.762387602896</v>
      </c>
      <c r="R148" s="415">
        <f t="shared" si="48"/>
        <v>93210.896130859066</v>
      </c>
      <c r="S148" s="415">
        <f t="shared" si="48"/>
        <v>94200.348058056319</v>
      </c>
      <c r="T148" s="415">
        <f t="shared" si="48"/>
        <v>94382.681460959138</v>
      </c>
      <c r="U148" s="415">
        <f t="shared" si="48"/>
        <v>93931.812334007103</v>
      </c>
      <c r="V148" s="415">
        <f t="shared" si="48"/>
        <v>94687.991089037387</v>
      </c>
      <c r="W148" s="415">
        <f t="shared" si="48"/>
        <v>92777.867532598902</v>
      </c>
      <c r="X148" s="415">
        <f t="shared" si="48"/>
        <v>90310.024793902863</v>
      </c>
    </row>
    <row r="149" spans="1:24" x14ac:dyDescent="0.3">
      <c r="A149" t="s">
        <v>203</v>
      </c>
      <c r="D149" s="67">
        <f t="shared" ref="D149:X149" si="49">D50</f>
        <v>11387</v>
      </c>
      <c r="E149" s="67">
        <f t="shared" si="49"/>
        <v>15714.06</v>
      </c>
      <c r="F149" s="67">
        <f t="shared" si="49"/>
        <v>20742.5592</v>
      </c>
      <c r="G149" s="67">
        <f t="shared" si="49"/>
        <v>26135.624592</v>
      </c>
      <c r="H149" s="67">
        <f t="shared" si="49"/>
        <v>31885.462002239998</v>
      </c>
      <c r="I149" s="67">
        <f t="shared" si="49"/>
        <v>37624.845162643192</v>
      </c>
      <c r="J149" s="67">
        <f t="shared" si="49"/>
        <v>43268.571937039669</v>
      </c>
      <c r="K149" s="67">
        <f t="shared" si="49"/>
        <v>48893.486288854823</v>
      </c>
      <c r="L149" s="67">
        <f t="shared" si="49"/>
        <v>54271.769780628856</v>
      </c>
      <c r="M149" s="67">
        <f t="shared" si="49"/>
        <v>59156.22906088546</v>
      </c>
      <c r="N149" s="67">
        <f t="shared" si="49"/>
        <v>63888.727385756298</v>
      </c>
      <c r="O149" s="67">
        <f t="shared" si="49"/>
        <v>68360.938302759241</v>
      </c>
      <c r="P149" s="67">
        <f t="shared" si="49"/>
        <v>72804.399292438582</v>
      </c>
      <c r="Q149" s="67">
        <f t="shared" si="49"/>
        <v>77172.663249984907</v>
      </c>
      <c r="R149" s="67">
        <f t="shared" si="49"/>
        <v>81417.15972873407</v>
      </c>
      <c r="S149" s="67">
        <f t="shared" si="49"/>
        <v>85488.017715170776</v>
      </c>
      <c r="T149" s="67">
        <f t="shared" si="49"/>
        <v>89334.978512353453</v>
      </c>
      <c r="U149" s="67">
        <f t="shared" si="49"/>
        <v>92908.377652847601</v>
      </c>
      <c r="V149" s="67">
        <f t="shared" si="49"/>
        <v>96438.896003655813</v>
      </c>
      <c r="W149" s="67">
        <f t="shared" si="49"/>
        <v>99814.257363783763</v>
      </c>
      <c r="X149" s="67">
        <f t="shared" si="49"/>
        <v>102808.68508469728</v>
      </c>
    </row>
    <row r="150" spans="1:24" ht="15" thickBot="1" x14ac:dyDescent="0.35">
      <c r="A150" s="215" t="s">
        <v>204</v>
      </c>
      <c r="B150" s="164"/>
      <c r="C150" s="164"/>
      <c r="D150" s="230">
        <f t="shared" ref="D150:X150" si="50">IF(D149=0,0,D148/D149-1)</f>
        <v>4.9881443751646604E-2</v>
      </c>
      <c r="E150" s="230">
        <f t="shared" si="50"/>
        <v>8.8088628909397171E-2</v>
      </c>
      <c r="F150" s="230">
        <f t="shared" si="50"/>
        <v>0.13158867108355654</v>
      </c>
      <c r="G150" s="230">
        <f t="shared" si="50"/>
        <v>0.17978518521567244</v>
      </c>
      <c r="H150" s="230">
        <f t="shared" si="50"/>
        <v>0.20911052476804626</v>
      </c>
      <c r="I150" s="230">
        <f t="shared" si="50"/>
        <v>0.22998056414244461</v>
      </c>
      <c r="J150" s="230">
        <f t="shared" si="50"/>
        <v>0.24815958334244415</v>
      </c>
      <c r="K150" s="230">
        <f t="shared" si="50"/>
        <v>0.25182878375372453</v>
      </c>
      <c r="L150" s="230">
        <f t="shared" si="50"/>
        <v>0.26545695624542009</v>
      </c>
      <c r="M150" s="230">
        <f t="shared" si="50"/>
        <v>0.26142305959883139</v>
      </c>
      <c r="N150" s="230">
        <f t="shared" si="50"/>
        <v>0.24963918040381805</v>
      </c>
      <c r="O150" s="230">
        <f t="shared" si="50"/>
        <v>0.22969820439367483</v>
      </c>
      <c r="P150" s="230">
        <f t="shared" si="50"/>
        <v>0.20017898020559288</v>
      </c>
      <c r="Q150" s="230">
        <f t="shared" si="50"/>
        <v>0.18287692225809948</v>
      </c>
      <c r="R150" s="230">
        <f t="shared" si="50"/>
        <v>0.144855659929914</v>
      </c>
      <c r="S150" s="230">
        <f t="shared" si="50"/>
        <v>0.10191288294826673</v>
      </c>
      <c r="T150" s="230">
        <f t="shared" si="50"/>
        <v>5.6503096913015805E-2</v>
      </c>
      <c r="U150" s="230">
        <f t="shared" si="50"/>
        <v>1.1015526339116288E-2</v>
      </c>
      <c r="V150" s="230">
        <f t="shared" si="50"/>
        <v>-1.8155588535066269E-2</v>
      </c>
      <c r="W150" s="230">
        <f t="shared" si="50"/>
        <v>-7.0494837281010692E-2</v>
      </c>
      <c r="X150" s="230">
        <f t="shared" si="50"/>
        <v>-0.12157202750426777</v>
      </c>
    </row>
    <row r="151" spans="1:24" ht="15" thickTop="1" x14ac:dyDescent="0.3">
      <c r="A151" s="2"/>
      <c r="D151" s="21"/>
      <c r="E151" s="21"/>
      <c r="F151" s="21"/>
      <c r="G151" s="21"/>
      <c r="H151" s="21"/>
      <c r="I151" s="21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</row>
    <row r="152" spans="1:24" x14ac:dyDescent="0.3">
      <c r="A152" s="126" t="s">
        <v>720</v>
      </c>
      <c r="B152" s="91"/>
      <c r="C152" s="91"/>
      <c r="D152" s="91"/>
      <c r="E152" s="91"/>
      <c r="F152" s="91"/>
      <c r="G152" s="91"/>
      <c r="H152" s="91"/>
      <c r="I152" s="91"/>
      <c r="J152" s="91"/>
      <c r="K152" s="91"/>
      <c r="L152" s="91"/>
      <c r="M152" s="91"/>
      <c r="N152" s="91"/>
      <c r="O152" s="91"/>
      <c r="P152" s="91"/>
      <c r="Q152" s="91"/>
      <c r="R152" s="91"/>
      <c r="S152" s="91"/>
      <c r="T152" s="91"/>
      <c r="U152" s="91"/>
      <c r="V152" s="91"/>
      <c r="W152" s="91"/>
      <c r="X152" s="91"/>
    </row>
    <row r="153" spans="1:24" s="82" customFormat="1" ht="3" customHeight="1" x14ac:dyDescent="0.3">
      <c r="A153" s="112"/>
      <c r="B153" s="149"/>
      <c r="C153" s="149"/>
      <c r="D153" s="149"/>
      <c r="E153" s="149"/>
      <c r="F153" s="149"/>
      <c r="G153" s="149"/>
      <c r="H153" s="149"/>
      <c r="I153" s="149"/>
      <c r="J153" s="149"/>
      <c r="K153" s="149"/>
      <c r="L153" s="149"/>
      <c r="M153" s="149"/>
      <c r="N153" s="149"/>
      <c r="O153" s="149"/>
      <c r="P153" s="149"/>
      <c r="Q153" s="149"/>
      <c r="R153" s="149"/>
      <c r="S153" s="149"/>
      <c r="T153" s="149"/>
      <c r="U153" s="149"/>
      <c r="V153" s="149"/>
      <c r="W153" s="149"/>
      <c r="X153" s="149"/>
    </row>
    <row r="154" spans="1:24" x14ac:dyDescent="0.3">
      <c r="A154" s="93" t="s">
        <v>684</v>
      </c>
      <c r="B154" s="93"/>
      <c r="C154" s="93"/>
      <c r="D154" s="93"/>
      <c r="E154" s="93"/>
      <c r="F154" s="93"/>
      <c r="G154" s="93"/>
      <c r="H154" s="93"/>
      <c r="I154" s="93"/>
      <c r="J154" s="93"/>
      <c r="K154" s="93"/>
      <c r="L154" s="93"/>
      <c r="M154" s="93"/>
      <c r="N154" s="93"/>
      <c r="O154" s="93"/>
      <c r="P154" s="93"/>
      <c r="Q154" s="93"/>
      <c r="R154" s="93"/>
      <c r="S154" s="93"/>
      <c r="T154" s="93"/>
      <c r="U154" s="93"/>
      <c r="V154" s="93"/>
      <c r="W154" s="93"/>
      <c r="X154" s="93"/>
    </row>
    <row r="155" spans="1:24" x14ac:dyDescent="0.3">
      <c r="A155" t="s">
        <v>685</v>
      </c>
      <c r="C155" s="147">
        <v>4</v>
      </c>
      <c r="D155" s="58" t="s">
        <v>689</v>
      </c>
    </row>
    <row r="156" spans="1:24" x14ac:dyDescent="0.3">
      <c r="A156" t="s">
        <v>686</v>
      </c>
      <c r="C156" s="147">
        <v>1</v>
      </c>
      <c r="D156" s="58" t="s">
        <v>690</v>
      </c>
    </row>
    <row r="157" spans="1:24" x14ac:dyDescent="0.3">
      <c r="A157" t="s">
        <v>865</v>
      </c>
      <c r="C157" s="148">
        <f>D50/$C$158</f>
        <v>1.1861458333333332</v>
      </c>
    </row>
    <row r="158" spans="1:24" x14ac:dyDescent="0.3">
      <c r="A158" t="s">
        <v>687</v>
      </c>
      <c r="C158" s="147">
        <v>9600</v>
      </c>
    </row>
    <row r="159" spans="1:24" x14ac:dyDescent="0.3">
      <c r="A159" t="s">
        <v>688</v>
      </c>
      <c r="C159" s="147">
        <v>0</v>
      </c>
    </row>
    <row r="160" spans="1:24" ht="3" customHeight="1" x14ac:dyDescent="0.3"/>
    <row r="161" spans="1:24" x14ac:dyDescent="0.3">
      <c r="A161" s="93" t="s">
        <v>691</v>
      </c>
      <c r="B161" s="93"/>
      <c r="C161" s="93"/>
      <c r="D161" s="93"/>
      <c r="E161" s="93"/>
      <c r="F161" s="93"/>
      <c r="G161" s="93"/>
      <c r="H161" s="93"/>
      <c r="I161" s="93"/>
      <c r="J161" s="93"/>
      <c r="K161" s="93"/>
      <c r="L161" s="93"/>
      <c r="M161" s="93"/>
      <c r="N161" s="93"/>
      <c r="O161" s="93"/>
      <c r="P161" s="93"/>
      <c r="Q161" s="93"/>
      <c r="R161" s="93"/>
      <c r="S161" s="93"/>
      <c r="T161" s="93"/>
      <c r="U161" s="93"/>
      <c r="V161" s="93"/>
      <c r="W161" s="93"/>
      <c r="X161" s="93"/>
    </row>
    <row r="162" spans="1:24" x14ac:dyDescent="0.3">
      <c r="A162" t="s">
        <v>866</v>
      </c>
      <c r="D162" s="136">
        <f>$C$157</f>
        <v>1.1861458333333332</v>
      </c>
      <c r="E162" s="136">
        <f t="shared" ref="E162:X162" si="51">E50/E163</f>
        <v>1.4233750000000001</v>
      </c>
      <c r="F162" s="136">
        <f t="shared" si="51"/>
        <v>1.6337869565217391</v>
      </c>
      <c r="G162" s="136">
        <f t="shared" si="51"/>
        <v>1.7901112734246576</v>
      </c>
      <c r="H162" s="136">
        <f t="shared" si="51"/>
        <v>1.9853961396164381</v>
      </c>
      <c r="I162" s="136">
        <f t="shared" si="51"/>
        <v>2.1297885861339969</v>
      </c>
      <c r="J162" s="136">
        <f t="shared" si="51"/>
        <v>2.2265513269716291</v>
      </c>
      <c r="K162" s="136">
        <f t="shared" si="51"/>
        <v>2.3961522317498076</v>
      </c>
      <c r="L162" s="136">
        <f t="shared" si="51"/>
        <v>2.5331047738916621</v>
      </c>
      <c r="M162" s="136">
        <f t="shared" si="51"/>
        <v>2.6296332263907121</v>
      </c>
      <c r="N162" s="136">
        <f t="shared" si="51"/>
        <v>2.7047427029235127</v>
      </c>
      <c r="O162" s="136">
        <f t="shared" si="51"/>
        <v>2.8373775911160601</v>
      </c>
      <c r="P162" s="136">
        <f t="shared" si="51"/>
        <v>2.9625391370270022</v>
      </c>
      <c r="Q162" s="136">
        <f t="shared" si="51"/>
        <v>3.0786557326359318</v>
      </c>
      <c r="R162" s="136">
        <f t="shared" si="51"/>
        <v>3.1843382246845304</v>
      </c>
      <c r="S162" s="136">
        <f t="shared" si="51"/>
        <v>3.2780404814283819</v>
      </c>
      <c r="T162" s="136">
        <f t="shared" si="51"/>
        <v>3.3916089032784149</v>
      </c>
      <c r="U162" s="136">
        <f t="shared" si="51"/>
        <v>3.4924022724071571</v>
      </c>
      <c r="V162" s="136">
        <f t="shared" si="51"/>
        <v>3.5892253527729285</v>
      </c>
      <c r="W162" s="136">
        <f t="shared" si="51"/>
        <v>3.6780255495535323</v>
      </c>
      <c r="X162" s="136">
        <f t="shared" si="51"/>
        <v>3.7509097407675318</v>
      </c>
    </row>
    <row r="163" spans="1:24" x14ac:dyDescent="0.3">
      <c r="A163" t="s">
        <v>771</v>
      </c>
      <c r="D163" s="325">
        <f>$C$158</f>
        <v>9600</v>
      </c>
      <c r="E163" s="325">
        <f t="shared" ref="E163:X163" si="52">E43</f>
        <v>11040</v>
      </c>
      <c r="F163" s="325">
        <f t="shared" si="52"/>
        <v>12696</v>
      </c>
      <c r="G163" s="325">
        <f t="shared" si="52"/>
        <v>14600</v>
      </c>
      <c r="H163" s="325">
        <f t="shared" si="52"/>
        <v>16060</v>
      </c>
      <c r="I163" s="325">
        <f t="shared" si="52"/>
        <v>17666</v>
      </c>
      <c r="J163" s="325">
        <f t="shared" si="52"/>
        <v>19433</v>
      </c>
      <c r="K163" s="325">
        <f t="shared" si="52"/>
        <v>20405</v>
      </c>
      <c r="L163" s="325">
        <f t="shared" si="52"/>
        <v>21425</v>
      </c>
      <c r="M163" s="325">
        <f t="shared" si="52"/>
        <v>22496</v>
      </c>
      <c r="N163" s="325">
        <f t="shared" si="52"/>
        <v>23621</v>
      </c>
      <c r="O163" s="325">
        <f t="shared" si="52"/>
        <v>24093</v>
      </c>
      <c r="P163" s="325">
        <f t="shared" si="52"/>
        <v>24575</v>
      </c>
      <c r="Q163" s="325">
        <f t="shared" si="52"/>
        <v>25067</v>
      </c>
      <c r="R163" s="325">
        <f t="shared" si="52"/>
        <v>25568</v>
      </c>
      <c r="S163" s="325">
        <f t="shared" si="52"/>
        <v>26079</v>
      </c>
      <c r="T163" s="325">
        <f t="shared" si="52"/>
        <v>26340</v>
      </c>
      <c r="U163" s="325">
        <f t="shared" si="52"/>
        <v>26603</v>
      </c>
      <c r="V163" s="325">
        <f t="shared" si="52"/>
        <v>26869</v>
      </c>
      <c r="W163" s="325">
        <f t="shared" si="52"/>
        <v>27138</v>
      </c>
      <c r="X163" s="325">
        <f t="shared" si="52"/>
        <v>27409</v>
      </c>
    </row>
    <row r="164" spans="1:24" x14ac:dyDescent="0.3">
      <c r="A164" t="s">
        <v>692</v>
      </c>
      <c r="D164" s="416">
        <v>0</v>
      </c>
      <c r="E164" s="325">
        <f>MAX(E163-D163,0)</f>
        <v>1440</v>
      </c>
      <c r="F164" s="325">
        <f t="shared" ref="F164:X164" si="53">MAX(F163-E163,0)</f>
        <v>1656</v>
      </c>
      <c r="G164" s="325">
        <f t="shared" si="53"/>
        <v>1904</v>
      </c>
      <c r="H164" s="325">
        <f t="shared" si="53"/>
        <v>1460</v>
      </c>
      <c r="I164" s="325">
        <f t="shared" si="53"/>
        <v>1606</v>
      </c>
      <c r="J164" s="325">
        <f t="shared" si="53"/>
        <v>1767</v>
      </c>
      <c r="K164" s="325">
        <f t="shared" si="53"/>
        <v>972</v>
      </c>
      <c r="L164" s="325">
        <f t="shared" si="53"/>
        <v>1020</v>
      </c>
      <c r="M164" s="325">
        <f t="shared" si="53"/>
        <v>1071</v>
      </c>
      <c r="N164" s="325">
        <f t="shared" si="53"/>
        <v>1125</v>
      </c>
      <c r="O164" s="325">
        <f t="shared" si="53"/>
        <v>472</v>
      </c>
      <c r="P164" s="325">
        <f t="shared" si="53"/>
        <v>482</v>
      </c>
      <c r="Q164" s="325">
        <f t="shared" si="53"/>
        <v>492</v>
      </c>
      <c r="R164" s="325">
        <f t="shared" si="53"/>
        <v>501</v>
      </c>
      <c r="S164" s="325">
        <f t="shared" si="53"/>
        <v>511</v>
      </c>
      <c r="T164" s="325">
        <f t="shared" si="53"/>
        <v>261</v>
      </c>
      <c r="U164" s="325">
        <f t="shared" si="53"/>
        <v>263</v>
      </c>
      <c r="V164" s="325">
        <f t="shared" si="53"/>
        <v>266</v>
      </c>
      <c r="W164" s="325">
        <f t="shared" si="53"/>
        <v>269</v>
      </c>
      <c r="X164" s="325">
        <f t="shared" si="53"/>
        <v>271</v>
      </c>
    </row>
    <row r="165" spans="1:24" x14ac:dyDescent="0.3">
      <c r="A165" t="s">
        <v>693</v>
      </c>
      <c r="D165" s="333">
        <f>D163/$C$155</f>
        <v>2400</v>
      </c>
      <c r="E165" s="325">
        <f t="shared" ref="E165:X165" si="54">D163/$C$155</f>
        <v>2400</v>
      </c>
      <c r="F165" s="325">
        <f t="shared" si="54"/>
        <v>2760</v>
      </c>
      <c r="G165" s="325">
        <f t="shared" si="54"/>
        <v>3174</v>
      </c>
      <c r="H165" s="325">
        <f t="shared" si="54"/>
        <v>3650</v>
      </c>
      <c r="I165" s="325">
        <f t="shared" si="54"/>
        <v>4015</v>
      </c>
      <c r="J165" s="325">
        <f t="shared" si="54"/>
        <v>4416.5</v>
      </c>
      <c r="K165" s="325">
        <f t="shared" si="54"/>
        <v>4858.25</v>
      </c>
      <c r="L165" s="325">
        <f t="shared" si="54"/>
        <v>5101.25</v>
      </c>
      <c r="M165" s="325">
        <f t="shared" si="54"/>
        <v>5356.25</v>
      </c>
      <c r="N165" s="325">
        <f t="shared" si="54"/>
        <v>5624</v>
      </c>
      <c r="O165" s="325">
        <f t="shared" si="54"/>
        <v>5905.25</v>
      </c>
      <c r="P165" s="325">
        <f t="shared" si="54"/>
        <v>6023.25</v>
      </c>
      <c r="Q165" s="325">
        <f t="shared" si="54"/>
        <v>6143.75</v>
      </c>
      <c r="R165" s="325">
        <f t="shared" si="54"/>
        <v>6266.75</v>
      </c>
      <c r="S165" s="325">
        <f t="shared" si="54"/>
        <v>6392</v>
      </c>
      <c r="T165" s="325">
        <f t="shared" si="54"/>
        <v>6519.75</v>
      </c>
      <c r="U165" s="325">
        <f t="shared" si="54"/>
        <v>6585</v>
      </c>
      <c r="V165" s="325">
        <f t="shared" si="54"/>
        <v>6650.75</v>
      </c>
      <c r="W165" s="325">
        <f t="shared" si="54"/>
        <v>6717.25</v>
      </c>
      <c r="X165" s="325">
        <f t="shared" si="54"/>
        <v>6784.5</v>
      </c>
    </row>
    <row r="166" spans="1:24" x14ac:dyDescent="0.3">
      <c r="A166" t="s">
        <v>694</v>
      </c>
      <c r="D166" s="333">
        <f>D164+D165</f>
        <v>2400</v>
      </c>
      <c r="E166" s="325">
        <f>E164+E165</f>
        <v>3840</v>
      </c>
      <c r="F166" s="325">
        <f t="shared" ref="F166:X166" si="55">F164+F165</f>
        <v>4416</v>
      </c>
      <c r="G166" s="325">
        <f t="shared" si="55"/>
        <v>5078</v>
      </c>
      <c r="H166" s="325">
        <f t="shared" si="55"/>
        <v>5110</v>
      </c>
      <c r="I166" s="325">
        <f t="shared" si="55"/>
        <v>5621</v>
      </c>
      <c r="J166" s="325">
        <f t="shared" si="55"/>
        <v>6183.5</v>
      </c>
      <c r="K166" s="325">
        <f t="shared" si="55"/>
        <v>5830.25</v>
      </c>
      <c r="L166" s="325">
        <f t="shared" si="55"/>
        <v>6121.25</v>
      </c>
      <c r="M166" s="325">
        <f t="shared" si="55"/>
        <v>6427.25</v>
      </c>
      <c r="N166" s="325">
        <f t="shared" si="55"/>
        <v>6749</v>
      </c>
      <c r="O166" s="325">
        <f t="shared" si="55"/>
        <v>6377.25</v>
      </c>
      <c r="P166" s="325">
        <f t="shared" si="55"/>
        <v>6505.25</v>
      </c>
      <c r="Q166" s="325">
        <f t="shared" si="55"/>
        <v>6635.75</v>
      </c>
      <c r="R166" s="325">
        <f t="shared" si="55"/>
        <v>6767.75</v>
      </c>
      <c r="S166" s="325">
        <f t="shared" si="55"/>
        <v>6903</v>
      </c>
      <c r="T166" s="325">
        <f t="shared" si="55"/>
        <v>6780.75</v>
      </c>
      <c r="U166" s="325">
        <f t="shared" si="55"/>
        <v>6848</v>
      </c>
      <c r="V166" s="325">
        <f t="shared" si="55"/>
        <v>6916.75</v>
      </c>
      <c r="W166" s="325">
        <f t="shared" si="55"/>
        <v>6986.25</v>
      </c>
      <c r="X166" s="325">
        <f t="shared" si="55"/>
        <v>7055.5</v>
      </c>
    </row>
    <row r="167" spans="1:24" x14ac:dyDescent="0.3">
      <c r="A167" t="s">
        <v>695</v>
      </c>
      <c r="D167" s="401">
        <f t="shared" ref="D167:X167" si="56">D166*$C$156</f>
        <v>2400</v>
      </c>
      <c r="E167" s="401">
        <f t="shared" si="56"/>
        <v>3840</v>
      </c>
      <c r="F167" s="401">
        <f t="shared" si="56"/>
        <v>4416</v>
      </c>
      <c r="G167" s="401">
        <f t="shared" si="56"/>
        <v>5078</v>
      </c>
      <c r="H167" s="401">
        <f t="shared" si="56"/>
        <v>5110</v>
      </c>
      <c r="I167" s="401">
        <f t="shared" si="56"/>
        <v>5621</v>
      </c>
      <c r="J167" s="401">
        <f t="shared" si="56"/>
        <v>6183.5</v>
      </c>
      <c r="K167" s="401">
        <f t="shared" si="56"/>
        <v>5830.25</v>
      </c>
      <c r="L167" s="401">
        <f t="shared" si="56"/>
        <v>6121.25</v>
      </c>
      <c r="M167" s="401">
        <f t="shared" si="56"/>
        <v>6427.25</v>
      </c>
      <c r="N167" s="401">
        <f t="shared" si="56"/>
        <v>6749</v>
      </c>
      <c r="O167" s="401">
        <f t="shared" si="56"/>
        <v>6377.25</v>
      </c>
      <c r="P167" s="401">
        <f t="shared" si="56"/>
        <v>6505.25</v>
      </c>
      <c r="Q167" s="401">
        <f t="shared" si="56"/>
        <v>6635.75</v>
      </c>
      <c r="R167" s="401">
        <f t="shared" si="56"/>
        <v>6767.75</v>
      </c>
      <c r="S167" s="401">
        <f t="shared" si="56"/>
        <v>6903</v>
      </c>
      <c r="T167" s="401">
        <f t="shared" si="56"/>
        <v>6780.75</v>
      </c>
      <c r="U167" s="401">
        <f t="shared" si="56"/>
        <v>6848</v>
      </c>
      <c r="V167" s="401">
        <f t="shared" si="56"/>
        <v>6916.75</v>
      </c>
      <c r="W167" s="401">
        <f t="shared" si="56"/>
        <v>6986.25</v>
      </c>
      <c r="X167" s="401">
        <f t="shared" si="56"/>
        <v>7055.5</v>
      </c>
    </row>
    <row r="168" spans="1:24" x14ac:dyDescent="0.3">
      <c r="A168" t="s">
        <v>696</v>
      </c>
      <c r="D168" s="401">
        <f>D167</f>
        <v>2400</v>
      </c>
      <c r="E168" s="401">
        <f>D168+E167</f>
        <v>6240</v>
      </c>
      <c r="F168" s="401">
        <f t="shared" ref="F168:X168" si="57">E168+F167</f>
        <v>10656</v>
      </c>
      <c r="G168" s="401">
        <f t="shared" si="57"/>
        <v>15734</v>
      </c>
      <c r="H168" s="401">
        <f t="shared" si="57"/>
        <v>20844</v>
      </c>
      <c r="I168" s="401">
        <f t="shared" si="57"/>
        <v>26465</v>
      </c>
      <c r="J168" s="401">
        <f t="shared" si="57"/>
        <v>32648.5</v>
      </c>
      <c r="K168" s="401">
        <f t="shared" si="57"/>
        <v>38478.75</v>
      </c>
      <c r="L168" s="401">
        <f t="shared" si="57"/>
        <v>44600</v>
      </c>
      <c r="M168" s="401">
        <f t="shared" si="57"/>
        <v>51027.25</v>
      </c>
      <c r="N168" s="401">
        <f t="shared" si="57"/>
        <v>57776.25</v>
      </c>
      <c r="O168" s="401">
        <f t="shared" si="57"/>
        <v>64153.5</v>
      </c>
      <c r="P168" s="401">
        <f t="shared" si="57"/>
        <v>70658.75</v>
      </c>
      <c r="Q168" s="401">
        <f t="shared" si="57"/>
        <v>77294.5</v>
      </c>
      <c r="R168" s="401">
        <f t="shared" si="57"/>
        <v>84062.25</v>
      </c>
      <c r="S168" s="401">
        <f t="shared" si="57"/>
        <v>90965.25</v>
      </c>
      <c r="T168" s="401">
        <f t="shared" si="57"/>
        <v>97746</v>
      </c>
      <c r="U168" s="401">
        <f t="shared" si="57"/>
        <v>104594</v>
      </c>
      <c r="V168" s="401">
        <f t="shared" si="57"/>
        <v>111510.75</v>
      </c>
      <c r="W168" s="401">
        <f t="shared" si="57"/>
        <v>118497</v>
      </c>
      <c r="X168" s="401">
        <f t="shared" si="57"/>
        <v>125552.5</v>
      </c>
    </row>
    <row r="169" spans="1:24" x14ac:dyDescent="0.3">
      <c r="A169" t="s">
        <v>867</v>
      </c>
      <c r="D169" s="401">
        <f t="shared" ref="D169:X169" si="58">D163*$C$156/$C$155</f>
        <v>2400</v>
      </c>
      <c r="E169" s="78">
        <f t="shared" si="58"/>
        <v>2760</v>
      </c>
      <c r="F169" s="78">
        <f t="shared" si="58"/>
        <v>3174</v>
      </c>
      <c r="G169" s="78">
        <f t="shared" si="58"/>
        <v>3650</v>
      </c>
      <c r="H169" s="78">
        <f t="shared" si="58"/>
        <v>4015</v>
      </c>
      <c r="I169" s="78">
        <f t="shared" si="58"/>
        <v>4416.5</v>
      </c>
      <c r="J169" s="78">
        <f t="shared" si="58"/>
        <v>4858.25</v>
      </c>
      <c r="K169" s="78">
        <f t="shared" si="58"/>
        <v>5101.25</v>
      </c>
      <c r="L169" s="78">
        <f t="shared" si="58"/>
        <v>5356.25</v>
      </c>
      <c r="M169" s="78">
        <f t="shared" si="58"/>
        <v>5624</v>
      </c>
      <c r="N169" s="78">
        <f t="shared" si="58"/>
        <v>5905.25</v>
      </c>
      <c r="O169" s="78">
        <f t="shared" si="58"/>
        <v>6023.25</v>
      </c>
      <c r="P169" s="78">
        <f t="shared" si="58"/>
        <v>6143.75</v>
      </c>
      <c r="Q169" s="78">
        <f t="shared" si="58"/>
        <v>6266.75</v>
      </c>
      <c r="R169" s="78">
        <f t="shared" si="58"/>
        <v>6392</v>
      </c>
      <c r="S169" s="78">
        <f t="shared" si="58"/>
        <v>6519.75</v>
      </c>
      <c r="T169" s="78">
        <f t="shared" si="58"/>
        <v>6585</v>
      </c>
      <c r="U169" s="78">
        <f t="shared" si="58"/>
        <v>6650.75</v>
      </c>
      <c r="V169" s="78">
        <f t="shared" si="58"/>
        <v>6717.25</v>
      </c>
      <c r="W169" s="78">
        <f t="shared" si="58"/>
        <v>6784.5</v>
      </c>
      <c r="X169" s="78">
        <f t="shared" si="58"/>
        <v>6852.25</v>
      </c>
    </row>
    <row r="170" spans="1:24" x14ac:dyDescent="0.3">
      <c r="A170" t="s">
        <v>697</v>
      </c>
      <c r="D170" s="401">
        <f t="shared" ref="D170:X170" si="59">D169*$C$159</f>
        <v>0</v>
      </c>
      <c r="E170" s="78">
        <f t="shared" si="59"/>
        <v>0</v>
      </c>
      <c r="F170" s="78">
        <f t="shared" si="59"/>
        <v>0</v>
      </c>
      <c r="G170" s="78">
        <f t="shared" si="59"/>
        <v>0</v>
      </c>
      <c r="H170" s="78">
        <f t="shared" si="59"/>
        <v>0</v>
      </c>
      <c r="I170" s="78">
        <f t="shared" si="59"/>
        <v>0</v>
      </c>
      <c r="J170" s="78">
        <f t="shared" si="59"/>
        <v>0</v>
      </c>
      <c r="K170" s="78">
        <f t="shared" si="59"/>
        <v>0</v>
      </c>
      <c r="L170" s="78">
        <f t="shared" si="59"/>
        <v>0</v>
      </c>
      <c r="M170" s="78">
        <f t="shared" si="59"/>
        <v>0</v>
      </c>
      <c r="N170" s="78">
        <f t="shared" si="59"/>
        <v>0</v>
      </c>
      <c r="O170" s="78">
        <f t="shared" si="59"/>
        <v>0</v>
      </c>
      <c r="P170" s="78">
        <f t="shared" si="59"/>
        <v>0</v>
      </c>
      <c r="Q170" s="78">
        <f t="shared" si="59"/>
        <v>0</v>
      </c>
      <c r="R170" s="78">
        <f t="shared" si="59"/>
        <v>0</v>
      </c>
      <c r="S170" s="78">
        <f t="shared" si="59"/>
        <v>0</v>
      </c>
      <c r="T170" s="78">
        <f t="shared" si="59"/>
        <v>0</v>
      </c>
      <c r="U170" s="78">
        <f t="shared" si="59"/>
        <v>0</v>
      </c>
      <c r="V170" s="78">
        <f t="shared" si="59"/>
        <v>0</v>
      </c>
      <c r="W170" s="78">
        <f t="shared" si="59"/>
        <v>0</v>
      </c>
      <c r="X170" s="78">
        <f t="shared" si="59"/>
        <v>0</v>
      </c>
    </row>
    <row r="171" spans="1:24" ht="15" thickBot="1" x14ac:dyDescent="0.35">
      <c r="A171" s="169" t="s">
        <v>721</v>
      </c>
      <c r="B171" s="169"/>
      <c r="C171" s="169"/>
      <c r="D171" s="409">
        <f>D169+D170</f>
        <v>2400</v>
      </c>
      <c r="E171" s="409">
        <f>E169+E170</f>
        <v>2760</v>
      </c>
      <c r="F171" s="409">
        <f t="shared" ref="F171:X171" si="60">F169+F170</f>
        <v>3174</v>
      </c>
      <c r="G171" s="409">
        <f t="shared" si="60"/>
        <v>3650</v>
      </c>
      <c r="H171" s="409">
        <f t="shared" si="60"/>
        <v>4015</v>
      </c>
      <c r="I171" s="409">
        <f t="shared" si="60"/>
        <v>4416.5</v>
      </c>
      <c r="J171" s="409">
        <f t="shared" si="60"/>
        <v>4858.25</v>
      </c>
      <c r="K171" s="409">
        <f t="shared" si="60"/>
        <v>5101.25</v>
      </c>
      <c r="L171" s="409">
        <f t="shared" si="60"/>
        <v>5356.25</v>
      </c>
      <c r="M171" s="409">
        <f t="shared" si="60"/>
        <v>5624</v>
      </c>
      <c r="N171" s="409">
        <f t="shared" si="60"/>
        <v>5905.25</v>
      </c>
      <c r="O171" s="409">
        <f t="shared" si="60"/>
        <v>6023.25</v>
      </c>
      <c r="P171" s="409">
        <f t="shared" si="60"/>
        <v>6143.75</v>
      </c>
      <c r="Q171" s="409">
        <f t="shared" si="60"/>
        <v>6266.75</v>
      </c>
      <c r="R171" s="409">
        <f t="shared" si="60"/>
        <v>6392</v>
      </c>
      <c r="S171" s="409">
        <f t="shared" si="60"/>
        <v>6519.75</v>
      </c>
      <c r="T171" s="409">
        <f t="shared" si="60"/>
        <v>6585</v>
      </c>
      <c r="U171" s="409">
        <f t="shared" si="60"/>
        <v>6650.75</v>
      </c>
      <c r="V171" s="409">
        <f t="shared" si="60"/>
        <v>6717.25</v>
      </c>
      <c r="W171" s="409">
        <f t="shared" si="60"/>
        <v>6784.5</v>
      </c>
      <c r="X171" s="409">
        <f t="shared" si="60"/>
        <v>6852.25</v>
      </c>
    </row>
    <row r="172" spans="1:24" ht="15" thickTop="1" x14ac:dyDescent="0.3"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</row>
  </sheetData>
  <sheetProtection algorithmName="SHA-512" hashValue="Z7VdbK9pzG92hGluCP2VzqH0k/FYWRCGOreiccio76/SpZNaxAqMnzJ2/psIALB3t+RQ0y9UDFBBAbv/Q0tdbg==" saltValue="Ly5balP0YRB523s+poE1ZA==" spinCount="100000" sheet="1" objects="1" scenarios="1"/>
  <pageMargins left="0.7" right="0.7" top="0.75" bottom="0.75" header="0.3" footer="0.3"/>
  <pageSetup orientation="portrait" r:id="rId1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AD660A-3C22-402E-97CB-EDD30BD7C37D}">
  <sheetPr>
    <tabColor rgb="FFFFFFFF"/>
  </sheetPr>
  <dimension ref="A1:X166"/>
  <sheetViews>
    <sheetView showGridLines="0" zoomScale="85" zoomScaleNormal="85" workbookViewId="0">
      <pane ySplit="6" topLeftCell="A7" activePane="bottomLeft" state="frozen"/>
      <selection pane="bottomLeft" activeCell="B118" sqref="B118"/>
    </sheetView>
  </sheetViews>
  <sheetFormatPr defaultRowHeight="14.4" x14ac:dyDescent="0.3"/>
  <cols>
    <col min="1" max="1" width="33.33203125" customWidth="1"/>
    <col min="2" max="4" width="20" customWidth="1"/>
    <col min="5" max="24" width="16.6640625" customWidth="1"/>
  </cols>
  <sheetData>
    <row r="1" spans="1:24" ht="30" customHeight="1" x14ac:dyDescent="0.3">
      <c r="A1" s="96" t="s">
        <v>868</v>
      </c>
    </row>
    <row r="2" spans="1:24" x14ac:dyDescent="0.3">
      <c r="A2" s="3" t="s">
        <v>189</v>
      </c>
    </row>
    <row r="3" spans="1:24" x14ac:dyDescent="0.3">
      <c r="A3" s="3"/>
    </row>
    <row r="5" spans="1:24" ht="18" x14ac:dyDescent="0.35">
      <c r="A5" s="1" t="s">
        <v>42</v>
      </c>
      <c r="B5" s="57">
        <f>Dashboard!B32</f>
        <v>2</v>
      </c>
      <c r="C5" s="85" t="str">
        <f>IF(B5=1,"◀  BEAR",IF(B5=2,"◀  BASE","◀  BULL"))</f>
        <v>◀  BASE</v>
      </c>
      <c r="D5" s="3" t="s">
        <v>43</v>
      </c>
    </row>
    <row r="6" spans="1:24" x14ac:dyDescent="0.3">
      <c r="A6" s="135"/>
      <c r="B6" s="144" t="s">
        <v>45</v>
      </c>
      <c r="C6" s="144" t="s">
        <v>46</v>
      </c>
      <c r="D6" s="144" t="s">
        <v>47</v>
      </c>
      <c r="E6" s="144" t="s">
        <v>48</v>
      </c>
      <c r="F6" s="144" t="s">
        <v>49</v>
      </c>
      <c r="G6" s="144" t="s">
        <v>50</v>
      </c>
      <c r="H6" s="144" t="s">
        <v>51</v>
      </c>
      <c r="I6" s="144" t="s">
        <v>52</v>
      </c>
      <c r="J6" s="144" t="s">
        <v>53</v>
      </c>
      <c r="K6" s="144" t="s">
        <v>54</v>
      </c>
      <c r="L6" s="144" t="s">
        <v>55</v>
      </c>
      <c r="M6" s="144" t="s">
        <v>56</v>
      </c>
      <c r="N6" s="144" t="s">
        <v>57</v>
      </c>
      <c r="O6" s="144" t="s">
        <v>179</v>
      </c>
      <c r="P6" s="144" t="s">
        <v>180</v>
      </c>
      <c r="Q6" s="144" t="s">
        <v>181</v>
      </c>
      <c r="R6" s="144" t="s">
        <v>182</v>
      </c>
      <c r="S6" s="144" t="s">
        <v>183</v>
      </c>
      <c r="T6" s="144" t="s">
        <v>184</v>
      </c>
      <c r="U6" s="144" t="s">
        <v>185</v>
      </c>
      <c r="V6" s="144" t="s">
        <v>186</v>
      </c>
      <c r="W6" s="144" t="s">
        <v>187</v>
      </c>
      <c r="X6" s="144" t="s">
        <v>188</v>
      </c>
    </row>
    <row r="7" spans="1:24" ht="3" customHeight="1" x14ac:dyDescent="0.3"/>
    <row r="8" spans="1:24" x14ac:dyDescent="0.3">
      <c r="A8" s="92" t="s">
        <v>44</v>
      </c>
      <c r="B8" s="102"/>
      <c r="C8" s="102"/>
      <c r="D8" s="102"/>
      <c r="E8" s="102"/>
      <c r="F8" s="102"/>
      <c r="G8" s="102"/>
      <c r="H8" s="102"/>
      <c r="I8" s="102"/>
      <c r="J8" s="102"/>
      <c r="K8" s="102"/>
      <c r="L8" s="102"/>
      <c r="M8" s="102"/>
      <c r="N8" s="102"/>
      <c r="O8" s="102"/>
      <c r="P8" s="102"/>
      <c r="Q8" s="102"/>
      <c r="R8" s="102"/>
      <c r="S8" s="102"/>
      <c r="T8" s="102"/>
      <c r="U8" s="102"/>
      <c r="V8" s="102"/>
      <c r="W8" s="102"/>
      <c r="X8" s="102"/>
    </row>
    <row r="9" spans="1:24" x14ac:dyDescent="0.3">
      <c r="A9" t="s">
        <v>58</v>
      </c>
      <c r="B9" s="30"/>
      <c r="C9" s="30"/>
      <c r="D9" s="30"/>
      <c r="E9" s="16">
        <v>0.06</v>
      </c>
      <c r="F9" s="16">
        <v>0.08</v>
      </c>
      <c r="G9" s="16">
        <v>0.1</v>
      </c>
      <c r="H9" s="16">
        <v>0.12</v>
      </c>
      <c r="I9" s="16">
        <v>0.15</v>
      </c>
      <c r="J9" s="16">
        <v>0.15</v>
      </c>
      <c r="K9" s="16">
        <v>0.13</v>
      </c>
      <c r="L9" s="16">
        <v>0.12</v>
      </c>
      <c r="M9" s="16">
        <v>0.1</v>
      </c>
      <c r="N9" s="16">
        <v>0.08</v>
      </c>
      <c r="O9" s="16">
        <v>7.0000000000000007E-2</v>
      </c>
      <c r="P9" s="16">
        <v>0.06</v>
      </c>
      <c r="Q9" s="16">
        <v>0.05</v>
      </c>
      <c r="R9" s="16">
        <v>4.4999999999999998E-2</v>
      </c>
      <c r="S9" s="16">
        <v>0.04</v>
      </c>
      <c r="T9" s="16">
        <v>3.5000000000000003E-2</v>
      </c>
      <c r="U9" s="16">
        <v>0.03</v>
      </c>
      <c r="V9" s="16">
        <v>0.03</v>
      </c>
      <c r="W9" s="16">
        <v>2.8000000000000001E-2</v>
      </c>
      <c r="X9" s="16">
        <v>2.5000000000000001E-2</v>
      </c>
    </row>
    <row r="10" spans="1:24" x14ac:dyDescent="0.3">
      <c r="A10" t="s">
        <v>59</v>
      </c>
      <c r="B10" s="30"/>
      <c r="C10" s="30"/>
      <c r="D10" s="30"/>
      <c r="E10" s="16">
        <v>0.1</v>
      </c>
      <c r="F10" s="16">
        <v>0.12</v>
      </c>
      <c r="G10" s="16">
        <v>0.15</v>
      </c>
      <c r="H10" s="16">
        <v>0.18</v>
      </c>
      <c r="I10" s="16">
        <v>0.22</v>
      </c>
      <c r="J10" s="16">
        <v>0.25</v>
      </c>
      <c r="K10" s="16">
        <v>0.27</v>
      </c>
      <c r="L10" s="16">
        <v>0.28000000000000003</v>
      </c>
      <c r="M10" s="16">
        <v>0.28999999999999998</v>
      </c>
      <c r="N10" s="16">
        <v>0.3</v>
      </c>
      <c r="O10" s="16">
        <v>0.31</v>
      </c>
      <c r="P10" s="16">
        <v>0.32</v>
      </c>
      <c r="Q10" s="16">
        <v>0.33</v>
      </c>
      <c r="R10" s="16">
        <v>0.34</v>
      </c>
      <c r="S10" s="16">
        <v>0.34</v>
      </c>
      <c r="T10" s="16">
        <v>0.35</v>
      </c>
      <c r="U10" s="16">
        <v>0.36</v>
      </c>
      <c r="V10" s="16">
        <v>0.37</v>
      </c>
      <c r="W10" s="16">
        <v>0.37</v>
      </c>
      <c r="X10" s="16">
        <v>0.38</v>
      </c>
    </row>
    <row r="11" spans="1:24" x14ac:dyDescent="0.3">
      <c r="A11" t="s">
        <v>61</v>
      </c>
      <c r="B11" s="30"/>
      <c r="C11" s="30"/>
      <c r="D11" s="30"/>
      <c r="E11" s="16">
        <v>0.85</v>
      </c>
      <c r="F11" s="16">
        <v>0.75</v>
      </c>
      <c r="G11" s="16">
        <v>0.65</v>
      </c>
      <c r="H11" s="16">
        <v>0.55000000000000004</v>
      </c>
      <c r="I11" s="16">
        <v>0.45</v>
      </c>
      <c r="J11" s="16">
        <v>0.38</v>
      </c>
      <c r="K11" s="16">
        <v>0.32</v>
      </c>
      <c r="L11" s="16">
        <v>0.28000000000000003</v>
      </c>
      <c r="M11" s="16">
        <v>0.24</v>
      </c>
      <c r="N11" s="16">
        <v>0.22</v>
      </c>
      <c r="O11" s="16">
        <v>0.21</v>
      </c>
      <c r="P11" s="16">
        <v>0.2</v>
      </c>
      <c r="Q11" s="16">
        <v>0.19</v>
      </c>
      <c r="R11" s="16">
        <v>0.18</v>
      </c>
      <c r="S11" s="16">
        <v>0.17</v>
      </c>
      <c r="T11" s="16">
        <v>0.16</v>
      </c>
      <c r="U11" s="16">
        <v>0.15</v>
      </c>
      <c r="V11" s="16">
        <v>0.14000000000000001</v>
      </c>
      <c r="W11" s="16">
        <v>0.13</v>
      </c>
      <c r="X11" s="16">
        <v>0.12</v>
      </c>
    </row>
    <row r="12" spans="1:24" x14ac:dyDescent="0.3">
      <c r="A12" t="s">
        <v>62</v>
      </c>
      <c r="B12" s="30"/>
      <c r="C12" s="30"/>
      <c r="D12" s="30"/>
      <c r="E12" s="16">
        <v>0.06</v>
      </c>
      <c r="F12" s="16">
        <v>0.06</v>
      </c>
      <c r="G12" s="16">
        <v>0.05</v>
      </c>
      <c r="H12" s="16">
        <v>0.05</v>
      </c>
      <c r="I12" s="16">
        <v>0.05</v>
      </c>
      <c r="J12" s="16">
        <v>0.04</v>
      </c>
      <c r="K12" s="16">
        <v>0.04</v>
      </c>
      <c r="L12" s="16">
        <v>0.03</v>
      </c>
      <c r="M12" s="16">
        <v>0.03</v>
      </c>
      <c r="N12" s="16">
        <v>0.03</v>
      </c>
      <c r="O12" s="16">
        <v>0.03</v>
      </c>
      <c r="P12" s="16">
        <v>0.03</v>
      </c>
      <c r="Q12" s="16">
        <v>2.5000000000000001E-2</v>
      </c>
      <c r="R12" s="16">
        <v>2.5000000000000001E-2</v>
      </c>
      <c r="S12" s="16">
        <v>2.5000000000000001E-2</v>
      </c>
      <c r="T12" s="16">
        <v>2.5000000000000001E-2</v>
      </c>
      <c r="U12" s="16">
        <v>0.02</v>
      </c>
      <c r="V12" s="16">
        <v>0.02</v>
      </c>
      <c r="W12" s="16">
        <v>0.02</v>
      </c>
      <c r="X12" s="16">
        <v>0.02</v>
      </c>
    </row>
    <row r="13" spans="1:24" x14ac:dyDescent="0.3">
      <c r="A13" s="324" t="s">
        <v>772</v>
      </c>
      <c r="B13" s="30"/>
      <c r="C13" s="30"/>
      <c r="D13" s="30"/>
      <c r="E13" s="398">
        <v>180</v>
      </c>
      <c r="F13" s="398">
        <v>185</v>
      </c>
      <c r="G13" s="398">
        <v>185</v>
      </c>
      <c r="H13" s="398">
        <v>180</v>
      </c>
      <c r="I13" s="398">
        <v>165</v>
      </c>
      <c r="J13" s="398">
        <v>140</v>
      </c>
      <c r="K13" s="398">
        <v>110</v>
      </c>
      <c r="L13" s="398">
        <v>80</v>
      </c>
      <c r="M13" s="398">
        <v>55</v>
      </c>
      <c r="N13" s="398">
        <v>35</v>
      </c>
      <c r="O13" s="398">
        <v>22</v>
      </c>
      <c r="P13" s="398">
        <v>14</v>
      </c>
      <c r="Q13" s="398">
        <v>8</v>
      </c>
      <c r="R13" s="398">
        <v>5</v>
      </c>
      <c r="S13" s="398">
        <v>3</v>
      </c>
      <c r="T13" s="398">
        <v>0</v>
      </c>
      <c r="U13" s="398">
        <v>0</v>
      </c>
      <c r="V13" s="398">
        <v>0</v>
      </c>
      <c r="W13" s="398">
        <v>0</v>
      </c>
      <c r="X13" s="398">
        <v>0</v>
      </c>
    </row>
    <row r="14" spans="1:24" x14ac:dyDescent="0.3">
      <c r="A14" s="324" t="s">
        <v>773</v>
      </c>
      <c r="B14" s="30"/>
      <c r="C14" s="30"/>
      <c r="D14" s="30"/>
      <c r="E14" s="398">
        <v>5</v>
      </c>
      <c r="F14" s="398">
        <v>10</v>
      </c>
      <c r="G14" s="398">
        <v>25</v>
      </c>
      <c r="H14" s="398">
        <v>45</v>
      </c>
      <c r="I14" s="398">
        <v>70</v>
      </c>
      <c r="J14" s="398">
        <v>110</v>
      </c>
      <c r="K14" s="398">
        <v>155</v>
      </c>
      <c r="L14" s="398">
        <v>200</v>
      </c>
      <c r="M14" s="398">
        <v>250</v>
      </c>
      <c r="N14" s="398">
        <v>300</v>
      </c>
      <c r="O14" s="398">
        <v>340</v>
      </c>
      <c r="P14" s="398">
        <v>370</v>
      </c>
      <c r="Q14" s="398">
        <v>395</v>
      </c>
      <c r="R14" s="398">
        <v>415</v>
      </c>
      <c r="S14" s="398">
        <v>430</v>
      </c>
      <c r="T14" s="398">
        <v>440</v>
      </c>
      <c r="U14" s="398">
        <v>450</v>
      </c>
      <c r="V14" s="398">
        <v>460</v>
      </c>
      <c r="W14" s="398">
        <v>465</v>
      </c>
      <c r="X14" s="398">
        <v>470</v>
      </c>
    </row>
    <row r="15" spans="1:24" x14ac:dyDescent="0.3">
      <c r="A15" s="324" t="s">
        <v>774</v>
      </c>
      <c r="B15" s="30"/>
      <c r="C15" s="30"/>
      <c r="D15" s="30"/>
      <c r="E15" s="417">
        <v>2.5</v>
      </c>
      <c r="F15" s="417">
        <v>2.2000000000000002</v>
      </c>
      <c r="G15" s="417">
        <v>2</v>
      </c>
      <c r="H15" s="417">
        <v>1.8</v>
      </c>
      <c r="I15" s="417">
        <v>1.5</v>
      </c>
      <c r="J15" s="417">
        <v>1.3</v>
      </c>
      <c r="K15" s="417">
        <v>1.1499999999999999</v>
      </c>
      <c r="L15" s="417">
        <v>1.05</v>
      </c>
      <c r="M15" s="417">
        <v>0.95</v>
      </c>
      <c r="N15" s="417">
        <v>0.9</v>
      </c>
      <c r="O15" s="417">
        <v>0.85</v>
      </c>
      <c r="P15" s="417">
        <v>0.82</v>
      </c>
      <c r="Q15" s="417">
        <v>0.78</v>
      </c>
      <c r="R15" s="417">
        <v>0.75</v>
      </c>
      <c r="S15" s="417">
        <v>0.72</v>
      </c>
      <c r="T15" s="417">
        <v>0.7</v>
      </c>
      <c r="U15" s="417">
        <v>0.68</v>
      </c>
      <c r="V15" s="417">
        <v>0.67</v>
      </c>
      <c r="W15" s="417">
        <v>0.66</v>
      </c>
      <c r="X15" s="417">
        <v>0.65</v>
      </c>
    </row>
    <row r="16" spans="1:24" x14ac:dyDescent="0.3">
      <c r="A16" t="s">
        <v>63</v>
      </c>
      <c r="B16" s="399">
        <f>WACC!D43</f>
        <v>0.02</v>
      </c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</row>
    <row r="17" spans="1:24" ht="15" thickBot="1" x14ac:dyDescent="0.35">
      <c r="A17" s="164" t="s">
        <v>38</v>
      </c>
      <c r="B17" s="396">
        <f>WACC!B43</f>
        <v>6.8984004275846722E-2</v>
      </c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</row>
    <row r="18" spans="1:24" ht="15" thickTop="1" x14ac:dyDescent="0.3"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</row>
    <row r="19" spans="1:24" x14ac:dyDescent="0.3">
      <c r="A19" s="92" t="s">
        <v>64</v>
      </c>
      <c r="B19" s="217"/>
      <c r="C19" s="102"/>
      <c r="D19" s="102"/>
      <c r="E19" s="102"/>
      <c r="F19" s="102"/>
      <c r="G19" s="102"/>
      <c r="H19" s="102"/>
      <c r="I19" s="102"/>
      <c r="J19" s="102"/>
      <c r="K19" s="102"/>
      <c r="L19" s="102"/>
      <c r="M19" s="102"/>
      <c r="N19" s="102"/>
      <c r="O19" s="102"/>
      <c r="P19" s="102"/>
      <c r="Q19" s="102"/>
      <c r="R19" s="102"/>
      <c r="S19" s="102"/>
      <c r="T19" s="102"/>
      <c r="U19" s="102"/>
      <c r="V19" s="102"/>
      <c r="W19" s="102"/>
      <c r="X19" s="102"/>
    </row>
    <row r="20" spans="1:24" x14ac:dyDescent="0.3">
      <c r="A20" t="s">
        <v>58</v>
      </c>
      <c r="B20" s="15"/>
      <c r="C20" s="30"/>
      <c r="D20" s="30"/>
      <c r="E20" s="16">
        <v>0.1</v>
      </c>
      <c r="F20" s="16">
        <v>0.14000000000000001</v>
      </c>
      <c r="G20" s="16">
        <v>0.18</v>
      </c>
      <c r="H20" s="16">
        <v>0.22</v>
      </c>
      <c r="I20" s="16">
        <v>0.26</v>
      </c>
      <c r="J20" s="16">
        <v>0.22</v>
      </c>
      <c r="K20" s="16">
        <v>0.18</v>
      </c>
      <c r="L20" s="16">
        <v>0.15</v>
      </c>
      <c r="M20" s="16">
        <v>0.13</v>
      </c>
      <c r="N20" s="16">
        <v>0.11</v>
      </c>
      <c r="O20" s="16">
        <v>0.1</v>
      </c>
      <c r="P20" s="16">
        <v>0.09</v>
      </c>
      <c r="Q20" s="16">
        <v>0.08</v>
      </c>
      <c r="R20" s="16">
        <v>7.0000000000000007E-2</v>
      </c>
      <c r="S20" s="16">
        <v>0.06</v>
      </c>
      <c r="T20" s="16">
        <v>0.05</v>
      </c>
      <c r="U20" s="16">
        <v>4.4999999999999998E-2</v>
      </c>
      <c r="V20" s="16">
        <v>0.04</v>
      </c>
      <c r="W20" s="16">
        <v>3.5000000000000003E-2</v>
      </c>
      <c r="X20" s="16">
        <v>0.03</v>
      </c>
    </row>
    <row r="21" spans="1:24" x14ac:dyDescent="0.3">
      <c r="A21" t="s">
        <v>59</v>
      </c>
      <c r="B21" s="15"/>
      <c r="C21" s="30"/>
      <c r="D21" s="30"/>
      <c r="E21" s="16">
        <v>0.18</v>
      </c>
      <c r="F21" s="16">
        <v>0.18</v>
      </c>
      <c r="G21" s="16">
        <v>0.24</v>
      </c>
      <c r="H21" s="16">
        <v>0.3</v>
      </c>
      <c r="I21" s="16">
        <v>0.36</v>
      </c>
      <c r="J21" s="16">
        <v>0.41</v>
      </c>
      <c r="K21" s="16">
        <v>0.45</v>
      </c>
      <c r="L21" s="16">
        <v>0.47</v>
      </c>
      <c r="M21" s="16">
        <v>0.48</v>
      </c>
      <c r="N21" s="16">
        <v>0.49</v>
      </c>
      <c r="O21" s="16">
        <v>0.5</v>
      </c>
      <c r="P21" s="16">
        <v>0.51</v>
      </c>
      <c r="Q21" s="16">
        <v>0.52</v>
      </c>
      <c r="R21" s="16">
        <v>0.52</v>
      </c>
      <c r="S21" s="16">
        <v>0.53</v>
      </c>
      <c r="T21" s="16">
        <v>0.54</v>
      </c>
      <c r="U21" s="16">
        <v>0.54</v>
      </c>
      <c r="V21" s="16">
        <v>0.55000000000000004</v>
      </c>
      <c r="W21" s="16">
        <v>0.55000000000000004</v>
      </c>
      <c r="X21" s="16">
        <v>0.56000000000000005</v>
      </c>
    </row>
    <row r="22" spans="1:24" x14ac:dyDescent="0.3">
      <c r="A22" t="s">
        <v>61</v>
      </c>
      <c r="B22" s="15"/>
      <c r="C22" s="30"/>
      <c r="D22" s="30"/>
      <c r="E22" s="16">
        <v>0.75</v>
      </c>
      <c r="F22" s="16">
        <v>0.65</v>
      </c>
      <c r="G22" s="16">
        <v>0.55000000000000004</v>
      </c>
      <c r="H22" s="16">
        <v>0.45</v>
      </c>
      <c r="I22" s="16">
        <v>0.36</v>
      </c>
      <c r="J22" s="16">
        <v>0.28000000000000003</v>
      </c>
      <c r="K22" s="16">
        <v>0.22</v>
      </c>
      <c r="L22" s="16">
        <v>0.18</v>
      </c>
      <c r="M22" s="16">
        <v>0.15</v>
      </c>
      <c r="N22" s="16">
        <v>0.13</v>
      </c>
      <c r="O22" s="16">
        <v>0.125</v>
      </c>
      <c r="P22" s="16">
        <v>0.12</v>
      </c>
      <c r="Q22" s="16">
        <v>0.115</v>
      </c>
      <c r="R22" s="16">
        <v>0.11</v>
      </c>
      <c r="S22" s="16">
        <v>0.105</v>
      </c>
      <c r="T22" s="16">
        <v>0.1</v>
      </c>
      <c r="U22" s="16">
        <v>9.8000000000000004E-2</v>
      </c>
      <c r="V22" s="16">
        <v>9.5000000000000001E-2</v>
      </c>
      <c r="W22" s="16">
        <v>9.1999999999999998E-2</v>
      </c>
      <c r="X22" s="16">
        <v>0.09</v>
      </c>
    </row>
    <row r="23" spans="1:24" x14ac:dyDescent="0.3">
      <c r="A23" t="s">
        <v>62</v>
      </c>
      <c r="B23" s="15"/>
      <c r="C23" s="30"/>
      <c r="D23" s="30"/>
      <c r="E23" s="16">
        <v>0.05</v>
      </c>
      <c r="F23" s="16">
        <v>0.05</v>
      </c>
      <c r="G23" s="16">
        <v>0.05</v>
      </c>
      <c r="H23" s="16">
        <v>0.04</v>
      </c>
      <c r="I23" s="16">
        <v>0.04</v>
      </c>
      <c r="J23" s="16">
        <v>0.04</v>
      </c>
      <c r="K23" s="16">
        <v>0.03</v>
      </c>
      <c r="L23" s="16">
        <v>0.03</v>
      </c>
      <c r="M23" s="16">
        <v>0.02</v>
      </c>
      <c r="N23" s="16">
        <v>0.02</v>
      </c>
      <c r="O23" s="16">
        <v>0.02</v>
      </c>
      <c r="P23" s="16">
        <v>0.02</v>
      </c>
      <c r="Q23" s="16">
        <v>0.02</v>
      </c>
      <c r="R23" s="16">
        <v>1.7999999999999999E-2</v>
      </c>
      <c r="S23" s="16">
        <v>1.7999999999999999E-2</v>
      </c>
      <c r="T23" s="16">
        <v>1.4999999999999999E-2</v>
      </c>
      <c r="U23" s="16">
        <v>1.4999999999999999E-2</v>
      </c>
      <c r="V23" s="16">
        <v>1.4999999999999999E-2</v>
      </c>
      <c r="W23" s="16">
        <v>1.4999999999999999E-2</v>
      </c>
      <c r="X23" s="16">
        <v>1.4999999999999999E-2</v>
      </c>
    </row>
    <row r="24" spans="1:24" x14ac:dyDescent="0.3">
      <c r="A24" s="324" t="s">
        <v>772</v>
      </c>
      <c r="B24" s="15"/>
      <c r="C24" s="30"/>
      <c r="D24" s="30"/>
      <c r="E24" s="398">
        <v>175</v>
      </c>
      <c r="F24" s="398">
        <v>180</v>
      </c>
      <c r="G24" s="398">
        <v>175</v>
      </c>
      <c r="H24" s="398">
        <v>160</v>
      </c>
      <c r="I24" s="398">
        <v>130</v>
      </c>
      <c r="J24" s="398">
        <v>100</v>
      </c>
      <c r="K24" s="398">
        <v>70</v>
      </c>
      <c r="L24" s="398">
        <v>45</v>
      </c>
      <c r="M24" s="398">
        <v>25</v>
      </c>
      <c r="N24" s="398">
        <v>15</v>
      </c>
      <c r="O24" s="398">
        <v>8</v>
      </c>
      <c r="P24" s="398">
        <v>5</v>
      </c>
      <c r="Q24" s="398">
        <v>3</v>
      </c>
      <c r="R24" s="398">
        <v>0</v>
      </c>
      <c r="S24" s="398">
        <v>0</v>
      </c>
      <c r="T24" s="398">
        <v>0</v>
      </c>
      <c r="U24" s="398">
        <v>0</v>
      </c>
      <c r="V24" s="398">
        <v>0</v>
      </c>
      <c r="W24" s="398">
        <v>0</v>
      </c>
      <c r="X24" s="398">
        <v>0</v>
      </c>
    </row>
    <row r="25" spans="1:24" x14ac:dyDescent="0.3">
      <c r="A25" s="324" t="s">
        <v>773</v>
      </c>
      <c r="B25" s="15"/>
      <c r="C25" s="30"/>
      <c r="D25" s="30"/>
      <c r="E25" s="398">
        <v>10</v>
      </c>
      <c r="F25" s="398">
        <v>24</v>
      </c>
      <c r="G25" s="398">
        <v>50</v>
      </c>
      <c r="H25" s="398">
        <v>80</v>
      </c>
      <c r="I25" s="398">
        <v>100</v>
      </c>
      <c r="J25" s="398">
        <v>150</v>
      </c>
      <c r="K25" s="398">
        <v>210</v>
      </c>
      <c r="L25" s="398">
        <v>280</v>
      </c>
      <c r="M25" s="398">
        <v>340</v>
      </c>
      <c r="N25" s="398">
        <v>400</v>
      </c>
      <c r="O25" s="398">
        <v>440</v>
      </c>
      <c r="P25" s="398">
        <v>470</v>
      </c>
      <c r="Q25" s="398">
        <v>490</v>
      </c>
      <c r="R25" s="398">
        <v>510</v>
      </c>
      <c r="S25" s="398">
        <v>520</v>
      </c>
      <c r="T25" s="398">
        <v>530</v>
      </c>
      <c r="U25" s="398">
        <v>540</v>
      </c>
      <c r="V25" s="398">
        <v>545</v>
      </c>
      <c r="W25" s="398">
        <v>550</v>
      </c>
      <c r="X25" s="398">
        <v>555</v>
      </c>
    </row>
    <row r="26" spans="1:24" x14ac:dyDescent="0.3">
      <c r="A26" s="324" t="s">
        <v>774</v>
      </c>
      <c r="B26" s="15"/>
      <c r="C26" s="30"/>
      <c r="D26" s="30"/>
      <c r="E26" s="417">
        <v>2</v>
      </c>
      <c r="F26" s="417">
        <v>1.8</v>
      </c>
      <c r="G26" s="417">
        <v>1.6</v>
      </c>
      <c r="H26" s="417">
        <v>1.4</v>
      </c>
      <c r="I26" s="417">
        <v>1.2</v>
      </c>
      <c r="J26" s="417">
        <v>1.1000000000000001</v>
      </c>
      <c r="K26" s="417">
        <v>1</v>
      </c>
      <c r="L26" s="417">
        <v>0.9</v>
      </c>
      <c r="M26" s="417">
        <v>0.8</v>
      </c>
      <c r="N26" s="417">
        <v>0.76</v>
      </c>
      <c r="O26" s="417">
        <v>0.72</v>
      </c>
      <c r="P26" s="417">
        <v>0.68</v>
      </c>
      <c r="Q26" s="417">
        <v>0.64</v>
      </c>
      <c r="R26" s="417">
        <v>0.62</v>
      </c>
      <c r="S26" s="417">
        <v>0.6</v>
      </c>
      <c r="T26" s="417">
        <v>0.6</v>
      </c>
      <c r="U26" s="417">
        <v>0.6</v>
      </c>
      <c r="V26" s="417">
        <v>0.6</v>
      </c>
      <c r="W26" s="417">
        <v>0.6</v>
      </c>
      <c r="X26" s="417">
        <v>0.6</v>
      </c>
    </row>
    <row r="27" spans="1:24" x14ac:dyDescent="0.3">
      <c r="A27" t="s">
        <v>63</v>
      </c>
      <c r="B27" s="399">
        <f>WACC!C43</f>
        <v>2.5000000000000001E-2</v>
      </c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</row>
    <row r="28" spans="1:24" ht="15" thickBot="1" x14ac:dyDescent="0.35">
      <c r="A28" s="164" t="s">
        <v>38</v>
      </c>
      <c r="B28" s="396">
        <f>WACC!B43</f>
        <v>6.8984004275846722E-2</v>
      </c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</row>
    <row r="29" spans="1:24" ht="15" thickTop="1" x14ac:dyDescent="0.3"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</row>
    <row r="30" spans="1:24" x14ac:dyDescent="0.3">
      <c r="A30" s="92" t="s">
        <v>65</v>
      </c>
      <c r="B30" s="217"/>
      <c r="C30" s="102"/>
      <c r="D30" s="102"/>
      <c r="E30" s="102"/>
      <c r="F30" s="102"/>
      <c r="G30" s="102"/>
      <c r="H30" s="102"/>
      <c r="I30" s="102"/>
      <c r="J30" s="102"/>
      <c r="K30" s="102"/>
      <c r="L30" s="102"/>
      <c r="M30" s="102"/>
      <c r="N30" s="102"/>
      <c r="O30" s="102"/>
      <c r="P30" s="102"/>
      <c r="Q30" s="102"/>
      <c r="R30" s="102"/>
      <c r="S30" s="102"/>
      <c r="T30" s="102"/>
      <c r="U30" s="102"/>
      <c r="V30" s="102"/>
      <c r="W30" s="102"/>
      <c r="X30" s="102"/>
    </row>
    <row r="31" spans="1:24" x14ac:dyDescent="0.3">
      <c r="A31" t="s">
        <v>58</v>
      </c>
      <c r="B31" s="15"/>
      <c r="C31" s="30"/>
      <c r="D31" s="30"/>
      <c r="E31" s="16">
        <v>0.16</v>
      </c>
      <c r="F31" s="16">
        <v>0.22</v>
      </c>
      <c r="G31" s="16">
        <v>0.28000000000000003</v>
      </c>
      <c r="H31" s="16">
        <v>0.32</v>
      </c>
      <c r="I31" s="16">
        <v>0.36</v>
      </c>
      <c r="J31" s="16">
        <v>0.3</v>
      </c>
      <c r="K31" s="16">
        <v>0.25</v>
      </c>
      <c r="L31" s="16">
        <v>0.2</v>
      </c>
      <c r="M31" s="16">
        <v>0.17</v>
      </c>
      <c r="N31" s="16">
        <v>0.14000000000000001</v>
      </c>
      <c r="O31" s="16">
        <v>0.13</v>
      </c>
      <c r="P31" s="16">
        <v>0.12</v>
      </c>
      <c r="Q31" s="16">
        <v>0.11</v>
      </c>
      <c r="R31" s="16">
        <v>0.1</v>
      </c>
      <c r="S31" s="16">
        <v>0.09</v>
      </c>
      <c r="T31" s="16">
        <v>0.08</v>
      </c>
      <c r="U31" s="16">
        <v>7.0000000000000007E-2</v>
      </c>
      <c r="V31" s="16">
        <v>0.06</v>
      </c>
      <c r="W31" s="16">
        <v>0.05</v>
      </c>
      <c r="X31" s="16">
        <v>0.04</v>
      </c>
    </row>
    <row r="32" spans="1:24" x14ac:dyDescent="0.3">
      <c r="A32" t="s">
        <v>59</v>
      </c>
      <c r="B32" s="15"/>
      <c r="C32" s="30"/>
      <c r="D32" s="30"/>
      <c r="E32" s="16">
        <v>0.18</v>
      </c>
      <c r="F32" s="16">
        <v>0.24</v>
      </c>
      <c r="G32" s="16">
        <v>0.32</v>
      </c>
      <c r="H32" s="16">
        <v>0.4</v>
      </c>
      <c r="I32" s="16">
        <v>0.46</v>
      </c>
      <c r="J32" s="16">
        <v>0.5</v>
      </c>
      <c r="K32" s="16">
        <v>0.52</v>
      </c>
      <c r="L32" s="16">
        <v>0.53</v>
      </c>
      <c r="M32" s="16">
        <v>0.54</v>
      </c>
      <c r="N32" s="16">
        <v>0.55000000000000004</v>
      </c>
      <c r="O32" s="16">
        <v>0.56000000000000005</v>
      </c>
      <c r="P32" s="16">
        <v>0.56999999999999995</v>
      </c>
      <c r="Q32" s="16">
        <v>0.57999999999999996</v>
      </c>
      <c r="R32" s="16">
        <v>0.59</v>
      </c>
      <c r="S32" s="16">
        <v>0.59</v>
      </c>
      <c r="T32" s="16">
        <v>0.6</v>
      </c>
      <c r="U32" s="16">
        <v>0.61</v>
      </c>
      <c r="V32" s="16">
        <v>0.61</v>
      </c>
      <c r="W32" s="16">
        <v>0.62</v>
      </c>
      <c r="X32" s="16">
        <v>0.62</v>
      </c>
    </row>
    <row r="33" spans="1:24" x14ac:dyDescent="0.3">
      <c r="A33" t="s">
        <v>61</v>
      </c>
      <c r="B33" s="15"/>
      <c r="C33" s="30"/>
      <c r="D33" s="30"/>
      <c r="E33" s="16">
        <v>0.7</v>
      </c>
      <c r="F33" s="16">
        <v>0.6</v>
      </c>
      <c r="G33" s="16">
        <v>0.5</v>
      </c>
      <c r="H33" s="16">
        <v>0.4</v>
      </c>
      <c r="I33" s="16">
        <v>0.31</v>
      </c>
      <c r="J33" s="16">
        <v>0.24</v>
      </c>
      <c r="K33" s="16">
        <v>0.19</v>
      </c>
      <c r="L33" s="16">
        <v>0.16</v>
      </c>
      <c r="M33" s="16">
        <v>0.13</v>
      </c>
      <c r="N33" s="16">
        <v>0.11</v>
      </c>
      <c r="O33" s="16">
        <v>0.11</v>
      </c>
      <c r="P33" s="16">
        <v>0.105</v>
      </c>
      <c r="Q33" s="16">
        <v>0.1</v>
      </c>
      <c r="R33" s="16">
        <v>9.8000000000000004E-2</v>
      </c>
      <c r="S33" s="16">
        <v>9.5000000000000001E-2</v>
      </c>
      <c r="T33" s="16">
        <v>9.1999999999999998E-2</v>
      </c>
      <c r="U33" s="16">
        <v>0.09</v>
      </c>
      <c r="V33" s="16">
        <v>8.7999999999999995E-2</v>
      </c>
      <c r="W33" s="16">
        <v>8.5000000000000006E-2</v>
      </c>
      <c r="X33" s="16">
        <v>0.08</v>
      </c>
    </row>
    <row r="34" spans="1:24" x14ac:dyDescent="0.3">
      <c r="A34" t="s">
        <v>62</v>
      </c>
      <c r="B34" s="15"/>
      <c r="C34" s="30"/>
      <c r="D34" s="30"/>
      <c r="E34" s="16">
        <v>0.04</v>
      </c>
      <c r="F34" s="16">
        <v>0.04</v>
      </c>
      <c r="G34" s="16">
        <v>0.04</v>
      </c>
      <c r="H34" s="16">
        <v>0.03</v>
      </c>
      <c r="I34" s="16">
        <v>0.03</v>
      </c>
      <c r="J34" s="16">
        <v>0.03</v>
      </c>
      <c r="K34" s="16">
        <v>0.02</v>
      </c>
      <c r="L34" s="16">
        <v>0.02</v>
      </c>
      <c r="M34" s="16">
        <v>0.02</v>
      </c>
      <c r="N34" s="16">
        <v>0.02</v>
      </c>
      <c r="O34" s="16">
        <v>0.02</v>
      </c>
      <c r="P34" s="16">
        <v>1.7999999999999999E-2</v>
      </c>
      <c r="Q34" s="16">
        <v>1.7999999999999999E-2</v>
      </c>
      <c r="R34" s="16">
        <v>1.4999999999999999E-2</v>
      </c>
      <c r="S34" s="16">
        <v>1.4999999999999999E-2</v>
      </c>
      <c r="T34" s="16">
        <v>1.4999999999999999E-2</v>
      </c>
      <c r="U34" s="16">
        <v>1.2E-2</v>
      </c>
      <c r="V34" s="16">
        <v>1.2E-2</v>
      </c>
      <c r="W34" s="16">
        <v>1.2E-2</v>
      </c>
      <c r="X34" s="16">
        <v>1.2E-2</v>
      </c>
    </row>
    <row r="35" spans="1:24" x14ac:dyDescent="0.3">
      <c r="A35" s="324" t="s">
        <v>772</v>
      </c>
      <c r="B35" s="15"/>
      <c r="C35" s="30"/>
      <c r="D35" s="30"/>
      <c r="E35" s="398">
        <v>170</v>
      </c>
      <c r="F35" s="398">
        <v>165</v>
      </c>
      <c r="G35" s="398">
        <v>150</v>
      </c>
      <c r="H35" s="398">
        <v>130</v>
      </c>
      <c r="I35" s="398">
        <v>100</v>
      </c>
      <c r="J35" s="398">
        <v>70</v>
      </c>
      <c r="K35" s="398">
        <v>45</v>
      </c>
      <c r="L35" s="398">
        <v>25</v>
      </c>
      <c r="M35" s="398">
        <v>12</v>
      </c>
      <c r="N35" s="398">
        <v>6</v>
      </c>
      <c r="O35" s="398">
        <v>3</v>
      </c>
      <c r="P35" s="398">
        <v>2</v>
      </c>
      <c r="Q35" s="398">
        <v>0</v>
      </c>
      <c r="R35" s="398">
        <v>0</v>
      </c>
      <c r="S35" s="398">
        <v>0</v>
      </c>
      <c r="T35" s="398">
        <v>0</v>
      </c>
      <c r="U35" s="398">
        <v>0</v>
      </c>
      <c r="V35" s="398">
        <v>0</v>
      </c>
      <c r="W35" s="398">
        <v>0</v>
      </c>
      <c r="X35" s="398">
        <v>0</v>
      </c>
    </row>
    <row r="36" spans="1:24" x14ac:dyDescent="0.3">
      <c r="A36" s="324" t="s">
        <v>773</v>
      </c>
      <c r="B36" s="15"/>
      <c r="C36" s="30"/>
      <c r="D36" s="30"/>
      <c r="E36" s="398">
        <v>15</v>
      </c>
      <c r="F36" s="398">
        <v>40</v>
      </c>
      <c r="G36" s="398">
        <v>80</v>
      </c>
      <c r="H36" s="398">
        <v>130</v>
      </c>
      <c r="I36" s="398">
        <v>180</v>
      </c>
      <c r="J36" s="398">
        <v>240</v>
      </c>
      <c r="K36" s="398">
        <v>310</v>
      </c>
      <c r="L36" s="398">
        <v>380</v>
      </c>
      <c r="M36" s="398">
        <v>450</v>
      </c>
      <c r="N36" s="398">
        <v>510</v>
      </c>
      <c r="O36" s="398">
        <v>560</v>
      </c>
      <c r="P36" s="398">
        <v>600</v>
      </c>
      <c r="Q36" s="398">
        <v>630</v>
      </c>
      <c r="R36" s="398">
        <v>650</v>
      </c>
      <c r="S36" s="398">
        <v>670</v>
      </c>
      <c r="T36" s="398">
        <v>685</v>
      </c>
      <c r="U36" s="398">
        <v>700</v>
      </c>
      <c r="V36" s="398">
        <v>710</v>
      </c>
      <c r="W36" s="398">
        <v>720</v>
      </c>
      <c r="X36" s="398">
        <v>730</v>
      </c>
    </row>
    <row r="37" spans="1:24" x14ac:dyDescent="0.3">
      <c r="A37" s="324" t="s">
        <v>774</v>
      </c>
      <c r="B37" s="15"/>
      <c r="C37" s="30"/>
      <c r="D37" s="30"/>
      <c r="E37" s="417">
        <v>1.8</v>
      </c>
      <c r="F37" s="417">
        <v>1.5</v>
      </c>
      <c r="G37" s="417">
        <v>1.2</v>
      </c>
      <c r="H37" s="417">
        <v>1</v>
      </c>
      <c r="I37" s="417">
        <v>0.85</v>
      </c>
      <c r="J37" s="417">
        <v>0.75</v>
      </c>
      <c r="K37" s="417">
        <v>0.68</v>
      </c>
      <c r="L37" s="417">
        <v>0.62</v>
      </c>
      <c r="M37" s="417">
        <v>0.56999999999999995</v>
      </c>
      <c r="N37" s="417">
        <v>0.53</v>
      </c>
      <c r="O37" s="417">
        <v>0.5</v>
      </c>
      <c r="P37" s="417">
        <v>0.47</v>
      </c>
      <c r="Q37" s="417">
        <v>0.45</v>
      </c>
      <c r="R37" s="417">
        <v>0.43</v>
      </c>
      <c r="S37" s="417">
        <v>0.42</v>
      </c>
      <c r="T37" s="417">
        <v>0.41</v>
      </c>
      <c r="U37" s="417">
        <v>0.4</v>
      </c>
      <c r="V37" s="417">
        <v>0.39</v>
      </c>
      <c r="W37" s="417">
        <v>0.38</v>
      </c>
      <c r="X37" s="417">
        <v>0.37</v>
      </c>
    </row>
    <row r="38" spans="1:24" x14ac:dyDescent="0.3">
      <c r="A38" t="s">
        <v>63</v>
      </c>
      <c r="B38" s="399">
        <f>WACC!E43</f>
        <v>0.03</v>
      </c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</row>
    <row r="39" spans="1:24" ht="15" thickBot="1" x14ac:dyDescent="0.35">
      <c r="A39" s="164" t="s">
        <v>38</v>
      </c>
      <c r="B39" s="396">
        <f>WACC!B43</f>
        <v>6.8984004275846722E-2</v>
      </c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</row>
    <row r="40" spans="1:24" ht="15" thickTop="1" x14ac:dyDescent="0.3"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</row>
    <row r="41" spans="1:24" x14ac:dyDescent="0.3">
      <c r="A41" s="92" t="s">
        <v>66</v>
      </c>
      <c r="B41" s="217"/>
      <c r="C41" s="102"/>
      <c r="D41" s="102"/>
      <c r="E41" s="102"/>
      <c r="F41" s="102"/>
      <c r="G41" s="102"/>
      <c r="H41" s="102"/>
      <c r="I41" s="102"/>
      <c r="J41" s="102"/>
      <c r="K41" s="102"/>
      <c r="L41" s="102"/>
      <c r="M41" s="102"/>
      <c r="N41" s="102"/>
      <c r="O41" s="102"/>
      <c r="P41" s="102"/>
      <c r="Q41" s="102"/>
      <c r="R41" s="102"/>
      <c r="S41" s="102"/>
      <c r="T41" s="102"/>
      <c r="U41" s="102"/>
      <c r="V41" s="102"/>
      <c r="W41" s="102"/>
      <c r="X41" s="102"/>
    </row>
    <row r="42" spans="1:24" x14ac:dyDescent="0.3">
      <c r="A42" t="s">
        <v>58</v>
      </c>
      <c r="B42" s="15"/>
      <c r="C42" s="15"/>
      <c r="D42" s="15"/>
      <c r="E42" s="29">
        <f t="shared" ref="E42:X42" si="0">IF($B$5=1,E9,IF($B$5=2,E20,E31))</f>
        <v>0.1</v>
      </c>
      <c r="F42" s="29">
        <f t="shared" si="0"/>
        <v>0.14000000000000001</v>
      </c>
      <c r="G42" s="29">
        <f t="shared" si="0"/>
        <v>0.18</v>
      </c>
      <c r="H42" s="29">
        <f t="shared" si="0"/>
        <v>0.22</v>
      </c>
      <c r="I42" s="29">
        <f t="shared" si="0"/>
        <v>0.26</v>
      </c>
      <c r="J42" s="29">
        <f t="shared" si="0"/>
        <v>0.22</v>
      </c>
      <c r="K42" s="29">
        <f t="shared" si="0"/>
        <v>0.18</v>
      </c>
      <c r="L42" s="29">
        <f t="shared" si="0"/>
        <v>0.15</v>
      </c>
      <c r="M42" s="29">
        <f t="shared" si="0"/>
        <v>0.13</v>
      </c>
      <c r="N42" s="29">
        <f t="shared" si="0"/>
        <v>0.11</v>
      </c>
      <c r="O42" s="29">
        <f t="shared" si="0"/>
        <v>0.1</v>
      </c>
      <c r="P42" s="29">
        <f t="shared" si="0"/>
        <v>0.09</v>
      </c>
      <c r="Q42" s="29">
        <f t="shared" si="0"/>
        <v>0.08</v>
      </c>
      <c r="R42" s="29">
        <f t="shared" si="0"/>
        <v>7.0000000000000007E-2</v>
      </c>
      <c r="S42" s="29">
        <f t="shared" si="0"/>
        <v>0.06</v>
      </c>
      <c r="T42" s="29">
        <f t="shared" si="0"/>
        <v>0.05</v>
      </c>
      <c r="U42" s="29">
        <f t="shared" si="0"/>
        <v>4.4999999999999998E-2</v>
      </c>
      <c r="V42" s="29">
        <f t="shared" si="0"/>
        <v>0.04</v>
      </c>
      <c r="W42" s="29">
        <f t="shared" si="0"/>
        <v>3.5000000000000003E-2</v>
      </c>
      <c r="X42" s="29">
        <f t="shared" si="0"/>
        <v>0.03</v>
      </c>
    </row>
    <row r="43" spans="1:24" x14ac:dyDescent="0.3">
      <c r="A43" t="s">
        <v>59</v>
      </c>
      <c r="B43" s="15"/>
      <c r="C43" s="15"/>
      <c r="D43" s="15"/>
      <c r="E43" s="29">
        <f t="shared" ref="E43:X43" si="1">IF($B$5=1,E10,IF($B$5=2,E21,E32))</f>
        <v>0.18</v>
      </c>
      <c r="F43" s="29">
        <f t="shared" si="1"/>
        <v>0.18</v>
      </c>
      <c r="G43" s="29">
        <f t="shared" si="1"/>
        <v>0.24</v>
      </c>
      <c r="H43" s="29">
        <f t="shared" si="1"/>
        <v>0.3</v>
      </c>
      <c r="I43" s="29">
        <f t="shared" si="1"/>
        <v>0.36</v>
      </c>
      <c r="J43" s="29">
        <f t="shared" si="1"/>
        <v>0.41</v>
      </c>
      <c r="K43" s="29">
        <f t="shared" si="1"/>
        <v>0.45</v>
      </c>
      <c r="L43" s="29">
        <f t="shared" si="1"/>
        <v>0.47</v>
      </c>
      <c r="M43" s="29">
        <f t="shared" si="1"/>
        <v>0.48</v>
      </c>
      <c r="N43" s="29">
        <f t="shared" si="1"/>
        <v>0.49</v>
      </c>
      <c r="O43" s="29">
        <f t="shared" si="1"/>
        <v>0.5</v>
      </c>
      <c r="P43" s="29">
        <f t="shared" si="1"/>
        <v>0.51</v>
      </c>
      <c r="Q43" s="29">
        <f t="shared" si="1"/>
        <v>0.52</v>
      </c>
      <c r="R43" s="29">
        <f t="shared" si="1"/>
        <v>0.52</v>
      </c>
      <c r="S43" s="29">
        <f t="shared" si="1"/>
        <v>0.53</v>
      </c>
      <c r="T43" s="29">
        <f t="shared" si="1"/>
        <v>0.54</v>
      </c>
      <c r="U43" s="29">
        <f t="shared" si="1"/>
        <v>0.54</v>
      </c>
      <c r="V43" s="29">
        <f t="shared" si="1"/>
        <v>0.55000000000000004</v>
      </c>
      <c r="W43" s="29">
        <f t="shared" si="1"/>
        <v>0.55000000000000004</v>
      </c>
      <c r="X43" s="29">
        <f t="shared" si="1"/>
        <v>0.56000000000000005</v>
      </c>
    </row>
    <row r="44" spans="1:24" x14ac:dyDescent="0.3">
      <c r="A44" t="s">
        <v>61</v>
      </c>
      <c r="B44" s="15"/>
      <c r="C44" s="15"/>
      <c r="D44" s="15"/>
      <c r="E44" s="29">
        <f t="shared" ref="E44:X44" si="2">IF($B$5=1,E11,IF($B$5=2,E22,E33))</f>
        <v>0.75</v>
      </c>
      <c r="F44" s="29">
        <f t="shared" si="2"/>
        <v>0.65</v>
      </c>
      <c r="G44" s="29">
        <f t="shared" si="2"/>
        <v>0.55000000000000004</v>
      </c>
      <c r="H44" s="29">
        <f t="shared" si="2"/>
        <v>0.45</v>
      </c>
      <c r="I44" s="29">
        <f t="shared" si="2"/>
        <v>0.36</v>
      </c>
      <c r="J44" s="29">
        <f t="shared" si="2"/>
        <v>0.28000000000000003</v>
      </c>
      <c r="K44" s="29">
        <f t="shared" si="2"/>
        <v>0.22</v>
      </c>
      <c r="L44" s="29">
        <f t="shared" si="2"/>
        <v>0.18</v>
      </c>
      <c r="M44" s="29">
        <f t="shared" si="2"/>
        <v>0.15</v>
      </c>
      <c r="N44" s="29">
        <f t="shared" si="2"/>
        <v>0.13</v>
      </c>
      <c r="O44" s="29">
        <f t="shared" si="2"/>
        <v>0.125</v>
      </c>
      <c r="P44" s="29">
        <f t="shared" si="2"/>
        <v>0.12</v>
      </c>
      <c r="Q44" s="29">
        <f t="shared" si="2"/>
        <v>0.115</v>
      </c>
      <c r="R44" s="29">
        <f t="shared" si="2"/>
        <v>0.11</v>
      </c>
      <c r="S44" s="29">
        <f t="shared" si="2"/>
        <v>0.105</v>
      </c>
      <c r="T44" s="29">
        <f t="shared" si="2"/>
        <v>0.1</v>
      </c>
      <c r="U44" s="29">
        <f t="shared" si="2"/>
        <v>9.8000000000000004E-2</v>
      </c>
      <c r="V44" s="29">
        <f t="shared" si="2"/>
        <v>9.5000000000000001E-2</v>
      </c>
      <c r="W44" s="29">
        <f t="shared" si="2"/>
        <v>9.1999999999999998E-2</v>
      </c>
      <c r="X44" s="29">
        <f t="shared" si="2"/>
        <v>0.09</v>
      </c>
    </row>
    <row r="45" spans="1:24" x14ac:dyDescent="0.3">
      <c r="A45" t="s">
        <v>62</v>
      </c>
      <c r="B45" s="15"/>
      <c r="C45" s="15"/>
      <c r="D45" s="15"/>
      <c r="E45" s="29">
        <f t="shared" ref="E45:X45" si="3">IF($B$5=1,E12,IF($B$5=2,E23,E34))</f>
        <v>0.05</v>
      </c>
      <c r="F45" s="29">
        <f t="shared" si="3"/>
        <v>0.05</v>
      </c>
      <c r="G45" s="29">
        <f t="shared" si="3"/>
        <v>0.05</v>
      </c>
      <c r="H45" s="29">
        <f t="shared" si="3"/>
        <v>0.04</v>
      </c>
      <c r="I45" s="29">
        <f t="shared" si="3"/>
        <v>0.04</v>
      </c>
      <c r="J45" s="29">
        <f t="shared" si="3"/>
        <v>0.04</v>
      </c>
      <c r="K45" s="29">
        <f t="shared" si="3"/>
        <v>0.03</v>
      </c>
      <c r="L45" s="29">
        <f t="shared" si="3"/>
        <v>0.03</v>
      </c>
      <c r="M45" s="29">
        <f t="shared" si="3"/>
        <v>0.02</v>
      </c>
      <c r="N45" s="29">
        <f t="shared" si="3"/>
        <v>0.02</v>
      </c>
      <c r="O45" s="29">
        <f t="shared" si="3"/>
        <v>0.02</v>
      </c>
      <c r="P45" s="29">
        <f t="shared" si="3"/>
        <v>0.02</v>
      </c>
      <c r="Q45" s="29">
        <f t="shared" si="3"/>
        <v>0.02</v>
      </c>
      <c r="R45" s="29">
        <f t="shared" si="3"/>
        <v>1.7999999999999999E-2</v>
      </c>
      <c r="S45" s="29">
        <f t="shared" si="3"/>
        <v>1.7999999999999999E-2</v>
      </c>
      <c r="T45" s="29">
        <f t="shared" si="3"/>
        <v>1.4999999999999999E-2</v>
      </c>
      <c r="U45" s="29">
        <f t="shared" si="3"/>
        <v>1.4999999999999999E-2</v>
      </c>
      <c r="V45" s="29">
        <f t="shared" si="3"/>
        <v>1.4999999999999999E-2</v>
      </c>
      <c r="W45" s="29">
        <f t="shared" si="3"/>
        <v>1.4999999999999999E-2</v>
      </c>
      <c r="X45" s="29">
        <f t="shared" si="3"/>
        <v>1.4999999999999999E-2</v>
      </c>
    </row>
    <row r="46" spans="1:24" x14ac:dyDescent="0.3">
      <c r="A46" s="324" t="s">
        <v>772</v>
      </c>
      <c r="B46" s="15"/>
      <c r="C46" s="15"/>
      <c r="D46" s="15"/>
      <c r="E46" s="400">
        <f t="shared" ref="E46:X46" si="4">IF($B$5=1,E13,IF($B$5=2,E24,E35))</f>
        <v>175</v>
      </c>
      <c r="F46" s="400">
        <f t="shared" si="4"/>
        <v>180</v>
      </c>
      <c r="G46" s="400">
        <f t="shared" si="4"/>
        <v>175</v>
      </c>
      <c r="H46" s="400">
        <f t="shared" si="4"/>
        <v>160</v>
      </c>
      <c r="I46" s="400">
        <f t="shared" si="4"/>
        <v>130</v>
      </c>
      <c r="J46" s="400">
        <f t="shared" si="4"/>
        <v>100</v>
      </c>
      <c r="K46" s="400">
        <f t="shared" si="4"/>
        <v>70</v>
      </c>
      <c r="L46" s="400">
        <f t="shared" si="4"/>
        <v>45</v>
      </c>
      <c r="M46" s="400">
        <f t="shared" si="4"/>
        <v>25</v>
      </c>
      <c r="N46" s="400">
        <f t="shared" si="4"/>
        <v>15</v>
      </c>
      <c r="O46" s="400">
        <f t="shared" si="4"/>
        <v>8</v>
      </c>
      <c r="P46" s="400">
        <f t="shared" si="4"/>
        <v>5</v>
      </c>
      <c r="Q46" s="400">
        <f t="shared" si="4"/>
        <v>3</v>
      </c>
      <c r="R46" s="400">
        <f t="shared" si="4"/>
        <v>0</v>
      </c>
      <c r="S46" s="400">
        <f t="shared" si="4"/>
        <v>0</v>
      </c>
      <c r="T46" s="400">
        <f t="shared" si="4"/>
        <v>0</v>
      </c>
      <c r="U46" s="400">
        <f t="shared" si="4"/>
        <v>0</v>
      </c>
      <c r="V46" s="400">
        <f t="shared" si="4"/>
        <v>0</v>
      </c>
      <c r="W46" s="400">
        <f t="shared" si="4"/>
        <v>0</v>
      </c>
      <c r="X46" s="400">
        <f t="shared" si="4"/>
        <v>0</v>
      </c>
    </row>
    <row r="47" spans="1:24" x14ac:dyDescent="0.3">
      <c r="A47" s="324" t="s">
        <v>773</v>
      </c>
      <c r="B47" s="15"/>
      <c r="C47" s="15"/>
      <c r="D47" s="15"/>
      <c r="E47" s="400">
        <f t="shared" ref="E47:X47" si="5">IF($B$5=1,E14,IF($B$5=2,E25,E36))</f>
        <v>10</v>
      </c>
      <c r="F47" s="400">
        <f t="shared" si="5"/>
        <v>24</v>
      </c>
      <c r="G47" s="400">
        <f t="shared" si="5"/>
        <v>50</v>
      </c>
      <c r="H47" s="400">
        <f t="shared" si="5"/>
        <v>80</v>
      </c>
      <c r="I47" s="400">
        <f t="shared" si="5"/>
        <v>100</v>
      </c>
      <c r="J47" s="400">
        <f t="shared" si="5"/>
        <v>150</v>
      </c>
      <c r="K47" s="400">
        <f t="shared" si="5"/>
        <v>210</v>
      </c>
      <c r="L47" s="400">
        <f t="shared" si="5"/>
        <v>280</v>
      </c>
      <c r="M47" s="400">
        <f t="shared" si="5"/>
        <v>340</v>
      </c>
      <c r="N47" s="400">
        <f t="shared" si="5"/>
        <v>400</v>
      </c>
      <c r="O47" s="400">
        <f t="shared" si="5"/>
        <v>440</v>
      </c>
      <c r="P47" s="400">
        <f t="shared" si="5"/>
        <v>470</v>
      </c>
      <c r="Q47" s="400">
        <f t="shared" si="5"/>
        <v>490</v>
      </c>
      <c r="R47" s="400">
        <f t="shared" si="5"/>
        <v>510</v>
      </c>
      <c r="S47" s="400">
        <f t="shared" si="5"/>
        <v>520</v>
      </c>
      <c r="T47" s="400">
        <f t="shared" si="5"/>
        <v>530</v>
      </c>
      <c r="U47" s="400">
        <f t="shared" si="5"/>
        <v>540</v>
      </c>
      <c r="V47" s="400">
        <f t="shared" si="5"/>
        <v>545</v>
      </c>
      <c r="W47" s="400">
        <f t="shared" si="5"/>
        <v>550</v>
      </c>
      <c r="X47" s="400">
        <f t="shared" si="5"/>
        <v>555</v>
      </c>
    </row>
    <row r="48" spans="1:24" x14ac:dyDescent="0.3">
      <c r="A48" s="324" t="s">
        <v>774</v>
      </c>
      <c r="B48" s="15"/>
      <c r="C48" s="15"/>
      <c r="D48" s="15"/>
      <c r="E48" s="418">
        <f t="shared" ref="E48:X48" si="6">IF($B$5=1,E15,IF($B$5=2,E26,E37))</f>
        <v>2</v>
      </c>
      <c r="F48" s="418">
        <f t="shared" si="6"/>
        <v>1.8</v>
      </c>
      <c r="G48" s="418">
        <f t="shared" si="6"/>
        <v>1.6</v>
      </c>
      <c r="H48" s="418">
        <f t="shared" si="6"/>
        <v>1.4</v>
      </c>
      <c r="I48" s="418">
        <f t="shared" si="6"/>
        <v>1.2</v>
      </c>
      <c r="J48" s="418">
        <f t="shared" si="6"/>
        <v>1.1000000000000001</v>
      </c>
      <c r="K48" s="418">
        <f t="shared" si="6"/>
        <v>1</v>
      </c>
      <c r="L48" s="418">
        <f t="shared" si="6"/>
        <v>0.9</v>
      </c>
      <c r="M48" s="418">
        <f t="shared" si="6"/>
        <v>0.8</v>
      </c>
      <c r="N48" s="418">
        <f t="shared" si="6"/>
        <v>0.76</v>
      </c>
      <c r="O48" s="418">
        <f t="shared" si="6"/>
        <v>0.72</v>
      </c>
      <c r="P48" s="418">
        <f t="shared" si="6"/>
        <v>0.68</v>
      </c>
      <c r="Q48" s="418">
        <f t="shared" si="6"/>
        <v>0.64</v>
      </c>
      <c r="R48" s="418">
        <f t="shared" si="6"/>
        <v>0.62</v>
      </c>
      <c r="S48" s="418">
        <f t="shared" si="6"/>
        <v>0.6</v>
      </c>
      <c r="T48" s="418">
        <f t="shared" si="6"/>
        <v>0.6</v>
      </c>
      <c r="U48" s="418">
        <f t="shared" si="6"/>
        <v>0.6</v>
      </c>
      <c r="V48" s="418">
        <f t="shared" si="6"/>
        <v>0.6</v>
      </c>
      <c r="W48" s="418">
        <f t="shared" si="6"/>
        <v>0.6</v>
      </c>
      <c r="X48" s="418">
        <f t="shared" si="6"/>
        <v>0.6</v>
      </c>
    </row>
    <row r="49" spans="1:24" x14ac:dyDescent="0.3">
      <c r="A49" t="s">
        <v>63</v>
      </c>
      <c r="B49" s="393">
        <f>IF($B$5=1,B16,IF($B$5=2,B27,B38))</f>
        <v>2.5000000000000001E-2</v>
      </c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</row>
    <row r="50" spans="1:24" x14ac:dyDescent="0.3">
      <c r="A50" t="s">
        <v>38</v>
      </c>
      <c r="B50" s="393">
        <f>IF($B$5=1,B17,IF($B$5=2,B28,B39))</f>
        <v>6.8984004275846722E-2</v>
      </c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</row>
    <row r="51" spans="1:24" ht="15" thickBot="1" x14ac:dyDescent="0.35">
      <c r="A51" s="164" t="s">
        <v>757</v>
      </c>
      <c r="B51" s="25">
        <f>AVERAGE(E85:X85)</f>
        <v>0.10092518171749705</v>
      </c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</row>
    <row r="52" spans="1:24" ht="15" thickTop="1" x14ac:dyDescent="0.3">
      <c r="B52" s="484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</row>
    <row r="53" spans="1:24" x14ac:dyDescent="0.3">
      <c r="A53" s="92" t="s">
        <v>869</v>
      </c>
      <c r="B53" s="102"/>
      <c r="C53" s="102"/>
      <c r="D53" s="102"/>
      <c r="E53" s="102"/>
      <c r="F53" s="102"/>
      <c r="G53" s="102"/>
      <c r="H53" s="102"/>
      <c r="I53" s="102"/>
      <c r="J53" s="102"/>
      <c r="K53" s="102"/>
      <c r="L53" s="102"/>
      <c r="M53" s="102"/>
      <c r="N53" s="102"/>
      <c r="O53" s="102"/>
      <c r="P53" s="102"/>
      <c r="Q53" s="102"/>
      <c r="R53" s="102"/>
      <c r="S53" s="102"/>
      <c r="T53" s="102"/>
      <c r="U53" s="102"/>
      <c r="V53" s="102"/>
      <c r="W53" s="102"/>
      <c r="X53" s="102"/>
    </row>
    <row r="54" spans="1:24" x14ac:dyDescent="0.3">
      <c r="A54" s="1" t="s">
        <v>67</v>
      </c>
      <c r="B54" s="537">
        <f>Actuals!B9</f>
        <v>3557</v>
      </c>
      <c r="C54" s="537">
        <f>Actuals!C9</f>
        <v>3796</v>
      </c>
      <c r="D54" s="537">
        <f>Actuals!D9</f>
        <v>4086</v>
      </c>
      <c r="E54" s="411">
        <f t="shared" ref="E54:X54" si="7">D54*(1+E42)</f>
        <v>4494.6000000000004</v>
      </c>
      <c r="F54" s="411">
        <f t="shared" si="7"/>
        <v>5123.844000000001</v>
      </c>
      <c r="G54" s="411">
        <f t="shared" si="7"/>
        <v>6046.1359200000006</v>
      </c>
      <c r="H54" s="411">
        <f t="shared" si="7"/>
        <v>7376.2858224000011</v>
      </c>
      <c r="I54" s="411">
        <f t="shared" si="7"/>
        <v>9294.1201362240008</v>
      </c>
      <c r="J54" s="411">
        <f t="shared" si="7"/>
        <v>11338.82656619328</v>
      </c>
      <c r="K54" s="411">
        <f t="shared" si="7"/>
        <v>13379.81534810807</v>
      </c>
      <c r="L54" s="411">
        <f t="shared" si="7"/>
        <v>15386.787650324279</v>
      </c>
      <c r="M54" s="411">
        <f t="shared" si="7"/>
        <v>17387.070044866432</v>
      </c>
      <c r="N54" s="411">
        <f t="shared" si="7"/>
        <v>19299.647749801741</v>
      </c>
      <c r="O54" s="411">
        <f t="shared" si="7"/>
        <v>21229.612524781918</v>
      </c>
      <c r="P54" s="411">
        <f t="shared" si="7"/>
        <v>23140.277652012293</v>
      </c>
      <c r="Q54" s="411">
        <f t="shared" si="7"/>
        <v>24991.499864173278</v>
      </c>
      <c r="R54" s="411">
        <f t="shared" si="7"/>
        <v>26740.904854665408</v>
      </c>
      <c r="S54" s="411">
        <f t="shared" si="7"/>
        <v>28345.359145945335</v>
      </c>
      <c r="T54" s="411">
        <f t="shared" si="7"/>
        <v>29762.627103242601</v>
      </c>
      <c r="U54" s="411">
        <f t="shared" si="7"/>
        <v>31101.945322888518</v>
      </c>
      <c r="V54" s="411">
        <f t="shared" si="7"/>
        <v>32346.023135804058</v>
      </c>
      <c r="W54" s="411">
        <f t="shared" si="7"/>
        <v>33478.133945557194</v>
      </c>
      <c r="X54" s="411">
        <f t="shared" si="7"/>
        <v>34482.477963923913</v>
      </c>
    </row>
    <row r="55" spans="1:24" x14ac:dyDescent="0.3">
      <c r="A55" t="s">
        <v>68</v>
      </c>
      <c r="B55" s="33"/>
      <c r="C55" s="50">
        <f t="shared" ref="C55:N55" si="8">C54/B54-1</f>
        <v>6.7191453472027041E-2</v>
      </c>
      <c r="D55" s="50">
        <f t="shared" si="8"/>
        <v>7.6396206533192901E-2</v>
      </c>
      <c r="E55" s="29">
        <f t="shared" si="8"/>
        <v>0.10000000000000009</v>
      </c>
      <c r="F55" s="29">
        <f t="shared" si="8"/>
        <v>0.14000000000000012</v>
      </c>
      <c r="G55" s="29">
        <f t="shared" si="8"/>
        <v>0.17999999999999994</v>
      </c>
      <c r="H55" s="29">
        <f t="shared" si="8"/>
        <v>0.21999999999999997</v>
      </c>
      <c r="I55" s="29">
        <f t="shared" si="8"/>
        <v>0.26</v>
      </c>
      <c r="J55" s="29">
        <f t="shared" si="8"/>
        <v>0.21999999999999997</v>
      </c>
      <c r="K55" s="29">
        <f t="shared" si="8"/>
        <v>0.17999999999999994</v>
      </c>
      <c r="L55" s="29">
        <f t="shared" si="8"/>
        <v>0.14999999999999991</v>
      </c>
      <c r="M55" s="29">
        <f t="shared" si="8"/>
        <v>0.12999999999999989</v>
      </c>
      <c r="N55" s="29">
        <f t="shared" si="8"/>
        <v>0.1100000000000001</v>
      </c>
      <c r="O55" s="29">
        <f t="shared" ref="O55:X55" si="9">O54/N54-1</f>
        <v>0.10000000000000009</v>
      </c>
      <c r="P55" s="29">
        <f t="shared" si="9"/>
        <v>9.000000000000008E-2</v>
      </c>
      <c r="Q55" s="29">
        <f t="shared" si="9"/>
        <v>8.0000000000000071E-2</v>
      </c>
      <c r="R55" s="29">
        <f t="shared" si="9"/>
        <v>7.0000000000000062E-2</v>
      </c>
      <c r="S55" s="29">
        <f t="shared" si="9"/>
        <v>6.0000000000000053E-2</v>
      </c>
      <c r="T55" s="29">
        <f t="shared" si="9"/>
        <v>5.0000000000000044E-2</v>
      </c>
      <c r="U55" s="29">
        <f t="shared" si="9"/>
        <v>4.4999999999999929E-2</v>
      </c>
      <c r="V55" s="29">
        <f t="shared" si="9"/>
        <v>4.0000000000000036E-2</v>
      </c>
      <c r="W55" s="29">
        <f t="shared" si="9"/>
        <v>3.499999999999992E-2</v>
      </c>
      <c r="X55" s="29">
        <f t="shared" si="9"/>
        <v>3.0000000000000027E-2</v>
      </c>
    </row>
    <row r="56" spans="1:24" x14ac:dyDescent="0.3">
      <c r="A56" s="1" t="s">
        <v>69</v>
      </c>
      <c r="B56" s="537">
        <f>Actuals!B12</f>
        <v>997</v>
      </c>
      <c r="C56" s="537">
        <f>Actuals!C12</f>
        <v>1154</v>
      </c>
      <c r="D56" s="537">
        <f>Actuals!D12</f>
        <v>653</v>
      </c>
      <c r="E56" s="411">
        <f t="shared" ref="E56:X56" si="10">E54*E43</f>
        <v>809.02800000000002</v>
      </c>
      <c r="F56" s="411">
        <f t="shared" si="10"/>
        <v>922.29192000000012</v>
      </c>
      <c r="G56" s="411">
        <f t="shared" si="10"/>
        <v>1451.0726208000001</v>
      </c>
      <c r="H56" s="411">
        <f t="shared" si="10"/>
        <v>2212.88574672</v>
      </c>
      <c r="I56" s="411">
        <f t="shared" si="10"/>
        <v>3345.8832490406403</v>
      </c>
      <c r="J56" s="411">
        <f t="shared" si="10"/>
        <v>4648.9188921392442</v>
      </c>
      <c r="K56" s="411">
        <f t="shared" si="10"/>
        <v>6020.916906648632</v>
      </c>
      <c r="L56" s="411">
        <f t="shared" si="10"/>
        <v>7231.7901956524101</v>
      </c>
      <c r="M56" s="411">
        <f t="shared" si="10"/>
        <v>8345.7936215358877</v>
      </c>
      <c r="N56" s="411">
        <f t="shared" si="10"/>
        <v>9456.8273974028525</v>
      </c>
      <c r="O56" s="411">
        <f t="shared" si="10"/>
        <v>10614.806262390959</v>
      </c>
      <c r="P56" s="411">
        <f t="shared" si="10"/>
        <v>11801.541602526269</v>
      </c>
      <c r="Q56" s="411">
        <f t="shared" si="10"/>
        <v>12995.579929370106</v>
      </c>
      <c r="R56" s="411">
        <f t="shared" si="10"/>
        <v>13905.270524426012</v>
      </c>
      <c r="S56" s="411">
        <f t="shared" si="10"/>
        <v>15023.040347351029</v>
      </c>
      <c r="T56" s="411">
        <f t="shared" si="10"/>
        <v>16071.818635751006</v>
      </c>
      <c r="U56" s="411">
        <f t="shared" si="10"/>
        <v>16795.050474359799</v>
      </c>
      <c r="V56" s="411">
        <f t="shared" si="10"/>
        <v>17790.312724692234</v>
      </c>
      <c r="W56" s="411">
        <f t="shared" si="10"/>
        <v>18412.973670056457</v>
      </c>
      <c r="X56" s="411">
        <f t="shared" si="10"/>
        <v>19310.187659797393</v>
      </c>
    </row>
    <row r="57" spans="1:24" x14ac:dyDescent="0.3">
      <c r="A57" t="s">
        <v>70</v>
      </c>
      <c r="B57" s="50">
        <f t="shared" ref="B57:N57" si="11">B56/B54</f>
        <v>0.28029238122012934</v>
      </c>
      <c r="C57" s="50">
        <f t="shared" si="11"/>
        <v>0.30400421496311908</v>
      </c>
      <c r="D57" s="50">
        <f t="shared" si="11"/>
        <v>0.15981399902104748</v>
      </c>
      <c r="E57" s="29">
        <f t="shared" si="11"/>
        <v>0.18</v>
      </c>
      <c r="F57" s="29">
        <f t="shared" si="11"/>
        <v>0.18</v>
      </c>
      <c r="G57" s="29">
        <f t="shared" si="11"/>
        <v>0.24</v>
      </c>
      <c r="H57" s="29">
        <f t="shared" si="11"/>
        <v>0.3</v>
      </c>
      <c r="I57" s="29">
        <f t="shared" si="11"/>
        <v>0.36</v>
      </c>
      <c r="J57" s="29">
        <f t="shared" si="11"/>
        <v>0.40999999999999992</v>
      </c>
      <c r="K57" s="29">
        <f t="shared" si="11"/>
        <v>0.45000000000000007</v>
      </c>
      <c r="L57" s="29">
        <f t="shared" si="11"/>
        <v>0.46999999999999992</v>
      </c>
      <c r="M57" s="29">
        <f t="shared" si="11"/>
        <v>0.48000000000000004</v>
      </c>
      <c r="N57" s="29">
        <f t="shared" si="11"/>
        <v>0.49</v>
      </c>
      <c r="O57" s="29">
        <f t="shared" ref="O57:X57" si="12">O56/O54</f>
        <v>0.5</v>
      </c>
      <c r="P57" s="29">
        <f t="shared" si="12"/>
        <v>0.51</v>
      </c>
      <c r="Q57" s="29">
        <f t="shared" si="12"/>
        <v>0.52</v>
      </c>
      <c r="R57" s="29">
        <f t="shared" si="12"/>
        <v>0.52</v>
      </c>
      <c r="S57" s="29">
        <f t="shared" si="12"/>
        <v>0.53</v>
      </c>
      <c r="T57" s="29">
        <f t="shared" si="12"/>
        <v>0.54</v>
      </c>
      <c r="U57" s="29">
        <f t="shared" si="12"/>
        <v>0.54</v>
      </c>
      <c r="V57" s="29">
        <f t="shared" si="12"/>
        <v>0.55000000000000004</v>
      </c>
      <c r="W57" s="29">
        <f t="shared" si="12"/>
        <v>0.55000000000000004</v>
      </c>
      <c r="X57" s="29">
        <f t="shared" si="12"/>
        <v>0.56000000000000005</v>
      </c>
    </row>
    <row r="58" spans="1:24" x14ac:dyDescent="0.3">
      <c r="A58" t="s">
        <v>71</v>
      </c>
      <c r="B58" s="49">
        <f>Actuals!B15</f>
        <v>571</v>
      </c>
      <c r="C58" s="49">
        <f>Actuals!C15</f>
        <v>637</v>
      </c>
      <c r="D58" s="49">
        <f>Actuals!D15</f>
        <v>757</v>
      </c>
      <c r="E58" s="78">
        <f t="shared" ref="E58:X58" si="13">E165</f>
        <v>817.25540540540533</v>
      </c>
      <c r="F58" s="78">
        <f t="shared" si="13"/>
        <v>875.15308823529404</v>
      </c>
      <c r="G58" s="78">
        <f t="shared" si="13"/>
        <v>939.42702499999996</v>
      </c>
      <c r="H58" s="78">
        <f t="shared" si="13"/>
        <v>996.6031349166667</v>
      </c>
      <c r="I58" s="78">
        <f t="shared" si="13"/>
        <v>1053.0272564224999</v>
      </c>
      <c r="J58" s="78">
        <f t="shared" si="13"/>
        <v>1105.202522946425</v>
      </c>
      <c r="K58" s="78">
        <f t="shared" si="13"/>
        <v>1155.6097899076303</v>
      </c>
      <c r="L58" s="78">
        <f t="shared" si="13"/>
        <v>1196.8658897105433</v>
      </c>
      <c r="M58" s="78">
        <f t="shared" si="13"/>
        <v>1237.9860115628276</v>
      </c>
      <c r="N58" s="78">
        <f t="shared" si="13"/>
        <v>1288.4893519357727</v>
      </c>
      <c r="O58" s="78">
        <f t="shared" si="13"/>
        <v>1340.4008648585582</v>
      </c>
      <c r="P58" s="78">
        <f t="shared" si="13"/>
        <v>1396.5768726185884</v>
      </c>
      <c r="Q58" s="78">
        <f t="shared" si="13"/>
        <v>1453.6166796798209</v>
      </c>
      <c r="R58" s="78">
        <f t="shared" si="13"/>
        <v>1515.1038554834336</v>
      </c>
      <c r="S58" s="78">
        <f t="shared" si="13"/>
        <v>1579.5636393581849</v>
      </c>
      <c r="T58" s="78">
        <f t="shared" si="13"/>
        <v>1655.3759516596913</v>
      </c>
      <c r="U58" s="78">
        <f t="shared" si="13"/>
        <v>1731.9449234862807</v>
      </c>
      <c r="V58" s="78">
        <f t="shared" si="13"/>
        <v>1813.7922791315077</v>
      </c>
      <c r="W58" s="78">
        <f t="shared" si="13"/>
        <v>1898.8766608431235</v>
      </c>
      <c r="X58" s="78">
        <f t="shared" si="13"/>
        <v>1985.1639696729715</v>
      </c>
    </row>
    <row r="59" spans="1:24" x14ac:dyDescent="0.3">
      <c r="A59" s="1" t="s">
        <v>72</v>
      </c>
      <c r="B59" s="538">
        <f t="shared" ref="B59:N59" si="14">B56-B58</f>
        <v>426</v>
      </c>
      <c r="C59" s="538">
        <f t="shared" si="14"/>
        <v>517</v>
      </c>
      <c r="D59" s="538">
        <f t="shared" si="14"/>
        <v>-104</v>
      </c>
      <c r="E59" s="411">
        <f t="shared" si="14"/>
        <v>-8.2274054054053067</v>
      </c>
      <c r="F59" s="411">
        <f t="shared" si="14"/>
        <v>47.138831764706083</v>
      </c>
      <c r="G59" s="411">
        <f t="shared" si="14"/>
        <v>511.64559580000014</v>
      </c>
      <c r="H59" s="411">
        <f t="shared" si="14"/>
        <v>1216.2826118033333</v>
      </c>
      <c r="I59" s="411">
        <f t="shared" si="14"/>
        <v>2292.8559926181406</v>
      </c>
      <c r="J59" s="411">
        <f t="shared" si="14"/>
        <v>3543.716369192819</v>
      </c>
      <c r="K59" s="411">
        <f t="shared" si="14"/>
        <v>4865.3071167410017</v>
      </c>
      <c r="L59" s="411">
        <f t="shared" si="14"/>
        <v>6034.9243059418668</v>
      </c>
      <c r="M59" s="411">
        <f t="shared" si="14"/>
        <v>7107.8076099730606</v>
      </c>
      <c r="N59" s="411">
        <f t="shared" si="14"/>
        <v>8168.3380454670796</v>
      </c>
      <c r="O59" s="411">
        <f t="shared" ref="O59:X59" si="15">O56-O58</f>
        <v>9274.4053975324005</v>
      </c>
      <c r="P59" s="411">
        <f t="shared" si="15"/>
        <v>10404.964729907681</v>
      </c>
      <c r="Q59" s="411">
        <f t="shared" si="15"/>
        <v>11541.963249690285</v>
      </c>
      <c r="R59" s="411">
        <f t="shared" si="15"/>
        <v>12390.166668942578</v>
      </c>
      <c r="S59" s="411">
        <f t="shared" si="15"/>
        <v>13443.476707992844</v>
      </c>
      <c r="T59" s="411">
        <f t="shared" si="15"/>
        <v>14416.442684091315</v>
      </c>
      <c r="U59" s="411">
        <f t="shared" si="15"/>
        <v>15063.105550873519</v>
      </c>
      <c r="V59" s="411">
        <f t="shared" si="15"/>
        <v>15976.520445560727</v>
      </c>
      <c r="W59" s="411">
        <f t="shared" si="15"/>
        <v>16514.097009213332</v>
      </c>
      <c r="X59" s="411">
        <f t="shared" si="15"/>
        <v>17325.023690124421</v>
      </c>
    </row>
    <row r="60" spans="1:24" x14ac:dyDescent="0.3">
      <c r="A60" t="s">
        <v>73</v>
      </c>
      <c r="B60" s="50">
        <f t="shared" ref="B60:N60" si="16">B59/B54</f>
        <v>0.11976384593758785</v>
      </c>
      <c r="C60" s="50">
        <f t="shared" si="16"/>
        <v>0.13619599578503688</v>
      </c>
      <c r="D60" s="50">
        <f t="shared" si="16"/>
        <v>-2.5452765540871267E-2</v>
      </c>
      <c r="E60" s="29">
        <f t="shared" si="16"/>
        <v>-1.8305089230199142E-3</v>
      </c>
      <c r="F60" s="29">
        <f t="shared" si="16"/>
        <v>9.1998959696481929E-3</v>
      </c>
      <c r="G60" s="29">
        <f t="shared" si="16"/>
        <v>8.4623568270691493E-2</v>
      </c>
      <c r="H60" s="29">
        <f t="shared" si="16"/>
        <v>0.16489092764135799</v>
      </c>
      <c r="I60" s="29">
        <f t="shared" si="16"/>
        <v>0.24669962933679898</v>
      </c>
      <c r="J60" s="29">
        <f t="shared" si="16"/>
        <v>0.31252937404990494</v>
      </c>
      <c r="K60" s="29">
        <f t="shared" si="16"/>
        <v>0.36363036336140209</v>
      </c>
      <c r="L60" s="29">
        <f t="shared" si="16"/>
        <v>0.39221470024087063</v>
      </c>
      <c r="M60" s="29">
        <f t="shared" si="16"/>
        <v>0.40879846872599762</v>
      </c>
      <c r="N60" s="29">
        <f t="shared" si="16"/>
        <v>0.42323767518249084</v>
      </c>
      <c r="O60" s="29">
        <f t="shared" ref="O60:X60" si="17">O59/O54</f>
        <v>0.43686173672299144</v>
      </c>
      <c r="P60" s="29">
        <f t="shared" si="17"/>
        <v>0.44964735887699508</v>
      </c>
      <c r="Q60" s="29">
        <f t="shared" si="17"/>
        <v>0.46183555658603503</v>
      </c>
      <c r="R60" s="29">
        <f t="shared" si="17"/>
        <v>0.46334133928085464</v>
      </c>
      <c r="S60" s="29">
        <f t="shared" si="17"/>
        <v>0.47427434730231205</v>
      </c>
      <c r="T60" s="29">
        <f t="shared" si="17"/>
        <v>0.48438071794141657</v>
      </c>
      <c r="U60" s="29">
        <f t="shared" si="17"/>
        <v>0.48431393581636484</v>
      </c>
      <c r="V60" s="29">
        <f t="shared" si="17"/>
        <v>0.49392533908986774</v>
      </c>
      <c r="W60" s="29">
        <f t="shared" si="17"/>
        <v>0.49328009249466787</v>
      </c>
      <c r="X60" s="29">
        <f t="shared" si="17"/>
        <v>0.50242977631277319</v>
      </c>
    </row>
    <row r="61" spans="1:24" x14ac:dyDescent="0.3">
      <c r="A61" s="80" t="s">
        <v>681</v>
      </c>
      <c r="B61" s="31">
        <v>0</v>
      </c>
      <c r="C61" s="51">
        <f>B63</f>
        <v>0</v>
      </c>
      <c r="D61" s="51">
        <f t="shared" ref="D61:X61" si="18">C63</f>
        <v>0</v>
      </c>
      <c r="E61" s="78">
        <f t="shared" si="18"/>
        <v>104</v>
      </c>
      <c r="F61" s="78">
        <f t="shared" si="18"/>
        <v>112.22740540540531</v>
      </c>
      <c r="G61" s="78">
        <f t="shared" si="18"/>
        <v>74.516339993640429</v>
      </c>
      <c r="H61" s="78">
        <f t="shared" si="18"/>
        <v>0</v>
      </c>
      <c r="I61" s="78">
        <f t="shared" si="18"/>
        <v>0</v>
      </c>
      <c r="J61" s="78">
        <f t="shared" si="18"/>
        <v>0</v>
      </c>
      <c r="K61" s="78">
        <f t="shared" si="18"/>
        <v>0</v>
      </c>
      <c r="L61" s="78">
        <f t="shared" si="18"/>
        <v>0</v>
      </c>
      <c r="M61" s="78">
        <f t="shared" si="18"/>
        <v>0</v>
      </c>
      <c r="N61" s="78">
        <f t="shared" si="18"/>
        <v>0</v>
      </c>
      <c r="O61" s="78">
        <f t="shared" si="18"/>
        <v>0</v>
      </c>
      <c r="P61" s="78">
        <f t="shared" si="18"/>
        <v>0</v>
      </c>
      <c r="Q61" s="78">
        <f t="shared" si="18"/>
        <v>0</v>
      </c>
      <c r="R61" s="78">
        <f t="shared" si="18"/>
        <v>0</v>
      </c>
      <c r="S61" s="78">
        <f t="shared" si="18"/>
        <v>0</v>
      </c>
      <c r="T61" s="78">
        <f t="shared" si="18"/>
        <v>0</v>
      </c>
      <c r="U61" s="78">
        <f t="shared" si="18"/>
        <v>0</v>
      </c>
      <c r="V61" s="78">
        <f t="shared" si="18"/>
        <v>0</v>
      </c>
      <c r="W61" s="78">
        <f t="shared" si="18"/>
        <v>0</v>
      </c>
      <c r="X61" s="78">
        <f t="shared" si="18"/>
        <v>0</v>
      </c>
    </row>
    <row r="62" spans="1:24" x14ac:dyDescent="0.3">
      <c r="A62" s="133" t="s">
        <v>682</v>
      </c>
      <c r="B62" s="51">
        <f>MIN(B61,MAX(B59,0)*0.8)</f>
        <v>0</v>
      </c>
      <c r="C62" s="51">
        <f>MIN(C61,MAX(C59,0)*0.8)</f>
        <v>0</v>
      </c>
      <c r="D62" s="51">
        <f t="shared" ref="D62:X62" si="19">MIN(D61,MAX(D59,0)*0.8)</f>
        <v>0</v>
      </c>
      <c r="E62" s="78">
        <f t="shared" si="19"/>
        <v>0</v>
      </c>
      <c r="F62" s="78">
        <f t="shared" si="19"/>
        <v>37.711065411764871</v>
      </c>
      <c r="G62" s="78">
        <f t="shared" si="19"/>
        <v>74.516339993640429</v>
      </c>
      <c r="H62" s="78">
        <f t="shared" si="19"/>
        <v>0</v>
      </c>
      <c r="I62" s="78">
        <f t="shared" si="19"/>
        <v>0</v>
      </c>
      <c r="J62" s="78">
        <f t="shared" si="19"/>
        <v>0</v>
      </c>
      <c r="K62" s="78">
        <f t="shared" si="19"/>
        <v>0</v>
      </c>
      <c r="L62" s="78">
        <f t="shared" si="19"/>
        <v>0</v>
      </c>
      <c r="M62" s="78">
        <f t="shared" si="19"/>
        <v>0</v>
      </c>
      <c r="N62" s="78">
        <f t="shared" si="19"/>
        <v>0</v>
      </c>
      <c r="O62" s="78">
        <f t="shared" si="19"/>
        <v>0</v>
      </c>
      <c r="P62" s="78">
        <f t="shared" si="19"/>
        <v>0</v>
      </c>
      <c r="Q62" s="78">
        <f t="shared" si="19"/>
        <v>0</v>
      </c>
      <c r="R62" s="78">
        <f t="shared" si="19"/>
        <v>0</v>
      </c>
      <c r="S62" s="78">
        <f t="shared" si="19"/>
        <v>0</v>
      </c>
      <c r="T62" s="78">
        <f t="shared" si="19"/>
        <v>0</v>
      </c>
      <c r="U62" s="78">
        <f t="shared" si="19"/>
        <v>0</v>
      </c>
      <c r="V62" s="78">
        <f t="shared" si="19"/>
        <v>0</v>
      </c>
      <c r="W62" s="78">
        <f t="shared" si="19"/>
        <v>0</v>
      </c>
      <c r="X62" s="78">
        <f t="shared" si="19"/>
        <v>0</v>
      </c>
    </row>
    <row r="63" spans="1:24" x14ac:dyDescent="0.3">
      <c r="A63" s="80" t="s">
        <v>683</v>
      </c>
      <c r="B63" s="51">
        <f>B61-B62+MAX(-B59,0)</f>
        <v>0</v>
      </c>
      <c r="C63" s="51">
        <f>C61-C62+MAX(-C59,0)</f>
        <v>0</v>
      </c>
      <c r="D63" s="51">
        <f t="shared" ref="D63:X63" si="20">D61-D62+MAX(-D59,0)</f>
        <v>104</v>
      </c>
      <c r="E63" s="78">
        <f t="shared" si="20"/>
        <v>112.22740540540531</v>
      </c>
      <c r="F63" s="78">
        <f t="shared" si="20"/>
        <v>74.516339993640429</v>
      </c>
      <c r="G63" s="78">
        <f t="shared" si="20"/>
        <v>0</v>
      </c>
      <c r="H63" s="78">
        <f t="shared" si="20"/>
        <v>0</v>
      </c>
      <c r="I63" s="78">
        <f t="shared" si="20"/>
        <v>0</v>
      </c>
      <c r="J63" s="78">
        <f t="shared" si="20"/>
        <v>0</v>
      </c>
      <c r="K63" s="78">
        <f t="shared" si="20"/>
        <v>0</v>
      </c>
      <c r="L63" s="78">
        <f t="shared" si="20"/>
        <v>0</v>
      </c>
      <c r="M63" s="78">
        <f t="shared" si="20"/>
        <v>0</v>
      </c>
      <c r="N63" s="78">
        <f t="shared" si="20"/>
        <v>0</v>
      </c>
      <c r="O63" s="78">
        <f t="shared" si="20"/>
        <v>0</v>
      </c>
      <c r="P63" s="78">
        <f t="shared" si="20"/>
        <v>0</v>
      </c>
      <c r="Q63" s="78">
        <f t="shared" si="20"/>
        <v>0</v>
      </c>
      <c r="R63" s="78">
        <f t="shared" si="20"/>
        <v>0</v>
      </c>
      <c r="S63" s="78">
        <f t="shared" si="20"/>
        <v>0</v>
      </c>
      <c r="T63" s="78">
        <f t="shared" si="20"/>
        <v>0</v>
      </c>
      <c r="U63" s="78">
        <f t="shared" si="20"/>
        <v>0</v>
      </c>
      <c r="V63" s="78">
        <f t="shared" si="20"/>
        <v>0</v>
      </c>
      <c r="W63" s="78">
        <f t="shared" si="20"/>
        <v>0</v>
      </c>
      <c r="X63" s="78">
        <f t="shared" si="20"/>
        <v>0</v>
      </c>
    </row>
    <row r="64" spans="1:24" x14ac:dyDescent="0.3">
      <c r="A64" t="s">
        <v>100</v>
      </c>
      <c r="B64" s="49">
        <f>(MAX(B59,0)-B62)*WACC!$B$9</f>
        <v>89.46</v>
      </c>
      <c r="C64" s="49">
        <f>(MAX(C59,0)-C62)*WACC!$B$9</f>
        <v>108.57</v>
      </c>
      <c r="D64" s="49">
        <f>(MAX(D59,0)-D62)*WACC!$B$9</f>
        <v>0</v>
      </c>
      <c r="E64" s="419">
        <f>(MAX(E59,0)-E62)*WACC!$B$9</f>
        <v>0</v>
      </c>
      <c r="F64" s="419">
        <f>(MAX(F59,0)-F62)*WACC!$B$9</f>
        <v>1.9798309341176545</v>
      </c>
      <c r="G64" s="419">
        <f>(MAX(G59,0)-G62)*WACC!$B$9</f>
        <v>91.797143719335537</v>
      </c>
      <c r="H64" s="419">
        <f>(MAX(H59,0)-H62)*WACC!$B$9</f>
        <v>255.41934847869999</v>
      </c>
      <c r="I64" s="419">
        <f>(MAX(I59,0)-I62)*WACC!$B$9</f>
        <v>481.49975844980952</v>
      </c>
      <c r="J64" s="419">
        <f>(MAX(J59,0)-J62)*WACC!$B$9</f>
        <v>744.18043753049199</v>
      </c>
      <c r="K64" s="419">
        <f>(MAX(K59,0)-K62)*WACC!$B$9</f>
        <v>1021.7144945156103</v>
      </c>
      <c r="L64" s="419">
        <f>(MAX(L59,0)-L62)*WACC!$B$9</f>
        <v>1267.3341042477921</v>
      </c>
      <c r="M64" s="419">
        <f>(MAX(M59,0)-M62)*WACC!$B$9</f>
        <v>1492.6395980943428</v>
      </c>
      <c r="N64" s="419">
        <f>(MAX(N59,0)-N62)*WACC!$B$9</f>
        <v>1715.3509895480865</v>
      </c>
      <c r="O64" s="419">
        <f>(MAX(O59,0)-O62)*WACC!$B$9</f>
        <v>1947.6251334818039</v>
      </c>
      <c r="P64" s="419">
        <f>(MAX(P59,0)-P62)*WACC!$B$9</f>
        <v>2185.0425932806129</v>
      </c>
      <c r="Q64" s="419">
        <f>(MAX(Q59,0)-Q62)*WACC!$B$9</f>
        <v>2423.8122824349598</v>
      </c>
      <c r="R64" s="419">
        <f>(MAX(R59,0)-R62)*WACC!$B$9</f>
        <v>2601.9350004779412</v>
      </c>
      <c r="S64" s="419">
        <f>(MAX(S59,0)-S62)*WACC!$B$9</f>
        <v>2823.130108678497</v>
      </c>
      <c r="T64" s="419">
        <f>(MAX(T59,0)-T62)*WACC!$B$9</f>
        <v>3027.452963659176</v>
      </c>
      <c r="U64" s="419">
        <f>(MAX(U59,0)-U62)*WACC!$B$9</f>
        <v>3163.2521656834388</v>
      </c>
      <c r="V64" s="419">
        <f>(MAX(V59,0)-V62)*WACC!$B$9</f>
        <v>3355.0692935677525</v>
      </c>
      <c r="W64" s="419">
        <f>(MAX(W59,0)-W62)*WACC!$B$9</f>
        <v>3467.9603719347997</v>
      </c>
      <c r="X64" s="419">
        <f>(MAX(X59,0)-X62)*WACC!$B$9</f>
        <v>3638.2549749261284</v>
      </c>
    </row>
    <row r="65" spans="1:24" x14ac:dyDescent="0.3">
      <c r="A65" t="s">
        <v>74</v>
      </c>
      <c r="B65" s="51">
        <f t="shared" ref="B65:N65" si="21">B59-B64</f>
        <v>336.54</v>
      </c>
      <c r="C65" s="51">
        <f t="shared" si="21"/>
        <v>408.43</v>
      </c>
      <c r="D65" s="51">
        <f t="shared" si="21"/>
        <v>-104</v>
      </c>
      <c r="E65" s="78">
        <f t="shared" si="21"/>
        <v>-8.2274054054053067</v>
      </c>
      <c r="F65" s="78">
        <f t="shared" si="21"/>
        <v>45.159000830588425</v>
      </c>
      <c r="G65" s="78">
        <f t="shared" si="21"/>
        <v>419.84845208066463</v>
      </c>
      <c r="H65" s="78">
        <f t="shared" si="21"/>
        <v>960.86326332463341</v>
      </c>
      <c r="I65" s="78">
        <f t="shared" si="21"/>
        <v>1811.356234168331</v>
      </c>
      <c r="J65" s="78">
        <f t="shared" si="21"/>
        <v>2799.5359316623271</v>
      </c>
      <c r="K65" s="78">
        <f t="shared" si="21"/>
        <v>3843.5926222253911</v>
      </c>
      <c r="L65" s="78">
        <f t="shared" si="21"/>
        <v>4767.5902016940745</v>
      </c>
      <c r="M65" s="78">
        <f t="shared" si="21"/>
        <v>5615.1680118787181</v>
      </c>
      <c r="N65" s="78">
        <f t="shared" si="21"/>
        <v>6452.9870559189931</v>
      </c>
      <c r="O65" s="78">
        <f t="shared" ref="O65:X65" si="22">O59-O64</f>
        <v>7326.7802640505961</v>
      </c>
      <c r="P65" s="78">
        <f t="shared" si="22"/>
        <v>8219.9221366270685</v>
      </c>
      <c r="Q65" s="78">
        <f t="shared" si="22"/>
        <v>9118.1509672553257</v>
      </c>
      <c r="R65" s="78">
        <f t="shared" si="22"/>
        <v>9788.2316684646376</v>
      </c>
      <c r="S65" s="78">
        <f t="shared" si="22"/>
        <v>10620.346599314347</v>
      </c>
      <c r="T65" s="78">
        <f t="shared" si="22"/>
        <v>11388.989720432139</v>
      </c>
      <c r="U65" s="78">
        <f t="shared" si="22"/>
        <v>11899.853385190079</v>
      </c>
      <c r="V65" s="78">
        <f t="shared" si="22"/>
        <v>12621.451151992975</v>
      </c>
      <c r="W65" s="78">
        <f t="shared" si="22"/>
        <v>13046.136637278532</v>
      </c>
      <c r="X65" s="78">
        <f t="shared" si="22"/>
        <v>13686.768715198292</v>
      </c>
    </row>
    <row r="66" spans="1:24" x14ac:dyDescent="0.3">
      <c r="A66" t="s">
        <v>75</v>
      </c>
      <c r="B66" s="51">
        <f t="shared" ref="B66:N66" si="23">B58</f>
        <v>571</v>
      </c>
      <c r="C66" s="51">
        <f t="shared" si="23"/>
        <v>637</v>
      </c>
      <c r="D66" s="51">
        <f t="shared" si="23"/>
        <v>757</v>
      </c>
      <c r="E66" s="78">
        <f t="shared" si="23"/>
        <v>817.25540540540533</v>
      </c>
      <c r="F66" s="78">
        <f t="shared" si="23"/>
        <v>875.15308823529404</v>
      </c>
      <c r="G66" s="78">
        <f t="shared" si="23"/>
        <v>939.42702499999996</v>
      </c>
      <c r="H66" s="78">
        <f t="shared" si="23"/>
        <v>996.6031349166667</v>
      </c>
      <c r="I66" s="78">
        <f t="shared" si="23"/>
        <v>1053.0272564224999</v>
      </c>
      <c r="J66" s="78">
        <f t="shared" si="23"/>
        <v>1105.202522946425</v>
      </c>
      <c r="K66" s="78">
        <f t="shared" si="23"/>
        <v>1155.6097899076303</v>
      </c>
      <c r="L66" s="78">
        <f t="shared" si="23"/>
        <v>1196.8658897105433</v>
      </c>
      <c r="M66" s="78">
        <f t="shared" si="23"/>
        <v>1237.9860115628276</v>
      </c>
      <c r="N66" s="78">
        <f t="shared" si="23"/>
        <v>1288.4893519357727</v>
      </c>
      <c r="O66" s="78">
        <f t="shared" ref="O66:X66" si="24">O58</f>
        <v>1340.4008648585582</v>
      </c>
      <c r="P66" s="78">
        <f t="shared" si="24"/>
        <v>1396.5768726185884</v>
      </c>
      <c r="Q66" s="78">
        <f t="shared" si="24"/>
        <v>1453.6166796798209</v>
      </c>
      <c r="R66" s="78">
        <f t="shared" si="24"/>
        <v>1515.1038554834336</v>
      </c>
      <c r="S66" s="78">
        <f t="shared" si="24"/>
        <v>1579.5636393581849</v>
      </c>
      <c r="T66" s="78">
        <f t="shared" si="24"/>
        <v>1655.3759516596913</v>
      </c>
      <c r="U66" s="78">
        <f t="shared" si="24"/>
        <v>1731.9449234862807</v>
      </c>
      <c r="V66" s="78">
        <f t="shared" si="24"/>
        <v>1813.7922791315077</v>
      </c>
      <c r="W66" s="78">
        <f t="shared" si="24"/>
        <v>1898.8766608431235</v>
      </c>
      <c r="X66" s="78">
        <f t="shared" si="24"/>
        <v>1985.1639696729715</v>
      </c>
    </row>
    <row r="67" spans="1:24" x14ac:dyDescent="0.3">
      <c r="A67" t="s">
        <v>76</v>
      </c>
      <c r="B67" s="49">
        <f>Actuals!B19</f>
        <v>-1497</v>
      </c>
      <c r="C67" s="49">
        <f>Actuals!C19</f>
        <v>-2032</v>
      </c>
      <c r="D67" s="49">
        <f>Actuals!D19</f>
        <v>-3832</v>
      </c>
      <c r="E67" s="78">
        <f t="shared" ref="E67:X67" si="25">-E54*E44</f>
        <v>-3370.9500000000003</v>
      </c>
      <c r="F67" s="78">
        <f t="shared" si="25"/>
        <v>-3330.4986000000008</v>
      </c>
      <c r="G67" s="78">
        <f t="shared" si="25"/>
        <v>-3325.3747560000006</v>
      </c>
      <c r="H67" s="78">
        <f t="shared" si="25"/>
        <v>-3319.3286200800007</v>
      </c>
      <c r="I67" s="78">
        <f t="shared" si="25"/>
        <v>-3345.8832490406403</v>
      </c>
      <c r="J67" s="78">
        <f t="shared" si="25"/>
        <v>-3174.8714385341186</v>
      </c>
      <c r="K67" s="78">
        <f t="shared" si="25"/>
        <v>-2943.5593765837752</v>
      </c>
      <c r="L67" s="78">
        <f t="shared" si="25"/>
        <v>-2769.6217770583698</v>
      </c>
      <c r="M67" s="78">
        <f t="shared" si="25"/>
        <v>-2608.0605067299648</v>
      </c>
      <c r="N67" s="78">
        <f t="shared" si="25"/>
        <v>-2508.9542074742262</v>
      </c>
      <c r="O67" s="78">
        <f t="shared" si="25"/>
        <v>-2653.7015655977398</v>
      </c>
      <c r="P67" s="78">
        <f t="shared" si="25"/>
        <v>-2776.8333182414749</v>
      </c>
      <c r="Q67" s="78">
        <f t="shared" si="25"/>
        <v>-2874.0224843799269</v>
      </c>
      <c r="R67" s="78">
        <f t="shared" si="25"/>
        <v>-2941.499534013195</v>
      </c>
      <c r="S67" s="78">
        <f t="shared" si="25"/>
        <v>-2976.2627103242598</v>
      </c>
      <c r="T67" s="78">
        <f t="shared" si="25"/>
        <v>-2976.2627103242603</v>
      </c>
      <c r="U67" s="78">
        <f t="shared" si="25"/>
        <v>-3047.9906416430749</v>
      </c>
      <c r="V67" s="78">
        <f t="shared" si="25"/>
        <v>-3072.8721979013858</v>
      </c>
      <c r="W67" s="78">
        <f t="shared" si="25"/>
        <v>-3079.9883229912616</v>
      </c>
      <c r="X67" s="78">
        <f t="shared" si="25"/>
        <v>-3103.4230167531523</v>
      </c>
    </row>
    <row r="68" spans="1:24" x14ac:dyDescent="0.3">
      <c r="A68" t="s">
        <v>77</v>
      </c>
      <c r="B68" s="31">
        <v>0</v>
      </c>
      <c r="C68" s="31">
        <v>0</v>
      </c>
      <c r="D68" s="31">
        <v>0</v>
      </c>
      <c r="E68" s="78">
        <f t="shared" ref="E68:X68" si="26">-(E54-D54)*E45</f>
        <v>-20.430000000000021</v>
      </c>
      <c r="F68" s="78">
        <f t="shared" si="26"/>
        <v>-31.462200000000031</v>
      </c>
      <c r="G68" s="78">
        <f t="shared" si="26"/>
        <v>-46.114595999999985</v>
      </c>
      <c r="H68" s="78">
        <f t="shared" si="26"/>
        <v>-53.205996096000021</v>
      </c>
      <c r="I68" s="78">
        <f t="shared" si="26"/>
        <v>-76.713372552959996</v>
      </c>
      <c r="J68" s="78">
        <f t="shared" si="26"/>
        <v>-81.788257198771177</v>
      </c>
      <c r="K68" s="78">
        <f t="shared" si="26"/>
        <v>-61.229663457443692</v>
      </c>
      <c r="L68" s="78">
        <f t="shared" si="26"/>
        <v>-60.209169066486261</v>
      </c>
      <c r="M68" s="78">
        <f t="shared" si="26"/>
        <v>-40.005647890843065</v>
      </c>
      <c r="N68" s="78">
        <f t="shared" si="26"/>
        <v>-38.251554098706187</v>
      </c>
      <c r="O68" s="78">
        <f t="shared" si="26"/>
        <v>-38.599295499603542</v>
      </c>
      <c r="P68" s="78">
        <f t="shared" si="26"/>
        <v>-38.213302544607508</v>
      </c>
      <c r="Q68" s="78">
        <f t="shared" si="26"/>
        <v>-37.024444243219698</v>
      </c>
      <c r="R68" s="78">
        <f t="shared" si="26"/>
        <v>-31.489289828858343</v>
      </c>
      <c r="S68" s="78">
        <f t="shared" si="26"/>
        <v>-28.880177243038666</v>
      </c>
      <c r="T68" s="78">
        <f t="shared" si="26"/>
        <v>-21.259019359458996</v>
      </c>
      <c r="U68" s="78">
        <f t="shared" si="26"/>
        <v>-20.089773294688747</v>
      </c>
      <c r="V68" s="78">
        <f t="shared" si="26"/>
        <v>-18.661167193733107</v>
      </c>
      <c r="W68" s="78">
        <f t="shared" si="26"/>
        <v>-16.98166214629704</v>
      </c>
      <c r="X68" s="78">
        <f t="shared" si="26"/>
        <v>-15.065160275500784</v>
      </c>
    </row>
    <row r="69" spans="1:24" x14ac:dyDescent="0.3">
      <c r="A69" s="95" t="s">
        <v>723</v>
      </c>
      <c r="B69" s="481">
        <f t="shared" ref="B69:D69" si="27">B65+B66+B67+B68</f>
        <v>-589.46</v>
      </c>
      <c r="C69" s="481">
        <f t="shared" si="27"/>
        <v>-986.56999999999994</v>
      </c>
      <c r="D69" s="481">
        <f t="shared" si="27"/>
        <v>-3179</v>
      </c>
      <c r="E69" s="481">
        <f>E65+E66+E67+E68-E54*($B$71+($C$71-$B$71)*(COLUMN()-5)/19)*(1-WACC!$B$9)</f>
        <v>-2706.6276900000003</v>
      </c>
      <c r="F69" s="481">
        <f>F65+F66+F67+F68-F54*($B$71+($C$71-$B$71)*(COLUMN()-5)/19)*(1-WACC!$B$9)</f>
        <v>-2579.0621167341183</v>
      </c>
      <c r="G69" s="481">
        <f>G65+G66+G67+G68-G54*($B$71+($C$71-$B$71)*(COLUMN()-5)/19)*(1-WACC!$B$9)</f>
        <v>-2169.3338544193361</v>
      </c>
      <c r="H69" s="481">
        <f>H65+H66+H67+H68-H54*($B$71+($C$71-$B$71)*(COLUMN()-5)/19)*(1-WACC!$B$9)</f>
        <v>-1600.6206289250208</v>
      </c>
      <c r="I69" s="481">
        <f>I65+I66+I67+I68-I54*($B$71+($C$71-$B$71)*(COLUMN()-5)/19)*(1-WACC!$B$9)</f>
        <v>-784.28037421097611</v>
      </c>
      <c r="J69" s="481">
        <f>J65+J66+J67+J68-J54*($B$71+($C$71-$B$71)*(COLUMN()-5)/19)*(1-WACC!$B$9)</f>
        <v>381.70585162215889</v>
      </c>
      <c r="K69" s="481">
        <f>K65+K66+K67+K68-K54*($B$71+($C$71-$B$71)*(COLUMN()-5)/19)*(1-WACC!$B$9)</f>
        <v>1691.2197142955956</v>
      </c>
      <c r="L69" s="481">
        <f>L65+L66+L67+L68-L54*($B$71+($C$71-$B$71)*(COLUMN()-5)/19)*(1-WACC!$B$9)</f>
        <v>2798.7477674917623</v>
      </c>
      <c r="M69" s="481">
        <f>M65+M66+M67+M68-M54*($B$71+($C$71-$B$71)*(COLUMN()-5)/19)*(1-WACC!$B$9)</f>
        <v>3840.0051533260298</v>
      </c>
      <c r="N69" s="481">
        <f>N65+N66+N67+N68-N54*($B$71+($C$71-$B$71)*(COLUMN()-5)/19)*(1-WACC!$B$9)</f>
        <v>4805.0780128430679</v>
      </c>
      <c r="O69" s="481">
        <f>O65+O66+O67+O68-O54*($B$71+($C$71-$B$71)*(COLUMN()-5)/19)*(1-WACC!$B$9)</f>
        <v>5564.422469865568</v>
      </c>
      <c r="P69" s="481">
        <f>P65+P66+P67+P68-P54*($B$71+($C$71-$B$71)*(COLUMN()-5)/19)*(1-WACC!$B$9)</f>
        <v>6373.2963564298416</v>
      </c>
      <c r="Q69" s="481">
        <f>Q65+Q66+Q67+Q68-Q54*($B$71+($C$71-$B$71)*(COLUMN()-5)/19)*(1-WACC!$B$9)</f>
        <v>7219.0946088700957</v>
      </c>
      <c r="R69" s="481">
        <f>R65+R66+R67+R68-R54*($B$71+($C$71-$B$71)*(COLUMN()-5)/19)*(1-WACC!$B$9)</f>
        <v>7880.0439365139027</v>
      </c>
      <c r="S69" s="481">
        <f>S65+S66+S67+S68-S54*($B$71+($C$71-$B$71)*(COLUMN()-5)/19)*(1-WACC!$B$9)</f>
        <v>8741.0178256189574</v>
      </c>
      <c r="T69" s="481">
        <f>T65+T66+T67+T68-T54*($B$71+($C$71-$B$71)*(COLUMN()-5)/19)*(1-WACC!$B$9)</f>
        <v>9595.1569147649534</v>
      </c>
      <c r="U69" s="481">
        <f>U65+U66+U67+U68-U54*($B$71+($C$71-$B$71)*(COLUMN()-5)/19)*(1-WACC!$B$9)</f>
        <v>10117.568672804213</v>
      </c>
      <c r="V69" s="481">
        <f>V65+V66+V67+V68-V54*($B$71+($C$71-$B$71)*(COLUMN()-5)/19)*(1-WACC!$B$9)</f>
        <v>10906.613148128432</v>
      </c>
      <c r="W69" s="481">
        <f>W65+W66+W67+W68-W54*($B$71+($C$71-$B$71)*(COLUMN()-5)/19)*(1-WACC!$B$9)</f>
        <v>11423.487714342938</v>
      </c>
      <c r="X69" s="481">
        <f>X65+X66+X67+X68-X54*($B$71+($C$71-$B$71)*(COLUMN()-5)/19)*(1-WACC!$B$9)</f>
        <v>12144.827143970111</v>
      </c>
    </row>
    <row r="70" spans="1:24" x14ac:dyDescent="0.3">
      <c r="A70" t="s">
        <v>78</v>
      </c>
      <c r="B70" s="29">
        <f t="shared" ref="B70:N70" si="28">B69/B54</f>
        <v>-0.16571830193983694</v>
      </c>
      <c r="C70" s="29">
        <f t="shared" si="28"/>
        <v>-0.25989726027397259</v>
      </c>
      <c r="D70" s="29">
        <f t="shared" si="28"/>
        <v>-0.77802251590797844</v>
      </c>
      <c r="E70" s="29">
        <f t="shared" si="28"/>
        <v>-0.60219545454545453</v>
      </c>
      <c r="F70" s="29">
        <f t="shared" si="28"/>
        <v>-0.50334516756054981</v>
      </c>
      <c r="G70" s="29">
        <f t="shared" si="28"/>
        <v>-0.3587967394585691</v>
      </c>
      <c r="H70" s="29">
        <f t="shared" si="28"/>
        <v>-0.21699547271667835</v>
      </c>
      <c r="I70" s="29">
        <f t="shared" si="28"/>
        <v>-8.4384574625222378E-2</v>
      </c>
      <c r="J70" s="29">
        <f t="shared" si="28"/>
        <v>3.3663611432263651E-2</v>
      </c>
      <c r="K70" s="29">
        <f t="shared" si="28"/>
        <v>0.12640082619187545</v>
      </c>
      <c r="L70" s="29">
        <f t="shared" si="28"/>
        <v>0.18189292210273522</v>
      </c>
      <c r="M70" s="29">
        <f t="shared" si="28"/>
        <v>0.22085406819073575</v>
      </c>
      <c r="N70" s="29">
        <f t="shared" si="28"/>
        <v>0.24897231675601067</v>
      </c>
      <c r="O70" s="29">
        <f t="shared" ref="O70:X70" si="29">O69/O54</f>
        <v>0.2621066429436742</v>
      </c>
      <c r="P70" s="29">
        <f t="shared" si="29"/>
        <v>0.2754200469100947</v>
      </c>
      <c r="Q70" s="29">
        <f t="shared" si="29"/>
        <v>0.28886199900387227</v>
      </c>
      <c r="R70" s="29">
        <f t="shared" si="29"/>
        <v>0.29468127497335206</v>
      </c>
      <c r="S70" s="29">
        <f t="shared" si="29"/>
        <v>0.30837562440514421</v>
      </c>
      <c r="T70" s="29">
        <f t="shared" si="29"/>
        <v>0.32238944772854317</v>
      </c>
      <c r="U70" s="29">
        <f t="shared" si="29"/>
        <v>0.32530340362210397</v>
      </c>
      <c r="V70" s="29">
        <f t="shared" si="29"/>
        <v>0.33718559781946794</v>
      </c>
      <c r="W70" s="29">
        <f t="shared" si="29"/>
        <v>0.34122235525193967</v>
      </c>
      <c r="X70" s="29">
        <f t="shared" si="29"/>
        <v>0.35220285377043414</v>
      </c>
    </row>
    <row r="71" spans="1:24" ht="15" thickBot="1" x14ac:dyDescent="0.35">
      <c r="A71" s="164" t="s">
        <v>760</v>
      </c>
      <c r="B71" s="17">
        <v>3.5000000000000003E-2</v>
      </c>
      <c r="C71" s="17">
        <v>1.4999999999999999E-2</v>
      </c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</row>
    <row r="72" spans="1:24" ht="15" thickTop="1" x14ac:dyDescent="0.3"/>
    <row r="73" spans="1:24" x14ac:dyDescent="0.3">
      <c r="A73" s="92" t="s">
        <v>859</v>
      </c>
      <c r="B73" s="102"/>
      <c r="C73" s="102"/>
      <c r="D73" s="102"/>
      <c r="E73" s="104"/>
      <c r="F73" s="104"/>
      <c r="G73" s="104"/>
      <c r="H73" s="104"/>
      <c r="I73" s="104"/>
      <c r="J73" s="104"/>
      <c r="K73" s="104"/>
      <c r="L73" s="104"/>
      <c r="M73" s="104"/>
      <c r="N73" s="104"/>
      <c r="O73" s="104"/>
      <c r="P73" s="104"/>
      <c r="Q73" s="104"/>
      <c r="R73" s="104"/>
      <c r="S73" s="104"/>
      <c r="T73" s="104"/>
      <c r="U73" s="104"/>
      <c r="V73" s="104"/>
      <c r="W73" s="104"/>
      <c r="X73" s="104"/>
    </row>
    <row r="74" spans="1:24" s="82" customFormat="1" ht="3" customHeight="1" x14ac:dyDescent="0.3">
      <c r="A74" s="143"/>
      <c r="B74" s="41"/>
      <c r="C74" s="41"/>
      <c r="D74" s="41"/>
      <c r="E74" s="216"/>
      <c r="F74" s="216"/>
      <c r="G74" s="216"/>
      <c r="H74" s="216"/>
      <c r="I74" s="216"/>
      <c r="J74" s="216"/>
      <c r="K74" s="216"/>
      <c r="L74" s="216"/>
      <c r="M74" s="216"/>
      <c r="N74" s="216"/>
      <c r="O74" s="216"/>
      <c r="P74" s="216"/>
      <c r="Q74" s="216"/>
      <c r="R74" s="216"/>
      <c r="S74" s="216"/>
      <c r="T74" s="216"/>
      <c r="U74" s="216"/>
      <c r="V74" s="216"/>
      <c r="W74" s="216"/>
      <c r="X74" s="216"/>
    </row>
    <row r="75" spans="1:24" x14ac:dyDescent="0.3">
      <c r="A75" s="93" t="s">
        <v>642</v>
      </c>
      <c r="B75" s="94"/>
      <c r="C75" s="94"/>
      <c r="D75" s="94"/>
      <c r="E75" s="122"/>
      <c r="F75" s="122"/>
      <c r="G75" s="122"/>
      <c r="H75" s="122"/>
      <c r="I75" s="122"/>
      <c r="J75" s="122"/>
      <c r="K75" s="122"/>
      <c r="L75" s="122"/>
      <c r="M75" s="122"/>
      <c r="N75" s="122"/>
      <c r="O75" s="122"/>
      <c r="P75" s="122"/>
      <c r="Q75" s="122"/>
      <c r="R75" s="122"/>
      <c r="S75" s="122"/>
      <c r="T75" s="122"/>
      <c r="U75" s="122"/>
      <c r="V75" s="122"/>
      <c r="W75" s="122"/>
      <c r="X75" s="122"/>
    </row>
    <row r="76" spans="1:24" x14ac:dyDescent="0.3">
      <c r="A76" s="129" t="s">
        <v>657</v>
      </c>
      <c r="B76" s="405">
        <f>'Space Comps'!X21</f>
        <v>1.9230769230769229</v>
      </c>
      <c r="C76" s="132" t="s">
        <v>660</v>
      </c>
      <c r="D76" s="22"/>
      <c r="E76" s="127">
        <f>$B$76</f>
        <v>1.9230769230769229</v>
      </c>
      <c r="F76" s="127">
        <f t="shared" ref="F76:X76" si="30">$B$76</f>
        <v>1.9230769230769229</v>
      </c>
      <c r="G76" s="127">
        <f t="shared" si="30"/>
        <v>1.9230769230769229</v>
      </c>
      <c r="H76" s="127">
        <f t="shared" si="30"/>
        <v>1.9230769230769229</v>
      </c>
      <c r="I76" s="127">
        <f t="shared" si="30"/>
        <v>1.9230769230769229</v>
      </c>
      <c r="J76" s="127">
        <f t="shared" si="30"/>
        <v>1.9230769230769229</v>
      </c>
      <c r="K76" s="127">
        <f t="shared" si="30"/>
        <v>1.9230769230769229</v>
      </c>
      <c r="L76" s="127">
        <f t="shared" si="30"/>
        <v>1.9230769230769229</v>
      </c>
      <c r="M76" s="127">
        <f t="shared" si="30"/>
        <v>1.9230769230769229</v>
      </c>
      <c r="N76" s="127">
        <f t="shared" si="30"/>
        <v>1.9230769230769229</v>
      </c>
      <c r="O76" s="127">
        <f t="shared" si="30"/>
        <v>1.9230769230769229</v>
      </c>
      <c r="P76" s="127">
        <f t="shared" si="30"/>
        <v>1.9230769230769229</v>
      </c>
      <c r="Q76" s="127">
        <f t="shared" si="30"/>
        <v>1.9230769230769229</v>
      </c>
      <c r="R76" s="127">
        <f t="shared" si="30"/>
        <v>1.9230769230769229</v>
      </c>
      <c r="S76" s="127">
        <f t="shared" si="30"/>
        <v>1.9230769230769229</v>
      </c>
      <c r="T76" s="127">
        <f t="shared" si="30"/>
        <v>1.9230769230769229</v>
      </c>
      <c r="U76" s="127">
        <f t="shared" si="30"/>
        <v>1.9230769230769229</v>
      </c>
      <c r="V76" s="127">
        <f t="shared" si="30"/>
        <v>1.9230769230769229</v>
      </c>
      <c r="W76" s="127">
        <f t="shared" si="30"/>
        <v>1.9230769230769229</v>
      </c>
      <c r="X76" s="127">
        <f t="shared" si="30"/>
        <v>1.9230769230769229</v>
      </c>
    </row>
    <row r="77" spans="1:24" x14ac:dyDescent="0.3">
      <c r="A77" s="129" t="s">
        <v>658</v>
      </c>
      <c r="B77" s="405">
        <f>'Space Comps'!X35</f>
        <v>0.26644721773217195</v>
      </c>
      <c r="C77" s="132" t="s">
        <v>661</v>
      </c>
      <c r="D77" s="22"/>
      <c r="E77" s="127">
        <f>$B$77</f>
        <v>0.26644721773217195</v>
      </c>
      <c r="F77" s="127">
        <f t="shared" ref="F77:X77" si="31">$B$77</f>
        <v>0.26644721773217195</v>
      </c>
      <c r="G77" s="127">
        <f t="shared" si="31"/>
        <v>0.26644721773217195</v>
      </c>
      <c r="H77" s="127">
        <f t="shared" si="31"/>
        <v>0.26644721773217195</v>
      </c>
      <c r="I77" s="127">
        <f t="shared" si="31"/>
        <v>0.26644721773217195</v>
      </c>
      <c r="J77" s="127">
        <f t="shared" si="31"/>
        <v>0.26644721773217195</v>
      </c>
      <c r="K77" s="127">
        <f t="shared" si="31"/>
        <v>0.26644721773217195</v>
      </c>
      <c r="L77" s="127">
        <f t="shared" si="31"/>
        <v>0.26644721773217195</v>
      </c>
      <c r="M77" s="127">
        <f t="shared" si="31"/>
        <v>0.26644721773217195</v>
      </c>
      <c r="N77" s="127">
        <f t="shared" si="31"/>
        <v>0.26644721773217195</v>
      </c>
      <c r="O77" s="127">
        <f t="shared" si="31"/>
        <v>0.26644721773217195</v>
      </c>
      <c r="P77" s="127">
        <f t="shared" si="31"/>
        <v>0.26644721773217195</v>
      </c>
      <c r="Q77" s="127">
        <f t="shared" si="31"/>
        <v>0.26644721773217195</v>
      </c>
      <c r="R77" s="127">
        <f t="shared" si="31"/>
        <v>0.26644721773217195</v>
      </c>
      <c r="S77" s="127">
        <f t="shared" si="31"/>
        <v>0.26644721773217195</v>
      </c>
      <c r="T77" s="127">
        <f t="shared" si="31"/>
        <v>0.26644721773217195</v>
      </c>
      <c r="U77" s="127">
        <f t="shared" si="31"/>
        <v>0.26644721773217195</v>
      </c>
      <c r="V77" s="127">
        <f t="shared" si="31"/>
        <v>0.26644721773217195</v>
      </c>
      <c r="W77" s="127">
        <f t="shared" si="31"/>
        <v>0.26644721773217195</v>
      </c>
      <c r="X77" s="127">
        <f t="shared" si="31"/>
        <v>0.26644721773217195</v>
      </c>
    </row>
    <row r="78" spans="1:24" x14ac:dyDescent="0.3">
      <c r="A78" s="129" t="s">
        <v>659</v>
      </c>
      <c r="B78" s="127">
        <f>0</f>
        <v>0</v>
      </c>
      <c r="C78" s="132" t="s">
        <v>858</v>
      </c>
      <c r="D78" s="22"/>
      <c r="E78" s="127">
        <f>$B$78</f>
        <v>0</v>
      </c>
      <c r="F78" s="127">
        <f t="shared" ref="F78:X78" si="32">$B$78</f>
        <v>0</v>
      </c>
      <c r="G78" s="127">
        <f t="shared" si="32"/>
        <v>0</v>
      </c>
      <c r="H78" s="127">
        <f t="shared" si="32"/>
        <v>0</v>
      </c>
      <c r="I78" s="127">
        <f t="shared" si="32"/>
        <v>0</v>
      </c>
      <c r="J78" s="127">
        <f t="shared" si="32"/>
        <v>0</v>
      </c>
      <c r="K78" s="127">
        <f t="shared" si="32"/>
        <v>0</v>
      </c>
      <c r="L78" s="127">
        <f t="shared" si="32"/>
        <v>0</v>
      </c>
      <c r="M78" s="127">
        <f t="shared" si="32"/>
        <v>0</v>
      </c>
      <c r="N78" s="127">
        <f t="shared" si="32"/>
        <v>0</v>
      </c>
      <c r="O78" s="127">
        <f t="shared" si="32"/>
        <v>0</v>
      </c>
      <c r="P78" s="127">
        <f t="shared" si="32"/>
        <v>0</v>
      </c>
      <c r="Q78" s="127">
        <f t="shared" si="32"/>
        <v>0</v>
      </c>
      <c r="R78" s="127">
        <f t="shared" si="32"/>
        <v>0</v>
      </c>
      <c r="S78" s="127">
        <f t="shared" si="32"/>
        <v>0</v>
      </c>
      <c r="T78" s="127">
        <f t="shared" si="32"/>
        <v>0</v>
      </c>
      <c r="U78" s="127">
        <f t="shared" si="32"/>
        <v>0</v>
      </c>
      <c r="V78" s="127">
        <f t="shared" si="32"/>
        <v>0</v>
      </c>
      <c r="W78" s="127">
        <f t="shared" si="32"/>
        <v>0</v>
      </c>
      <c r="X78" s="127">
        <f t="shared" si="32"/>
        <v>0</v>
      </c>
    </row>
    <row r="79" spans="1:24" x14ac:dyDescent="0.3">
      <c r="A79" s="129" t="s">
        <v>646</v>
      </c>
      <c r="B79" s="128">
        <f>IF($B$5=1,0.7,IF($B$5=2,0.6,0.5))</f>
        <v>0.6</v>
      </c>
      <c r="C79" s="128">
        <f>IF($B$5=1,0.25,IF($B$5=2,0.15,0.1))</f>
        <v>0.15</v>
      </c>
      <c r="D79" s="58" t="s">
        <v>678</v>
      </c>
      <c r="E79" s="128">
        <f>$B79+($C79-$B79)*(COLUMN()-5)/19</f>
        <v>0.6</v>
      </c>
      <c r="F79" s="128">
        <f t="shared" ref="F79:X80" si="33">$B79+($C79-$B79)*(COLUMN()-5)/19</f>
        <v>0.57631578947368423</v>
      </c>
      <c r="G79" s="128">
        <f t="shared" si="33"/>
        <v>0.55263157894736836</v>
      </c>
      <c r="H79" s="128">
        <f t="shared" si="33"/>
        <v>0.52894736842105261</v>
      </c>
      <c r="I79" s="128">
        <f t="shared" si="33"/>
        <v>0.50526315789473686</v>
      </c>
      <c r="J79" s="128">
        <f t="shared" si="33"/>
        <v>0.48157894736842105</v>
      </c>
      <c r="K79" s="128">
        <f t="shared" si="33"/>
        <v>0.45789473684210524</v>
      </c>
      <c r="L79" s="128">
        <f t="shared" si="33"/>
        <v>0.43421052631578949</v>
      </c>
      <c r="M79" s="128">
        <f t="shared" si="33"/>
        <v>0.41052631578947368</v>
      </c>
      <c r="N79" s="128">
        <f t="shared" si="33"/>
        <v>0.38684210526315788</v>
      </c>
      <c r="O79" s="128">
        <f t="shared" si="33"/>
        <v>0.36315789473684212</v>
      </c>
      <c r="P79" s="128">
        <f t="shared" si="33"/>
        <v>0.33947368421052632</v>
      </c>
      <c r="Q79" s="128">
        <f t="shared" si="33"/>
        <v>0.31578947368421051</v>
      </c>
      <c r="R79" s="128">
        <f t="shared" si="33"/>
        <v>0.29210526315789476</v>
      </c>
      <c r="S79" s="128">
        <f t="shared" si="33"/>
        <v>0.268421052631579</v>
      </c>
      <c r="T79" s="128">
        <f t="shared" si="33"/>
        <v>0.2447368421052632</v>
      </c>
      <c r="U79" s="128">
        <f t="shared" si="33"/>
        <v>0.22105263157894739</v>
      </c>
      <c r="V79" s="128">
        <f t="shared" si="33"/>
        <v>0.19736842105263158</v>
      </c>
      <c r="W79" s="128">
        <f t="shared" si="33"/>
        <v>0.17368421052631577</v>
      </c>
      <c r="X79" s="128">
        <f t="shared" si="33"/>
        <v>0.15000000000000002</v>
      </c>
    </row>
    <row r="80" spans="1:24" x14ac:dyDescent="0.3">
      <c r="A80" s="129" t="s">
        <v>647</v>
      </c>
      <c r="B80" s="128">
        <f>IF($B$5=1,0.3,IF($B$5=2,0.4,0.5))</f>
        <v>0.4</v>
      </c>
      <c r="C80" s="128">
        <f>IF($B$5=1,0.75,IF($B$5=2,0.85,0.9))</f>
        <v>0.85</v>
      </c>
      <c r="D80" s="58" t="s">
        <v>679</v>
      </c>
      <c r="E80" s="128">
        <f>$B80+($C80-$B80)*(COLUMN()-5)/19</f>
        <v>0.4</v>
      </c>
      <c r="F80" s="128">
        <f t="shared" si="33"/>
        <v>0.42368421052631583</v>
      </c>
      <c r="G80" s="128">
        <f t="shared" si="33"/>
        <v>0.44736842105263158</v>
      </c>
      <c r="H80" s="128">
        <f t="shared" si="33"/>
        <v>0.47105263157894739</v>
      </c>
      <c r="I80" s="128">
        <f t="shared" si="33"/>
        <v>0.49473684210526314</v>
      </c>
      <c r="J80" s="128">
        <f t="shared" si="33"/>
        <v>0.518421052631579</v>
      </c>
      <c r="K80" s="128">
        <f t="shared" si="33"/>
        <v>0.54210526315789476</v>
      </c>
      <c r="L80" s="128">
        <f t="shared" si="33"/>
        <v>0.56578947368421051</v>
      </c>
      <c r="M80" s="128">
        <f t="shared" si="33"/>
        <v>0.58947368421052637</v>
      </c>
      <c r="N80" s="128">
        <f t="shared" si="33"/>
        <v>0.61315789473684212</v>
      </c>
      <c r="O80" s="128">
        <f t="shared" si="33"/>
        <v>0.63684210526315788</v>
      </c>
      <c r="P80" s="128">
        <f t="shared" si="33"/>
        <v>0.66052631578947363</v>
      </c>
      <c r="Q80" s="128">
        <f t="shared" si="33"/>
        <v>0.68421052631578949</v>
      </c>
      <c r="R80" s="128">
        <f t="shared" si="33"/>
        <v>0.70789473684210524</v>
      </c>
      <c r="S80" s="128">
        <f t="shared" si="33"/>
        <v>0.731578947368421</v>
      </c>
      <c r="T80" s="128">
        <f t="shared" si="33"/>
        <v>0.75526315789473686</v>
      </c>
      <c r="U80" s="128">
        <f t="shared" si="33"/>
        <v>0.77894736842105261</v>
      </c>
      <c r="V80" s="128">
        <f t="shared" si="33"/>
        <v>0.80263157894736836</v>
      </c>
      <c r="W80" s="128">
        <f t="shared" si="33"/>
        <v>0.82631578947368423</v>
      </c>
      <c r="X80" s="128">
        <f t="shared" si="33"/>
        <v>0.85</v>
      </c>
    </row>
    <row r="81" spans="1:24" x14ac:dyDescent="0.3">
      <c r="A81" s="129" t="s">
        <v>648</v>
      </c>
      <c r="B81" s="128">
        <f>1-B79-B80</f>
        <v>0</v>
      </c>
      <c r="C81" s="128">
        <f>1-C79-C80</f>
        <v>0</v>
      </c>
      <c r="D81" s="22"/>
      <c r="E81" s="128">
        <f>1-E79-E80</f>
        <v>0</v>
      </c>
      <c r="F81" s="128">
        <f t="shared" ref="F81:X81" si="34">1-F79-F80</f>
        <v>0</v>
      </c>
      <c r="G81" s="128">
        <f t="shared" si="34"/>
        <v>0</v>
      </c>
      <c r="H81" s="128">
        <f t="shared" si="34"/>
        <v>0</v>
      </c>
      <c r="I81" s="128">
        <f t="shared" si="34"/>
        <v>0</v>
      </c>
      <c r="J81" s="128">
        <f t="shared" si="34"/>
        <v>0</v>
      </c>
      <c r="K81" s="128">
        <f t="shared" si="34"/>
        <v>0</v>
      </c>
      <c r="L81" s="128">
        <f t="shared" si="34"/>
        <v>0</v>
      </c>
      <c r="M81" s="128">
        <f t="shared" si="34"/>
        <v>0</v>
      </c>
      <c r="N81" s="128">
        <f t="shared" si="34"/>
        <v>0</v>
      </c>
      <c r="O81" s="128">
        <f t="shared" si="34"/>
        <v>0</v>
      </c>
      <c r="P81" s="128">
        <f t="shared" si="34"/>
        <v>0</v>
      </c>
      <c r="Q81" s="128">
        <f t="shared" si="34"/>
        <v>0</v>
      </c>
      <c r="R81" s="128">
        <f t="shared" si="34"/>
        <v>0</v>
      </c>
      <c r="S81" s="128">
        <f t="shared" si="34"/>
        <v>0</v>
      </c>
      <c r="T81" s="128">
        <f t="shared" si="34"/>
        <v>0</v>
      </c>
      <c r="U81" s="128">
        <f t="shared" si="34"/>
        <v>0</v>
      </c>
      <c r="V81" s="128">
        <f t="shared" si="34"/>
        <v>0</v>
      </c>
      <c r="W81" s="128">
        <f t="shared" si="34"/>
        <v>0</v>
      </c>
      <c r="X81" s="128">
        <f t="shared" si="34"/>
        <v>0</v>
      </c>
    </row>
    <row r="82" spans="1:24" x14ac:dyDescent="0.3">
      <c r="A82" s="85" t="s">
        <v>649</v>
      </c>
      <c r="B82" s="22"/>
      <c r="C82" s="22"/>
      <c r="D82" s="22"/>
      <c r="E82" s="131">
        <f>E76*E79+E77*E80+E78*E81</f>
        <v>1.2604250409390225</v>
      </c>
      <c r="F82" s="131">
        <f t="shared" ref="F82:X82" si="35">F76*F79+F77*F80+F78*F81</f>
        <v>1.221189074233489</v>
      </c>
      <c r="G82" s="131">
        <f t="shared" si="35"/>
        <v>1.1819531075279552</v>
      </c>
      <c r="H82" s="131">
        <f t="shared" si="35"/>
        <v>1.1427171408224217</v>
      </c>
      <c r="I82" s="131">
        <f t="shared" si="35"/>
        <v>1.1034811741168882</v>
      </c>
      <c r="J82" s="131">
        <f t="shared" si="35"/>
        <v>1.0642452074113546</v>
      </c>
      <c r="K82" s="131">
        <f t="shared" si="35"/>
        <v>1.0250092407058211</v>
      </c>
      <c r="L82" s="131">
        <f t="shared" si="35"/>
        <v>0.98577327400028747</v>
      </c>
      <c r="M82" s="131">
        <f t="shared" si="35"/>
        <v>0.94653730729475394</v>
      </c>
      <c r="N82" s="131">
        <f t="shared" si="35"/>
        <v>0.9073013405892203</v>
      </c>
      <c r="O82" s="131">
        <f t="shared" si="35"/>
        <v>0.86806537388368676</v>
      </c>
      <c r="P82" s="131">
        <f t="shared" si="35"/>
        <v>0.82882940717815323</v>
      </c>
      <c r="Q82" s="131">
        <f t="shared" si="35"/>
        <v>0.7895934404726197</v>
      </c>
      <c r="R82" s="131">
        <f t="shared" si="35"/>
        <v>0.75035747376708606</v>
      </c>
      <c r="S82" s="131">
        <f t="shared" si="35"/>
        <v>0.71112150706155253</v>
      </c>
      <c r="T82" s="131">
        <f t="shared" si="35"/>
        <v>0.671885540356019</v>
      </c>
      <c r="U82" s="131">
        <f t="shared" si="35"/>
        <v>0.63264957365048535</v>
      </c>
      <c r="V82" s="131">
        <f t="shared" si="35"/>
        <v>0.59341360694495171</v>
      </c>
      <c r="W82" s="131">
        <f t="shared" si="35"/>
        <v>0.55417764023941807</v>
      </c>
      <c r="X82" s="131">
        <f t="shared" si="35"/>
        <v>0.51494167353388465</v>
      </c>
    </row>
    <row r="83" spans="1:24" x14ac:dyDescent="0.3">
      <c r="A83" s="129" t="s">
        <v>650</v>
      </c>
      <c r="B83" s="22"/>
      <c r="C83" s="22"/>
      <c r="D83" s="22"/>
      <c r="E83" s="405">
        <f>E82*(1+(1-WACC!$B$9)*WACC!$C$22)</f>
        <v>1.7085061429928452</v>
      </c>
      <c r="F83" s="405">
        <f>F82*(1+(1-WACC!$B$9)*WACC!$C$22)</f>
        <v>1.6553217901234945</v>
      </c>
      <c r="G83" s="405">
        <f>G82*(1+(1-WACC!$B$9)*WACC!$C$22)</f>
        <v>1.6021374372541435</v>
      </c>
      <c r="H83" s="405">
        <f>H82*(1+(1-WACC!$B$9)*WACC!$C$22)</f>
        <v>1.5489530843847927</v>
      </c>
      <c r="I83" s="405">
        <f>I82*(1+(1-WACC!$B$9)*WACC!$C$22)</f>
        <v>1.495768731515442</v>
      </c>
      <c r="J83" s="405">
        <f>J82*(1+(1-WACC!$B$9)*WACC!$C$22)</f>
        <v>1.4425843786460915</v>
      </c>
      <c r="K83" s="405">
        <f>K82*(1+(1-WACC!$B$9)*WACC!$C$22)</f>
        <v>1.3894000257767407</v>
      </c>
      <c r="L83" s="405">
        <f>L82*(1+(1-WACC!$B$9)*WACC!$C$22)</f>
        <v>1.3362156729073897</v>
      </c>
      <c r="M83" s="405">
        <f>M82*(1+(1-WACC!$B$9)*WACC!$C$22)</f>
        <v>1.2830313200380392</v>
      </c>
      <c r="N83" s="405">
        <f>N82*(1+(1-WACC!$B$9)*WACC!$C$22)</f>
        <v>1.2298469671686882</v>
      </c>
      <c r="O83" s="405">
        <f>O82*(1+(1-WACC!$B$9)*WACC!$C$22)</f>
        <v>1.1766626142993375</v>
      </c>
      <c r="P83" s="405">
        <f>P82*(1+(1-WACC!$B$9)*WACC!$C$22)</f>
        <v>1.1234782614299867</v>
      </c>
      <c r="Q83" s="405">
        <f>Q82*(1+(1-WACC!$B$9)*WACC!$C$22)</f>
        <v>1.0702939085606362</v>
      </c>
      <c r="R83" s="405">
        <f>R82*(1+(1-WACC!$B$9)*WACC!$C$22)</f>
        <v>1.0171095556912852</v>
      </c>
      <c r="S83" s="405">
        <f>S82*(1+(1-WACC!$B$9)*WACC!$C$22)</f>
        <v>0.9639252028219345</v>
      </c>
      <c r="T83" s="405">
        <f>T82*(1+(1-WACC!$B$9)*WACC!$C$22)</f>
        <v>0.91074084995258386</v>
      </c>
      <c r="U83" s="405">
        <f>U82*(1+(1-WACC!$B$9)*WACC!$C$22)</f>
        <v>0.857556497083233</v>
      </c>
      <c r="V83" s="405">
        <f>V82*(1+(1-WACC!$B$9)*WACC!$C$22)</f>
        <v>0.80437214421388215</v>
      </c>
      <c r="W83" s="405">
        <f>W82*(1+(1-WACC!$B$9)*WACC!$C$22)</f>
        <v>0.75118779134453129</v>
      </c>
      <c r="X83" s="405">
        <f>X82*(1+(1-WACC!$B$9)*WACC!$C$22)</f>
        <v>0.69800343847518076</v>
      </c>
    </row>
    <row r="84" spans="1:24" x14ac:dyDescent="0.3">
      <c r="A84" s="129" t="s">
        <v>651</v>
      </c>
      <c r="B84" s="22"/>
      <c r="C84" s="22"/>
      <c r="D84" s="22"/>
      <c r="E84" s="258">
        <f>WACC!$B$7+E83*WACC!$B$8+WACC!$B$10</f>
        <v>0.14746783786460649</v>
      </c>
      <c r="F84" s="258">
        <f>WACC!$B$7+F83*WACC!$B$8+WACC!$B$10</f>
        <v>0.14454269845679218</v>
      </c>
      <c r="G84" s="258">
        <f>WACC!$B$7+G83*WACC!$B$8+WACC!$B$10</f>
        <v>0.14161755904897788</v>
      </c>
      <c r="H84" s="258">
        <f>WACC!$B$7+H83*WACC!$B$8+WACC!$B$10</f>
        <v>0.13869241964116361</v>
      </c>
      <c r="I84" s="258">
        <f>WACC!$B$7+I83*WACC!$B$8+WACC!$B$10</f>
        <v>0.13576728023334933</v>
      </c>
      <c r="J84" s="258">
        <f>WACC!$B$7+J83*WACC!$B$8+WACC!$B$10</f>
        <v>0.13284214082553503</v>
      </c>
      <c r="K84" s="258">
        <f>WACC!$B$7+K83*WACC!$B$8+WACC!$B$10</f>
        <v>0.12991700141772075</v>
      </c>
      <c r="L84" s="258">
        <f>WACC!$B$7+L83*WACC!$B$8+WACC!$B$10</f>
        <v>0.12699186200990645</v>
      </c>
      <c r="M84" s="258">
        <f>WACC!$B$7+M83*WACC!$B$8+WACC!$B$10</f>
        <v>0.12406672260209214</v>
      </c>
      <c r="N84" s="258">
        <f>WACC!$B$7+N83*WACC!$B$8+WACC!$B$10</f>
        <v>0.12114158319427784</v>
      </c>
      <c r="O84" s="258">
        <f>WACC!$B$7+O83*WACC!$B$8+WACC!$B$10</f>
        <v>0.11821644378646355</v>
      </c>
      <c r="P84" s="258">
        <f>WACC!$B$7+P83*WACC!$B$8+WACC!$B$10</f>
        <v>0.11529130437864926</v>
      </c>
      <c r="Q84" s="258">
        <f>WACC!$B$7+Q83*WACC!$B$8+WACC!$B$10</f>
        <v>0.11236616497083499</v>
      </c>
      <c r="R84" s="258">
        <f>WACC!$B$7+R83*WACC!$B$8+WACC!$B$10</f>
        <v>0.10944102556302068</v>
      </c>
      <c r="S84" s="258">
        <f>WACC!$B$7+S83*WACC!$B$8+WACC!$B$10</f>
        <v>0.10651588615520639</v>
      </c>
      <c r="T84" s="258">
        <f>WACC!$B$7+T83*WACC!$B$8+WACC!$B$10</f>
        <v>0.1035907467473921</v>
      </c>
      <c r="U84" s="258">
        <f>WACC!$B$7+U83*WACC!$B$8+WACC!$B$10</f>
        <v>0.10066560733957781</v>
      </c>
      <c r="V84" s="258">
        <f>WACC!$B$7+V83*WACC!$B$8+WACC!$B$10</f>
        <v>9.7740467931763511E-2</v>
      </c>
      <c r="W84" s="258">
        <f>WACC!$B$7+W83*WACC!$B$8+WACC!$B$10</f>
        <v>9.4815328523949208E-2</v>
      </c>
      <c r="X84" s="258">
        <f>WACC!$B$7+X83*WACC!$B$8+WACC!$B$10</f>
        <v>9.1890189116134932E-2</v>
      </c>
    </row>
    <row r="85" spans="1:24" x14ac:dyDescent="0.3">
      <c r="A85" s="85" t="s">
        <v>652</v>
      </c>
      <c r="B85" s="406">
        <f>E85</f>
        <v>0.12008988818248724</v>
      </c>
      <c r="C85" s="213" t="s">
        <v>656</v>
      </c>
      <c r="D85" s="406">
        <f>X85</f>
        <v>8.1760475252506862E-2</v>
      </c>
      <c r="E85" s="407">
        <f>E84*WACC!$C$35+WACC!$C$30*WACC!$C$36</f>
        <v>0.12008988818248724</v>
      </c>
      <c r="F85" s="407">
        <f>F84*WACC!$C$35+WACC!$C$30*WACC!$C$36</f>
        <v>0.11807255065985668</v>
      </c>
      <c r="G85" s="407">
        <f>G84*WACC!$C$35+WACC!$C$30*WACC!$C$36</f>
        <v>0.11605521313722614</v>
      </c>
      <c r="H85" s="407">
        <f>H84*WACC!$C$35+WACC!$C$30*WACC!$C$36</f>
        <v>0.11403787561459559</v>
      </c>
      <c r="I85" s="407">
        <f>I84*WACC!$C$35+WACC!$C$30*WACC!$C$36</f>
        <v>0.11202053809196506</v>
      </c>
      <c r="J85" s="407">
        <f>J84*WACC!$C$35+WACC!$C$30*WACC!$C$36</f>
        <v>0.11000320056933451</v>
      </c>
      <c r="K85" s="407">
        <f>K84*WACC!$C$35+WACC!$C$30*WACC!$C$36</f>
        <v>0.10798586304670398</v>
      </c>
      <c r="L85" s="407">
        <f>L84*WACC!$C$35+WACC!$C$30*WACC!$C$36</f>
        <v>0.10596852552407342</v>
      </c>
      <c r="M85" s="407">
        <f>M84*WACC!$C$35+WACC!$C$30*WACC!$C$36</f>
        <v>0.10395118800144286</v>
      </c>
      <c r="N85" s="407">
        <f>N84*WACC!$C$35+WACC!$C$30*WACC!$C$36</f>
        <v>0.10193385047881232</v>
      </c>
      <c r="O85" s="407">
        <f>O84*WACC!$C$35+WACC!$C$30*WACC!$C$36</f>
        <v>9.9916512956181772E-2</v>
      </c>
      <c r="P85" s="407">
        <f>P84*WACC!$C$35+WACC!$C$30*WACC!$C$36</f>
        <v>9.7899175433551228E-2</v>
      </c>
      <c r="Q85" s="407">
        <f>Q84*WACC!$C$35+WACC!$C$30*WACC!$C$36</f>
        <v>9.5881837910920684E-2</v>
      </c>
      <c r="R85" s="407">
        <f>R84*WACC!$C$35+WACC!$C$30*WACC!$C$36</f>
        <v>9.3864500388290126E-2</v>
      </c>
      <c r="S85" s="407">
        <f>S84*WACC!$C$35+WACC!$C$30*WACC!$C$36</f>
        <v>9.1847162865659582E-2</v>
      </c>
      <c r="T85" s="407">
        <f>T84*WACC!$C$35+WACC!$C$30*WACC!$C$36</f>
        <v>8.9829825343029038E-2</v>
      </c>
      <c r="U85" s="407">
        <f>U84*WACC!$C$35+WACC!$C$30*WACC!$C$36</f>
        <v>8.7812487820398494E-2</v>
      </c>
      <c r="V85" s="407">
        <f>V84*WACC!$C$35+WACC!$C$30*WACC!$C$36</f>
        <v>8.579515029776795E-2</v>
      </c>
      <c r="W85" s="407">
        <f>W84*WACC!$C$35+WACC!$C$30*WACC!$C$36</f>
        <v>8.3777812775137392E-2</v>
      </c>
      <c r="X85" s="407">
        <f>X84*WACC!$C$35+WACC!$C$30*WACC!$C$36</f>
        <v>8.1760475252506862E-2</v>
      </c>
    </row>
    <row r="86" spans="1:24" x14ac:dyDescent="0.3">
      <c r="A86" s="85"/>
      <c r="B86" s="22"/>
      <c r="C86" s="22"/>
      <c r="D86" s="22"/>
      <c r="E86" s="86"/>
      <c r="F86" s="86"/>
      <c r="G86" s="86"/>
      <c r="H86" s="86"/>
      <c r="I86" s="86"/>
      <c r="J86" s="86"/>
      <c r="K86" s="86"/>
      <c r="L86" s="86"/>
      <c r="M86" s="86"/>
      <c r="N86" s="86"/>
      <c r="O86" s="86"/>
      <c r="P86" s="86"/>
      <c r="Q86" s="86"/>
      <c r="R86" s="86"/>
      <c r="S86" s="86"/>
      <c r="T86" s="86"/>
      <c r="U86" s="86"/>
      <c r="V86" s="86"/>
      <c r="W86" s="86"/>
      <c r="X86" s="86"/>
    </row>
    <row r="87" spans="1:24" x14ac:dyDescent="0.3">
      <c r="A87" t="s">
        <v>79</v>
      </c>
      <c r="B87" s="15"/>
      <c r="C87" s="15"/>
      <c r="D87" s="15"/>
      <c r="E87" s="34">
        <v>0.5</v>
      </c>
      <c r="F87" s="34">
        <v>1.5</v>
      </c>
      <c r="G87" s="34">
        <v>2.5</v>
      </c>
      <c r="H87" s="34">
        <v>3.5</v>
      </c>
      <c r="I87" s="34">
        <v>4.5</v>
      </c>
      <c r="J87" s="34">
        <v>5.5</v>
      </c>
      <c r="K87" s="34">
        <v>6.5</v>
      </c>
      <c r="L87" s="34">
        <v>7.5</v>
      </c>
      <c r="M87" s="34">
        <v>8.5</v>
      </c>
      <c r="N87" s="34">
        <v>9.5</v>
      </c>
      <c r="O87" s="34">
        <v>10.5</v>
      </c>
      <c r="P87" s="34">
        <v>11.5</v>
      </c>
      <c r="Q87" s="34">
        <v>12.5</v>
      </c>
      <c r="R87" s="34">
        <v>13.5</v>
      </c>
      <c r="S87" s="34">
        <v>14.5</v>
      </c>
      <c r="T87" s="34">
        <v>15.5</v>
      </c>
      <c r="U87" s="34">
        <v>16.5</v>
      </c>
      <c r="V87" s="34">
        <v>17.5</v>
      </c>
      <c r="W87" s="34">
        <v>18.5</v>
      </c>
      <c r="X87" s="34">
        <v>19.5</v>
      </c>
    </row>
    <row r="88" spans="1:24" x14ac:dyDescent="0.3">
      <c r="A88" t="s">
        <v>80</v>
      </c>
      <c r="B88" s="15"/>
      <c r="C88" s="15"/>
      <c r="D88" s="15"/>
      <c r="E88" s="408">
        <f>1/(1+E85)^0.5</f>
        <v>0.94487326679245254</v>
      </c>
      <c r="F88" s="408">
        <f>E88/((1+E85)^0.5*(1+F85)^0.5)</f>
        <v>0.84432982540130108</v>
      </c>
      <c r="G88" s="408">
        <f t="shared" ref="G88:X88" si="36">F88/((1+F85)^0.5*(1+G85)^0.5)</f>
        <v>0.75584770333485662</v>
      </c>
      <c r="H88" s="408">
        <f t="shared" si="36"/>
        <v>0.67786229767850859</v>
      </c>
      <c r="I88" s="408">
        <f t="shared" si="36"/>
        <v>0.60902496705172093</v>
      </c>
      <c r="J88" s="408">
        <f t="shared" si="36"/>
        <v>0.54817165762024234</v>
      </c>
      <c r="K88" s="408">
        <f t="shared" si="36"/>
        <v>0.49429629149297999</v>
      </c>
      <c r="L88" s="408">
        <f t="shared" si="36"/>
        <v>0.44652816629352943</v>
      </c>
      <c r="M88" s="408">
        <f t="shared" si="36"/>
        <v>0.40411273731608571</v>
      </c>
      <c r="N88" s="408">
        <f t="shared" si="36"/>
        <v>0.36639525565279851</v>
      </c>
      <c r="O88" s="408">
        <f t="shared" si="36"/>
        <v>0.33280682058869682</v>
      </c>
      <c r="P88" s="408">
        <f t="shared" si="36"/>
        <v>0.30285247534019355</v>
      </c>
      <c r="Q88" s="408">
        <f t="shared" si="36"/>
        <v>0.2761010342834993</v>
      </c>
      <c r="R88" s="408">
        <f t="shared" si="36"/>
        <v>0.25217637917424579</v>
      </c>
      <c r="S88" s="408">
        <f t="shared" si="36"/>
        <v>0.23075000314465868</v>
      </c>
      <c r="T88" s="408">
        <f t="shared" si="36"/>
        <v>0.21153461583889957</v>
      </c>
      <c r="U88" s="408">
        <f t="shared" si="36"/>
        <v>0.19427865203467146</v>
      </c>
      <c r="V88" s="408">
        <f t="shared" si="36"/>
        <v>0.17876155043033137</v>
      </c>
      <c r="W88" s="408">
        <f t="shared" si="36"/>
        <v>0.16478968972274666</v>
      </c>
      <c r="X88" s="408">
        <f t="shared" si="36"/>
        <v>0.15219288630179439</v>
      </c>
    </row>
    <row r="89" spans="1:24" x14ac:dyDescent="0.3">
      <c r="A89" t="s">
        <v>81</v>
      </c>
      <c r="B89" s="15"/>
      <c r="C89" s="15"/>
      <c r="D89" s="15"/>
      <c r="E89" s="78">
        <f t="shared" ref="E89:N89" si="37">E69</f>
        <v>-2706.6276900000003</v>
      </c>
      <c r="F89" s="78">
        <f t="shared" si="37"/>
        <v>-2579.0621167341183</v>
      </c>
      <c r="G89" s="78">
        <f t="shared" si="37"/>
        <v>-2169.3338544193361</v>
      </c>
      <c r="H89" s="78">
        <f t="shared" si="37"/>
        <v>-1600.6206289250208</v>
      </c>
      <c r="I89" s="78">
        <f t="shared" si="37"/>
        <v>-784.28037421097611</v>
      </c>
      <c r="J89" s="78">
        <f t="shared" si="37"/>
        <v>381.70585162215889</v>
      </c>
      <c r="K89" s="78">
        <f t="shared" si="37"/>
        <v>1691.2197142955956</v>
      </c>
      <c r="L89" s="78">
        <f t="shared" si="37"/>
        <v>2798.7477674917623</v>
      </c>
      <c r="M89" s="78">
        <f t="shared" si="37"/>
        <v>3840.0051533260298</v>
      </c>
      <c r="N89" s="78">
        <f t="shared" si="37"/>
        <v>4805.0780128430679</v>
      </c>
      <c r="O89" s="78">
        <f t="shared" ref="O89:X89" si="38">O69</f>
        <v>5564.422469865568</v>
      </c>
      <c r="P89" s="78">
        <f t="shared" si="38"/>
        <v>6373.2963564298416</v>
      </c>
      <c r="Q89" s="78">
        <f t="shared" si="38"/>
        <v>7219.0946088700957</v>
      </c>
      <c r="R89" s="78">
        <f t="shared" si="38"/>
        <v>7880.0439365139027</v>
      </c>
      <c r="S89" s="78">
        <f t="shared" si="38"/>
        <v>8741.0178256189574</v>
      </c>
      <c r="T89" s="78">
        <f t="shared" si="38"/>
        <v>9595.1569147649534</v>
      </c>
      <c r="U89" s="78">
        <f t="shared" si="38"/>
        <v>10117.568672804213</v>
      </c>
      <c r="V89" s="78">
        <f t="shared" si="38"/>
        <v>10906.613148128432</v>
      </c>
      <c r="W89" s="78">
        <f t="shared" si="38"/>
        <v>11423.487714342938</v>
      </c>
      <c r="X89" s="78">
        <f t="shared" si="38"/>
        <v>12144.827143970111</v>
      </c>
    </row>
    <row r="90" spans="1:24" ht="15" thickBot="1" x14ac:dyDescent="0.35">
      <c r="A90" s="164" t="s">
        <v>82</v>
      </c>
      <c r="B90" s="18"/>
      <c r="C90" s="18"/>
      <c r="D90" s="18"/>
      <c r="E90" s="409">
        <f t="shared" ref="E90:N90" si="39">E89*E88</f>
        <v>-2557.4201474412098</v>
      </c>
      <c r="F90" s="409">
        <f t="shared" si="39"/>
        <v>-2177.5790667212282</v>
      </c>
      <c r="G90" s="409">
        <f t="shared" si="39"/>
        <v>-1639.6860116294074</v>
      </c>
      <c r="H90" s="409">
        <f t="shared" si="39"/>
        <v>-1085.0003772347341</v>
      </c>
      <c r="I90" s="409">
        <f t="shared" si="39"/>
        <v>-477.64632906315109</v>
      </c>
      <c r="J90" s="409">
        <f t="shared" si="39"/>
        <v>209.2403294070651</v>
      </c>
      <c r="K90" s="409">
        <f t="shared" si="39"/>
        <v>835.96363287613008</v>
      </c>
      <c r="L90" s="409">
        <f t="shared" si="39"/>
        <v>1249.7197085362059</v>
      </c>
      <c r="M90" s="409">
        <f t="shared" si="39"/>
        <v>1551.7949938184572</v>
      </c>
      <c r="N90" s="409">
        <f t="shared" si="39"/>
        <v>1760.557786947277</v>
      </c>
      <c r="O90" s="410">
        <f t="shared" ref="O90:X90" si="40">O89*O88</f>
        <v>1851.8777506082633</v>
      </c>
      <c r="P90" s="410">
        <f t="shared" si="40"/>
        <v>1930.168577621414</v>
      </c>
      <c r="Q90" s="410">
        <f t="shared" si="40"/>
        <v>1993.1994880994673</v>
      </c>
      <c r="R90" s="410">
        <f t="shared" si="40"/>
        <v>1987.1609476440465</v>
      </c>
      <c r="S90" s="410">
        <f t="shared" si="40"/>
        <v>2016.989890749092</v>
      </c>
      <c r="T90" s="410">
        <f t="shared" si="40"/>
        <v>2029.7078318787653</v>
      </c>
      <c r="U90" s="410">
        <f t="shared" si="40"/>
        <v>1965.6276036206223</v>
      </c>
      <c r="V90" s="410">
        <f t="shared" si="40"/>
        <v>1949.6830763032758</v>
      </c>
      <c r="W90" s="410">
        <f t="shared" si="40"/>
        <v>1882.4729959981812</v>
      </c>
      <c r="X90" s="410">
        <f t="shared" si="40"/>
        <v>1848.3562966771894</v>
      </c>
    </row>
    <row r="91" spans="1:24" ht="15" thickTop="1" x14ac:dyDescent="0.3"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</row>
    <row r="92" spans="1:24" x14ac:dyDescent="0.3">
      <c r="A92" s="92" t="s">
        <v>83</v>
      </c>
      <c r="B92" s="103"/>
      <c r="C92" s="103"/>
      <c r="D92" s="103"/>
      <c r="E92" s="102"/>
      <c r="F92" s="102"/>
      <c r="G92" s="102"/>
      <c r="H92" s="102"/>
      <c r="I92" s="102"/>
      <c r="J92" s="102"/>
      <c r="K92" s="102"/>
      <c r="L92" s="102"/>
      <c r="M92" s="102"/>
      <c r="N92" s="102"/>
      <c r="O92" s="102"/>
      <c r="P92" s="102"/>
      <c r="Q92" s="102"/>
      <c r="R92" s="102"/>
      <c r="S92" s="102"/>
      <c r="T92" s="102"/>
      <c r="U92" s="102"/>
      <c r="V92" s="102"/>
      <c r="W92" s="102"/>
      <c r="X92" s="102"/>
    </row>
    <row r="93" spans="1:24" x14ac:dyDescent="0.3">
      <c r="A93" s="1" t="s">
        <v>84</v>
      </c>
      <c r="B93" s="32"/>
      <c r="C93" s="32"/>
      <c r="D93" s="32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</row>
    <row r="94" spans="1:24" x14ac:dyDescent="0.3">
      <c r="A94" t="s">
        <v>101</v>
      </c>
      <c r="B94" s="78">
        <f>X69</f>
        <v>12144.827143970111</v>
      </c>
      <c r="C94" s="32"/>
      <c r="D94" s="32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</row>
    <row r="95" spans="1:24" x14ac:dyDescent="0.3">
      <c r="A95" t="s">
        <v>86</v>
      </c>
      <c r="B95" s="78">
        <f>X69*(1+$B$49)</f>
        <v>12448.447822569362</v>
      </c>
      <c r="C95" s="32"/>
      <c r="D95" s="32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</row>
    <row r="96" spans="1:24" x14ac:dyDescent="0.3">
      <c r="A96" t="s">
        <v>87</v>
      </c>
      <c r="B96" s="411">
        <f>B95/($X$85-$B$49)</f>
        <v>219315.42622204468</v>
      </c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</row>
    <row r="97" spans="1:24" x14ac:dyDescent="0.3">
      <c r="A97" t="s">
        <v>88</v>
      </c>
      <c r="B97" s="411">
        <f>B96*$X$88/(1+$X$85)^0.5</f>
        <v>32092.088331034094</v>
      </c>
      <c r="C97" s="32"/>
      <c r="D97" s="32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</row>
    <row r="98" spans="1:24" x14ac:dyDescent="0.3">
      <c r="A98" t="s">
        <v>758</v>
      </c>
      <c r="B98" s="412">
        <f>B96/B102</f>
        <v>11.357498439989049</v>
      </c>
      <c r="C98" s="21"/>
      <c r="D98" s="21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</row>
    <row r="99" spans="1:24" x14ac:dyDescent="0.3">
      <c r="B99" s="158"/>
      <c r="C99" s="21"/>
      <c r="D99" s="21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</row>
    <row r="100" spans="1:24" x14ac:dyDescent="0.3">
      <c r="A100" s="1" t="s">
        <v>89</v>
      </c>
      <c r="B100" s="32"/>
      <c r="C100" s="32"/>
      <c r="D100" s="32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</row>
    <row r="101" spans="1:24" x14ac:dyDescent="0.3">
      <c r="A101" t="s">
        <v>575</v>
      </c>
      <c r="B101" s="79">
        <f>IF(N('Space Comps'!K35)&gt;0,'Space Comps'!K35,18)</f>
        <v>15.138888888888889</v>
      </c>
      <c r="C101" s="15"/>
      <c r="D101" s="413" t="str">
        <f>IF(N('Space Comps'!K35)&gt;0,"✓ LIVE – "&amp;TEXT('Space Comps'!K35,"0.0x")&amp;" from Space Comps mature tier","⚠ FALLBACK – using 18x default")</f>
        <v>✓ LIVE – 15.1x from Space Comps mature tier</v>
      </c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</row>
    <row r="102" spans="1:24" x14ac:dyDescent="0.3">
      <c r="A102" t="s">
        <v>90</v>
      </c>
      <c r="B102" s="78">
        <f>X56</f>
        <v>19310.187659797393</v>
      </c>
      <c r="C102" s="32"/>
      <c r="D102" s="32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</row>
    <row r="103" spans="1:24" x14ac:dyDescent="0.3">
      <c r="A103" t="s">
        <v>91</v>
      </c>
      <c r="B103" s="411">
        <f>B101*B102</f>
        <v>292334.7854052661</v>
      </c>
      <c r="C103" s="32"/>
      <c r="D103" s="32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</row>
    <row r="104" spans="1:24" ht="15" thickBot="1" x14ac:dyDescent="0.35">
      <c r="A104" s="164" t="s">
        <v>92</v>
      </c>
      <c r="B104" s="409">
        <f>B103*$X$88/(1+$X$85)^0.5</f>
        <v>42776.898629836069</v>
      </c>
      <c r="C104" s="212"/>
      <c r="D104" s="212"/>
      <c r="E104" s="18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</row>
    <row r="105" spans="1:24" ht="15" thickTop="1" x14ac:dyDescent="0.3">
      <c r="B105" s="32"/>
      <c r="C105" s="32"/>
      <c r="D105" s="32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</row>
    <row r="106" spans="1:24" x14ac:dyDescent="0.3">
      <c r="A106" s="92" t="s">
        <v>102</v>
      </c>
      <c r="B106" s="103"/>
      <c r="C106" s="103"/>
      <c r="D106" s="218"/>
      <c r="E106" s="144"/>
      <c r="F106" s="144"/>
      <c r="G106" s="144"/>
      <c r="H106" s="144"/>
      <c r="I106" s="144"/>
      <c r="J106" s="144"/>
      <c r="K106" s="144"/>
      <c r="L106" s="144"/>
      <c r="M106" s="144"/>
      <c r="N106" s="144"/>
      <c r="O106" s="144"/>
      <c r="P106" s="144"/>
      <c r="Q106" s="144"/>
      <c r="R106" s="144"/>
      <c r="S106" s="144"/>
      <c r="T106" s="144"/>
      <c r="U106" s="144"/>
      <c r="V106" s="144"/>
      <c r="W106" s="144"/>
      <c r="X106" s="144"/>
    </row>
    <row r="107" spans="1:24" s="82" customFormat="1" ht="3" customHeight="1" x14ac:dyDescent="0.3">
      <c r="A107" s="143"/>
      <c r="B107" s="123"/>
      <c r="C107" s="123"/>
      <c r="D107" s="123"/>
      <c r="E107" s="41"/>
      <c r="F107" s="41"/>
      <c r="G107" s="41"/>
      <c r="H107" s="41"/>
      <c r="I107" s="41"/>
      <c r="J107" s="41"/>
      <c r="K107" s="41"/>
      <c r="L107" s="41"/>
      <c r="M107" s="41"/>
      <c r="N107" s="41"/>
      <c r="O107" s="41"/>
      <c r="P107" s="41"/>
      <c r="Q107" s="41"/>
      <c r="R107" s="41"/>
      <c r="S107" s="41"/>
      <c r="T107" s="41"/>
      <c r="U107" s="41"/>
      <c r="V107" s="41"/>
      <c r="W107" s="41"/>
      <c r="X107" s="41"/>
    </row>
    <row r="108" spans="1:24" x14ac:dyDescent="0.3">
      <c r="A108" s="93"/>
      <c r="B108" s="137" t="s">
        <v>94</v>
      </c>
      <c r="C108" s="137" t="s">
        <v>95</v>
      </c>
      <c r="D108" s="137"/>
      <c r="E108" s="94"/>
      <c r="F108" s="94"/>
      <c r="G108" s="94"/>
      <c r="H108" s="94"/>
      <c r="I108" s="94"/>
      <c r="J108" s="94"/>
      <c r="K108" s="94"/>
      <c r="L108" s="94"/>
      <c r="M108" s="94"/>
      <c r="N108" s="94"/>
      <c r="O108" s="94"/>
      <c r="P108" s="94"/>
      <c r="Q108" s="94"/>
      <c r="R108" s="94"/>
      <c r="S108" s="94"/>
      <c r="T108" s="94"/>
      <c r="U108" s="94"/>
      <c r="V108" s="94"/>
      <c r="W108" s="94"/>
      <c r="X108" s="94"/>
    </row>
    <row r="109" spans="1:24" x14ac:dyDescent="0.3">
      <c r="A109" t="s">
        <v>96</v>
      </c>
      <c r="B109" s="78">
        <f>SUM(E90:X90)</f>
        <v>17125.188978695722</v>
      </c>
      <c r="C109" s="78">
        <f>SUM(E90:X90)</f>
        <v>17125.188978695722</v>
      </c>
      <c r="D109" s="32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</row>
    <row r="110" spans="1:24" x14ac:dyDescent="0.3">
      <c r="A110" t="s">
        <v>97</v>
      </c>
      <c r="B110" s="78">
        <f>B97</f>
        <v>32092.088331034094</v>
      </c>
      <c r="C110" s="78">
        <f>B104</f>
        <v>42776.898629836069</v>
      </c>
      <c r="D110" s="32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</row>
    <row r="111" spans="1:24" x14ac:dyDescent="0.3">
      <c r="A111" s="482" t="s">
        <v>724</v>
      </c>
      <c r="B111" s="483">
        <f>B109+B110</f>
        <v>49217.27730972982</v>
      </c>
      <c r="C111" s="483">
        <f>C109+C110</f>
        <v>59902.087608531787</v>
      </c>
      <c r="D111" s="140"/>
      <c r="E111" s="100"/>
      <c r="F111" s="100"/>
      <c r="G111" s="100"/>
      <c r="H111" s="100"/>
      <c r="I111" s="100"/>
      <c r="J111" s="100"/>
      <c r="K111" s="100"/>
      <c r="L111" s="100"/>
      <c r="M111" s="100"/>
      <c r="N111" s="100"/>
      <c r="O111" s="100"/>
      <c r="P111" s="100"/>
      <c r="Q111" s="100"/>
      <c r="R111" s="100"/>
      <c r="S111" s="100"/>
      <c r="T111" s="100"/>
      <c r="U111" s="100"/>
      <c r="V111" s="100"/>
      <c r="W111" s="100"/>
      <c r="X111" s="100"/>
    </row>
    <row r="112" spans="1:24" x14ac:dyDescent="0.3"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</row>
    <row r="113" spans="1:24" ht="15" thickBot="1" x14ac:dyDescent="0.35">
      <c r="A113" s="164" t="s">
        <v>98</v>
      </c>
      <c r="B113" s="230">
        <f>B110/B111</f>
        <v>0.65204924134821596</v>
      </c>
      <c r="C113" s="230">
        <f>C110/C111</f>
        <v>0.7141136534237148</v>
      </c>
      <c r="D113" s="18" t="s">
        <v>915</v>
      </c>
      <c r="E113" s="18"/>
      <c r="F113" s="18"/>
      <c r="G113" s="18"/>
      <c r="H113" s="18"/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</row>
    <row r="114" spans="1:24" ht="15" thickTop="1" x14ac:dyDescent="0.3"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</row>
    <row r="115" spans="1:24" x14ac:dyDescent="0.3">
      <c r="A115" s="92" t="s">
        <v>870</v>
      </c>
      <c r="B115" s="92"/>
      <c r="C115" s="92"/>
      <c r="D115" s="92"/>
      <c r="E115" s="92"/>
      <c r="F115" s="92"/>
      <c r="G115" s="92"/>
      <c r="H115" s="92"/>
      <c r="I115" s="92"/>
      <c r="J115" s="92"/>
      <c r="K115" s="92"/>
      <c r="L115" s="92"/>
      <c r="M115" s="92"/>
      <c r="N115" s="92"/>
      <c r="O115" s="92"/>
      <c r="P115" s="92"/>
      <c r="Q115" s="92"/>
      <c r="R115" s="92"/>
      <c r="S115" s="92"/>
      <c r="T115" s="92"/>
      <c r="U115" s="92"/>
      <c r="V115" s="92"/>
      <c r="W115" s="92"/>
      <c r="X115" s="92"/>
    </row>
    <row r="116" spans="1:24" ht="3" customHeight="1" x14ac:dyDescent="0.3"/>
    <row r="117" spans="1:24" x14ac:dyDescent="0.3">
      <c r="A117" s="93" t="s">
        <v>871</v>
      </c>
      <c r="B117" s="93"/>
      <c r="C117" s="93"/>
      <c r="D117" s="93"/>
      <c r="E117" s="93"/>
      <c r="F117" s="93"/>
      <c r="G117" s="93"/>
      <c r="H117" s="93"/>
      <c r="I117" s="93"/>
      <c r="J117" s="146"/>
      <c r="K117" s="146"/>
      <c r="L117" s="146"/>
      <c r="M117" s="146"/>
      <c r="N117" s="146"/>
      <c r="O117" s="146"/>
      <c r="P117" s="146"/>
      <c r="Q117" s="146"/>
      <c r="R117" s="146"/>
      <c r="S117" s="146"/>
      <c r="T117" s="146"/>
      <c r="U117" s="146"/>
      <c r="V117" s="146"/>
      <c r="W117" s="146"/>
      <c r="X117" s="146"/>
    </row>
    <row r="118" spans="1:24" x14ac:dyDescent="0.3">
      <c r="B118" s="526" t="s">
        <v>916</v>
      </c>
      <c r="C118" s="527">
        <f>$B$49-0.0075</f>
        <v>1.7500000000000002E-2</v>
      </c>
      <c r="D118" s="527">
        <f>$B$49-0.005</f>
        <v>0.02</v>
      </c>
      <c r="E118" s="527">
        <f>$B$49-0.0025</f>
        <v>2.2500000000000003E-2</v>
      </c>
      <c r="F118" s="527">
        <f>$B$49</f>
        <v>2.5000000000000001E-2</v>
      </c>
      <c r="G118" s="527">
        <f>$B$49+0.0025</f>
        <v>2.75E-2</v>
      </c>
      <c r="H118" s="527">
        <f>$B$49+0.005</f>
        <v>3.0000000000000002E-2</v>
      </c>
      <c r="I118" s="527">
        <f>$B$49+0.0075</f>
        <v>3.2500000000000001E-2</v>
      </c>
    </row>
    <row r="119" spans="1:24" x14ac:dyDescent="0.3">
      <c r="B119" s="527">
        <f>$B$51-0.0075</f>
        <v>9.3425181717497058E-2</v>
      </c>
      <c r="C119" s="78">
        <f t="shared" ref="C119:I125" si="41">SUMPRODUCT($E$69:$X$69,1/(1+$B119)^$E$87:$X$87)+($X$69*(1+C$118)/($B119-C$118))/(1+$B119)^20</f>
        <v>48366.98162348711</v>
      </c>
      <c r="D119" s="78">
        <f t="shared" si="41"/>
        <v>49364.930095516247</v>
      </c>
      <c r="E119" s="78">
        <f t="shared" si="41"/>
        <v>50433.230764597494</v>
      </c>
      <c r="F119" s="78">
        <f t="shared" si="41"/>
        <v>51579.594848511289</v>
      </c>
      <c r="G119" s="78">
        <f t="shared" si="41"/>
        <v>52812.903257343787</v>
      </c>
      <c r="H119" s="78">
        <f t="shared" si="41"/>
        <v>54143.437119492723</v>
      </c>
      <c r="I119" s="78">
        <f t="shared" si="41"/>
        <v>55583.165064009656</v>
      </c>
    </row>
    <row r="120" spans="1:24" x14ac:dyDescent="0.3">
      <c r="B120" s="527">
        <f>$B$51-0.005</f>
        <v>9.5925181717497046E-2</v>
      </c>
      <c r="C120" s="78">
        <f t="shared" si="41"/>
        <v>45464.960443004587</v>
      </c>
      <c r="D120" s="78">
        <f t="shared" si="41"/>
        <v>46359.609600462572</v>
      </c>
      <c r="E120" s="78">
        <f t="shared" si="41"/>
        <v>47315.181260019366</v>
      </c>
      <c r="F120" s="78">
        <f t="shared" si="41"/>
        <v>48338.11768596922</v>
      </c>
      <c r="G120" s="78">
        <f t="shared" si="41"/>
        <v>49435.802647492805</v>
      </c>
      <c r="H120" s="78">
        <f t="shared" si="41"/>
        <v>50616.739936346115</v>
      </c>
      <c r="I120" s="78">
        <f t="shared" si="41"/>
        <v>51890.774103826727</v>
      </c>
    </row>
    <row r="121" spans="1:24" x14ac:dyDescent="0.3">
      <c r="B121" s="527">
        <f>$B$51-0.0025</f>
        <v>9.8425181717497048E-2</v>
      </c>
      <c r="C121" s="78">
        <f t="shared" si="41"/>
        <v>42773.553136498944</v>
      </c>
      <c r="D121" s="78">
        <f t="shared" si="41"/>
        <v>43577.362381471874</v>
      </c>
      <c r="E121" s="78">
        <f t="shared" si="41"/>
        <v>44434.105924841606</v>
      </c>
      <c r="F121" s="78">
        <f t="shared" si="41"/>
        <v>45349.190729569469</v>
      </c>
      <c r="G121" s="78">
        <f t="shared" si="41"/>
        <v>46328.786106041283</v>
      </c>
      <c r="H121" s="78">
        <f t="shared" si="41"/>
        <v>47379.962978673095</v>
      </c>
      <c r="I121" s="78">
        <f t="shared" si="41"/>
        <v>48510.864839939488</v>
      </c>
    </row>
    <row r="122" spans="1:24" x14ac:dyDescent="0.3">
      <c r="B122" s="527">
        <f>$B$51</f>
        <v>0.10092518171749705</v>
      </c>
      <c r="C122" s="78">
        <f t="shared" si="41"/>
        <v>40272.849569267775</v>
      </c>
      <c r="D122" s="78">
        <f t="shared" si="41"/>
        <v>40996.538944191605</v>
      </c>
      <c r="E122" s="78">
        <f t="shared" si="41"/>
        <v>41766.367158648543</v>
      </c>
      <c r="F122" s="470">
        <f t="shared" si="41"/>
        <v>42586.891874387584</v>
      </c>
      <c r="G122" s="78">
        <f t="shared" si="41"/>
        <v>43463.291475046615</v>
      </c>
      <c r="H122" s="78">
        <f t="shared" si="41"/>
        <v>44401.474463455714</v>
      </c>
      <c r="I122" s="78">
        <f t="shared" si="41"/>
        <v>45408.21284074799</v>
      </c>
    </row>
    <row r="123" spans="1:24" x14ac:dyDescent="0.3">
      <c r="B123" s="527">
        <f>$B$51+0.0025</f>
        <v>0.10342518171749705</v>
      </c>
      <c r="C123" s="78">
        <f t="shared" si="41"/>
        <v>37945.293882619517</v>
      </c>
      <c r="D123" s="78">
        <f t="shared" si="41"/>
        <v>38598.121919963734</v>
      </c>
      <c r="E123" s="78">
        <f t="shared" si="41"/>
        <v>39291.285241300466</v>
      </c>
      <c r="F123" s="78">
        <f t="shared" si="41"/>
        <v>40028.641212635353</v>
      </c>
      <c r="G123" s="78">
        <f t="shared" si="41"/>
        <v>40814.555248281409</v>
      </c>
      <c r="H123" s="78">
        <f t="shared" si="41"/>
        <v>41653.987301674417</v>
      </c>
      <c r="I123" s="78">
        <f t="shared" si="41"/>
        <v>42552.596648171617</v>
      </c>
    </row>
    <row r="124" spans="1:24" x14ac:dyDescent="0.3">
      <c r="B124" s="527">
        <f>$B$51+0.005</f>
        <v>0.10592518171749706</v>
      </c>
      <c r="C124" s="78">
        <f t="shared" si="41"/>
        <v>35775.350051786721</v>
      </c>
      <c r="D124" s="78">
        <f t="shared" si="41"/>
        <v>36365.341523103139</v>
      </c>
      <c r="E124" s="78">
        <f t="shared" si="41"/>
        <v>36990.693509024997</v>
      </c>
      <c r="F124" s="78">
        <f t="shared" si="41"/>
        <v>37654.683158319967</v>
      </c>
      <c r="G124" s="78">
        <f t="shared" si="41"/>
        <v>38361.005489207368</v>
      </c>
      <c r="H124" s="78">
        <f t="shared" si="41"/>
        <v>39113.842185612877</v>
      </c>
      <c r="I124" s="78">
        <f t="shared" si="41"/>
        <v>39917.944447781789</v>
      </c>
    </row>
    <row r="125" spans="1:24" x14ac:dyDescent="0.3">
      <c r="B125" s="527">
        <f>$B$51+0.0075</f>
        <v>0.10842518171749704</v>
      </c>
      <c r="C125" s="78">
        <f t="shared" si="41"/>
        <v>33749.22269742022</v>
      </c>
      <c r="D125" s="78">
        <f t="shared" si="41"/>
        <v>34283.356320479492</v>
      </c>
      <c r="E125" s="78">
        <f t="shared" si="41"/>
        <v>34848.571264077342</v>
      </c>
      <c r="F125" s="78">
        <f t="shared" si="41"/>
        <v>35447.661767306068</v>
      </c>
      <c r="G125" s="78">
        <f t="shared" si="41"/>
        <v>36083.767355982513</v>
      </c>
      <c r="H125" s="78">
        <f t="shared" si="41"/>
        <v>36760.427877063688</v>
      </c>
      <c r="I125" s="78">
        <f t="shared" si="41"/>
        <v>37481.649405822056</v>
      </c>
    </row>
    <row r="126" spans="1:24" ht="3" customHeight="1" x14ac:dyDescent="0.3">
      <c r="B126" s="15"/>
      <c r="C126" s="15"/>
      <c r="D126" s="15"/>
      <c r="E126" s="15"/>
      <c r="F126" s="15"/>
      <c r="G126" s="15"/>
    </row>
    <row r="127" spans="1:24" x14ac:dyDescent="0.3">
      <c r="A127" s="93" t="s">
        <v>872</v>
      </c>
      <c r="B127" s="93"/>
      <c r="C127" s="93"/>
      <c r="D127" s="93"/>
      <c r="E127" s="93"/>
      <c r="F127" s="93"/>
      <c r="G127" s="93"/>
      <c r="H127" s="93"/>
      <c r="I127" s="93"/>
      <c r="J127" s="146"/>
      <c r="K127" s="146"/>
      <c r="L127" s="146"/>
      <c r="M127" s="146"/>
      <c r="N127" s="146"/>
      <c r="O127" s="146"/>
      <c r="P127" s="146"/>
      <c r="Q127" s="146"/>
      <c r="R127" s="146"/>
      <c r="S127" s="146"/>
      <c r="T127" s="146"/>
      <c r="U127" s="146"/>
      <c r="V127" s="146"/>
      <c r="W127" s="146"/>
      <c r="X127" s="146"/>
    </row>
    <row r="128" spans="1:24" x14ac:dyDescent="0.3">
      <c r="B128" s="526" t="s">
        <v>919</v>
      </c>
      <c r="C128" s="529">
        <f>$B$101-6</f>
        <v>9.1388888888888893</v>
      </c>
      <c r="D128" s="529">
        <f>$B$101-4</f>
        <v>11.138888888888889</v>
      </c>
      <c r="E128" s="529">
        <f>$B$101-2</f>
        <v>13.138888888888889</v>
      </c>
      <c r="F128" s="529">
        <f>$B$101</f>
        <v>15.138888888888889</v>
      </c>
      <c r="G128" s="529">
        <f>$B$101+2</f>
        <v>17.138888888888889</v>
      </c>
      <c r="H128" s="530">
        <f>$B$101+4</f>
        <v>19.138888888888889</v>
      </c>
      <c r="I128" s="530">
        <f>$B$101+6</f>
        <v>21.138888888888889</v>
      </c>
    </row>
    <row r="129" spans="1:24" x14ac:dyDescent="0.3">
      <c r="B129" s="527">
        <f>$B$51-0.0075</f>
        <v>9.3425181717497058E-2</v>
      </c>
      <c r="C129" s="78">
        <f t="shared" ref="C129:I135" si="42">SUMPRODUCT($E$69:$X$69,1/(1+$B129)^$E$87:$X$87)+($X$56*C$128)/(1+$B129)^20</f>
        <v>50665.585222750611</v>
      </c>
      <c r="D129" s="78">
        <f t="shared" si="42"/>
        <v>57137.533823032121</v>
      </c>
      <c r="E129" s="78">
        <f t="shared" si="42"/>
        <v>63609.482423313631</v>
      </c>
      <c r="F129" s="78">
        <f t="shared" si="42"/>
        <v>70081.431023595142</v>
      </c>
      <c r="G129" s="78">
        <f t="shared" si="42"/>
        <v>76553.379623876652</v>
      </c>
      <c r="H129" s="78">
        <f t="shared" si="42"/>
        <v>83025.328224158162</v>
      </c>
      <c r="I129" s="78">
        <f t="shared" si="42"/>
        <v>89497.276824439672</v>
      </c>
    </row>
    <row r="130" spans="1:24" x14ac:dyDescent="0.3">
      <c r="B130" s="527">
        <f>$B$51-0.005</f>
        <v>9.5925181717497046E-2</v>
      </c>
      <c r="C130" s="78">
        <f t="shared" si="42"/>
        <v>48491.562871587288</v>
      </c>
      <c r="D130" s="78">
        <f t="shared" si="42"/>
        <v>54674.550368704746</v>
      </c>
      <c r="E130" s="78">
        <f t="shared" si="42"/>
        <v>60857.537865822196</v>
      </c>
      <c r="F130" s="78">
        <f t="shared" si="42"/>
        <v>67040.525362939661</v>
      </c>
      <c r="G130" s="78">
        <f t="shared" si="42"/>
        <v>73223.512860057104</v>
      </c>
      <c r="H130" s="78">
        <f t="shared" si="42"/>
        <v>79406.500357174547</v>
      </c>
      <c r="I130" s="78">
        <f t="shared" si="42"/>
        <v>85589.487854292005</v>
      </c>
    </row>
    <row r="131" spans="1:24" x14ac:dyDescent="0.3">
      <c r="B131" s="527">
        <f>$B$51-0.0025</f>
        <v>9.8425181717497048E-2</v>
      </c>
      <c r="C131" s="78">
        <f t="shared" si="42"/>
        <v>46409.913591566168</v>
      </c>
      <c r="D131" s="78">
        <f t="shared" si="42"/>
        <v>52317.456389348583</v>
      </c>
      <c r="E131" s="78">
        <f t="shared" si="42"/>
        <v>58224.99918713099</v>
      </c>
      <c r="F131" s="513">
        <f t="shared" si="42"/>
        <v>64132.541984913405</v>
      </c>
      <c r="G131" s="78">
        <f t="shared" si="42"/>
        <v>70040.08478269582</v>
      </c>
      <c r="H131" s="78">
        <f t="shared" si="42"/>
        <v>75947.62758047822</v>
      </c>
      <c r="I131" s="78">
        <f t="shared" si="42"/>
        <v>81855.170378260635</v>
      </c>
    </row>
    <row r="132" spans="1:24" x14ac:dyDescent="0.3">
      <c r="B132" s="527">
        <f>$B$51</f>
        <v>0.10092518171749705</v>
      </c>
      <c r="C132" s="78">
        <f t="shared" si="42"/>
        <v>44416.424605106578</v>
      </c>
      <c r="D132" s="78">
        <f t="shared" si="42"/>
        <v>50061.378236465956</v>
      </c>
      <c r="E132" s="515">
        <f t="shared" si="42"/>
        <v>55706.331867825327</v>
      </c>
      <c r="F132" s="516">
        <f t="shared" si="42"/>
        <v>61351.285499184713</v>
      </c>
      <c r="G132" s="517">
        <f t="shared" si="42"/>
        <v>66996.239130544083</v>
      </c>
      <c r="H132" s="78">
        <f t="shared" si="42"/>
        <v>72641.192761903454</v>
      </c>
      <c r="I132" s="78">
        <f t="shared" si="42"/>
        <v>78286.146393262839</v>
      </c>
    </row>
    <row r="133" spans="1:24" x14ac:dyDescent="0.3">
      <c r="B133" s="527">
        <f>$B$51+0.0025</f>
        <v>0.10342518171749705</v>
      </c>
      <c r="C133" s="78">
        <f t="shared" si="42"/>
        <v>42507.087603177264</v>
      </c>
      <c r="D133" s="78">
        <f t="shared" si="42"/>
        <v>47901.680436306648</v>
      </c>
      <c r="E133" s="78">
        <f t="shared" si="42"/>
        <v>53296.273269436017</v>
      </c>
      <c r="F133" s="514">
        <f t="shared" si="42"/>
        <v>58690.866102565393</v>
      </c>
      <c r="G133" s="78">
        <f t="shared" si="42"/>
        <v>64085.458935694776</v>
      </c>
      <c r="H133" s="78">
        <f t="shared" si="42"/>
        <v>69480.051768824138</v>
      </c>
      <c r="I133" s="78">
        <f t="shared" si="42"/>
        <v>74874.644601953521</v>
      </c>
    </row>
    <row r="134" spans="1:24" x14ac:dyDescent="0.3">
      <c r="B134" s="527">
        <f>$B$51+0.005</f>
        <v>0.10592518171749706</v>
      </c>
      <c r="C134" s="78">
        <f t="shared" si="42"/>
        <v>40678.088275703187</v>
      </c>
      <c r="D134" s="78">
        <f t="shared" si="42"/>
        <v>45833.953430406938</v>
      </c>
      <c r="E134" s="78">
        <f t="shared" si="42"/>
        <v>50989.81858511069</v>
      </c>
      <c r="F134" s="78">
        <f t="shared" si="42"/>
        <v>56145.683739814434</v>
      </c>
      <c r="G134" s="78">
        <f t="shared" si="42"/>
        <v>61301.548894518193</v>
      </c>
      <c r="H134" s="78">
        <f t="shared" si="42"/>
        <v>66457.41404922193</v>
      </c>
      <c r="I134" s="78">
        <f t="shared" si="42"/>
        <v>71613.279203925689</v>
      </c>
    </row>
    <row r="135" spans="1:24" ht="15" thickBot="1" x14ac:dyDescent="0.35">
      <c r="A135" s="164"/>
      <c r="B135" s="531">
        <f>$B$51+0.0075</f>
        <v>0.10842518171749704</v>
      </c>
      <c r="C135" s="490">
        <f t="shared" si="42"/>
        <v>38925.796404069668</v>
      </c>
      <c r="D135" s="490">
        <f t="shared" si="42"/>
        <v>43854.001977012493</v>
      </c>
      <c r="E135" s="490">
        <f t="shared" si="42"/>
        <v>48782.207549955303</v>
      </c>
      <c r="F135" s="490">
        <f t="shared" si="42"/>
        <v>53710.413122898113</v>
      </c>
      <c r="G135" s="490">
        <f t="shared" si="42"/>
        <v>58638.618695840931</v>
      </c>
      <c r="H135" s="490">
        <f t="shared" si="42"/>
        <v>63566.824268783741</v>
      </c>
      <c r="I135" s="490">
        <f t="shared" si="42"/>
        <v>68495.029841726559</v>
      </c>
      <c r="J135" s="164"/>
      <c r="K135" s="164"/>
      <c r="L135" s="164"/>
      <c r="M135" s="164"/>
      <c r="N135" s="164"/>
      <c r="O135" s="164"/>
      <c r="P135" s="164"/>
      <c r="Q135" s="164"/>
      <c r="R135" s="164"/>
      <c r="S135" s="164"/>
      <c r="T135" s="164"/>
      <c r="U135" s="164"/>
      <c r="V135" s="164"/>
      <c r="W135" s="164"/>
      <c r="X135" s="164"/>
    </row>
    <row r="136" spans="1:24" ht="15" thickTop="1" x14ac:dyDescent="0.3"/>
    <row r="137" spans="1:24" x14ac:dyDescent="0.3">
      <c r="A137" s="92" t="s">
        <v>873</v>
      </c>
      <c r="B137" s="92"/>
      <c r="C137" s="92"/>
      <c r="D137" s="92"/>
      <c r="E137" s="92"/>
      <c r="F137" s="92"/>
      <c r="G137" s="92"/>
      <c r="H137" s="92"/>
      <c r="I137" s="92"/>
      <c r="J137" s="92"/>
      <c r="K137" s="92"/>
      <c r="L137" s="92"/>
      <c r="M137" s="92"/>
      <c r="N137" s="92"/>
      <c r="O137" s="92"/>
      <c r="P137" s="92"/>
      <c r="Q137" s="92"/>
      <c r="R137" s="92"/>
      <c r="S137" s="92"/>
      <c r="T137" s="92"/>
      <c r="U137" s="92"/>
      <c r="V137" s="92"/>
      <c r="W137" s="92"/>
      <c r="X137" s="92"/>
    </row>
    <row r="138" spans="1:24" s="82" customFormat="1" ht="3" customHeight="1" x14ac:dyDescent="0.3">
      <c r="A138" s="143"/>
      <c r="B138" s="143"/>
      <c r="C138" s="143"/>
      <c r="D138" s="143"/>
      <c r="E138" s="143"/>
      <c r="F138" s="143"/>
      <c r="G138" s="143"/>
      <c r="H138" s="143"/>
      <c r="I138" s="143"/>
      <c r="J138" s="143"/>
      <c r="K138" s="143"/>
      <c r="L138" s="143"/>
      <c r="M138" s="143"/>
      <c r="N138" s="143"/>
      <c r="O138" s="143"/>
      <c r="P138" s="143"/>
      <c r="Q138" s="143"/>
      <c r="R138" s="143"/>
      <c r="S138" s="143"/>
      <c r="T138" s="143"/>
      <c r="U138" s="143"/>
      <c r="V138" s="143"/>
      <c r="W138" s="143"/>
      <c r="X138" s="143"/>
    </row>
    <row r="139" spans="1:24" x14ac:dyDescent="0.3">
      <c r="A139" s="93" t="s">
        <v>725</v>
      </c>
      <c r="B139" s="93"/>
      <c r="C139" s="93"/>
      <c r="D139" s="94"/>
      <c r="E139" s="94"/>
      <c r="F139" s="94"/>
      <c r="G139" s="94"/>
      <c r="H139" s="94"/>
      <c r="I139" s="94"/>
      <c r="J139" s="94"/>
      <c r="K139" s="94"/>
      <c r="L139" s="94"/>
      <c r="M139" s="94"/>
      <c r="N139" s="94"/>
      <c r="O139" s="94"/>
      <c r="P139" s="94"/>
      <c r="Q139" s="94"/>
      <c r="R139" s="94"/>
      <c r="S139" s="94"/>
      <c r="T139" s="94"/>
      <c r="U139" s="94"/>
      <c r="V139" s="94"/>
      <c r="W139" s="94"/>
      <c r="X139" s="94"/>
    </row>
    <row r="140" spans="1:24" x14ac:dyDescent="0.3">
      <c r="A140" t="s">
        <v>212</v>
      </c>
      <c r="D140" s="19">
        <v>0.1</v>
      </c>
      <c r="E140" s="19">
        <v>0.16</v>
      </c>
      <c r="F140" s="19">
        <v>0.21</v>
      </c>
      <c r="G140" s="19">
        <v>0.27</v>
      </c>
      <c r="H140" s="19">
        <v>0.32</v>
      </c>
      <c r="I140" s="19">
        <v>0.38</v>
      </c>
      <c r="J140" s="19">
        <v>0.43</v>
      </c>
      <c r="K140" s="19">
        <v>0.49</v>
      </c>
      <c r="L140" s="19">
        <v>0.54</v>
      </c>
      <c r="M140" s="19">
        <v>0.6</v>
      </c>
      <c r="N140" s="19">
        <v>0.65</v>
      </c>
      <c r="O140" s="19">
        <v>0.7</v>
      </c>
      <c r="P140" s="19">
        <v>0.76</v>
      </c>
      <c r="Q140" s="19">
        <v>0.82</v>
      </c>
      <c r="R140" s="19">
        <v>0.87</v>
      </c>
      <c r="S140" s="19">
        <v>0.92</v>
      </c>
      <c r="T140" s="19">
        <v>0.98</v>
      </c>
      <c r="U140" s="19">
        <v>1.03</v>
      </c>
      <c r="V140" s="19">
        <v>1.0900000000000001</v>
      </c>
      <c r="W140" s="19">
        <v>1.1499999999999999</v>
      </c>
      <c r="X140" s="19">
        <v>1.2</v>
      </c>
    </row>
    <row r="141" spans="1:24" x14ac:dyDescent="0.3">
      <c r="A141" t="s">
        <v>213</v>
      </c>
      <c r="D141" s="64">
        <f t="shared" ref="D141:X141" si="43">D140*365</f>
        <v>36.5</v>
      </c>
      <c r="E141" s="64">
        <f t="shared" si="43"/>
        <v>58.4</v>
      </c>
      <c r="F141" s="64">
        <f t="shared" si="43"/>
        <v>76.649999999999991</v>
      </c>
      <c r="G141" s="64">
        <f t="shared" si="43"/>
        <v>98.550000000000011</v>
      </c>
      <c r="H141" s="64">
        <f t="shared" si="43"/>
        <v>116.8</v>
      </c>
      <c r="I141" s="64">
        <f t="shared" si="43"/>
        <v>138.69999999999999</v>
      </c>
      <c r="J141" s="64">
        <f t="shared" si="43"/>
        <v>156.94999999999999</v>
      </c>
      <c r="K141" s="64">
        <f t="shared" si="43"/>
        <v>178.85</v>
      </c>
      <c r="L141" s="64">
        <f t="shared" si="43"/>
        <v>197.10000000000002</v>
      </c>
      <c r="M141" s="64">
        <f t="shared" si="43"/>
        <v>219</v>
      </c>
      <c r="N141" s="64">
        <f t="shared" si="43"/>
        <v>237.25</v>
      </c>
      <c r="O141" s="64">
        <f t="shared" si="43"/>
        <v>255.49999999999997</v>
      </c>
      <c r="P141" s="64">
        <f t="shared" si="43"/>
        <v>277.39999999999998</v>
      </c>
      <c r="Q141" s="64">
        <f t="shared" si="43"/>
        <v>299.29999999999995</v>
      </c>
      <c r="R141" s="64">
        <f t="shared" si="43"/>
        <v>317.55</v>
      </c>
      <c r="S141" s="64">
        <f t="shared" si="43"/>
        <v>335.8</v>
      </c>
      <c r="T141" s="64">
        <f t="shared" si="43"/>
        <v>357.7</v>
      </c>
      <c r="U141" s="64">
        <f t="shared" si="43"/>
        <v>375.95</v>
      </c>
      <c r="V141" s="64">
        <f t="shared" si="43"/>
        <v>397.85</v>
      </c>
      <c r="W141" s="64">
        <f t="shared" si="43"/>
        <v>419.74999999999994</v>
      </c>
      <c r="X141" s="64">
        <f t="shared" si="43"/>
        <v>438</v>
      </c>
    </row>
    <row r="142" spans="1:24" x14ac:dyDescent="0.3">
      <c r="A142" t="s">
        <v>214</v>
      </c>
      <c r="D142" s="43">
        <v>60</v>
      </c>
      <c r="E142" s="43">
        <v>61</v>
      </c>
      <c r="F142" s="43">
        <v>62</v>
      </c>
      <c r="G142" s="43">
        <v>62</v>
      </c>
      <c r="H142" s="43">
        <v>63</v>
      </c>
      <c r="I142" s="43">
        <v>64</v>
      </c>
      <c r="J142" s="43">
        <v>65</v>
      </c>
      <c r="K142" s="43">
        <v>65</v>
      </c>
      <c r="L142" s="43">
        <v>66</v>
      </c>
      <c r="M142" s="43">
        <v>67</v>
      </c>
      <c r="N142" s="43">
        <v>68</v>
      </c>
      <c r="O142" s="43">
        <v>68</v>
      </c>
      <c r="P142" s="43">
        <v>69</v>
      </c>
      <c r="Q142" s="43">
        <v>70</v>
      </c>
      <c r="R142" s="43">
        <v>71</v>
      </c>
      <c r="S142" s="43">
        <v>71</v>
      </c>
      <c r="T142" s="43">
        <v>72</v>
      </c>
      <c r="U142" s="43">
        <v>73</v>
      </c>
      <c r="V142" s="43">
        <v>74</v>
      </c>
      <c r="W142" s="43">
        <v>74</v>
      </c>
      <c r="X142" s="43">
        <v>75</v>
      </c>
    </row>
    <row r="143" spans="1:24" x14ac:dyDescent="0.3">
      <c r="A143" t="s">
        <v>215</v>
      </c>
      <c r="D143" s="67">
        <f t="shared" ref="D143:X143" si="44">D141*D142</f>
        <v>2190</v>
      </c>
      <c r="E143" s="67">
        <f t="shared" si="44"/>
        <v>3562.4</v>
      </c>
      <c r="F143" s="67">
        <f t="shared" si="44"/>
        <v>4752.2999999999993</v>
      </c>
      <c r="G143" s="67">
        <f t="shared" si="44"/>
        <v>6110.1</v>
      </c>
      <c r="H143" s="67">
        <f t="shared" si="44"/>
        <v>7358.4</v>
      </c>
      <c r="I143" s="67">
        <f t="shared" si="44"/>
        <v>8876.7999999999993</v>
      </c>
      <c r="J143" s="67">
        <f t="shared" si="44"/>
        <v>10201.75</v>
      </c>
      <c r="K143" s="67">
        <f t="shared" si="44"/>
        <v>11625.25</v>
      </c>
      <c r="L143" s="67">
        <f t="shared" si="44"/>
        <v>13008.600000000002</v>
      </c>
      <c r="M143" s="67">
        <f t="shared" si="44"/>
        <v>14673</v>
      </c>
      <c r="N143" s="67">
        <f t="shared" si="44"/>
        <v>16133</v>
      </c>
      <c r="O143" s="67">
        <f t="shared" si="44"/>
        <v>17373.999999999996</v>
      </c>
      <c r="P143" s="67">
        <f t="shared" si="44"/>
        <v>19140.599999999999</v>
      </c>
      <c r="Q143" s="67">
        <f t="shared" si="44"/>
        <v>20950.999999999996</v>
      </c>
      <c r="R143" s="67">
        <f t="shared" si="44"/>
        <v>22546.05</v>
      </c>
      <c r="S143" s="67">
        <f t="shared" si="44"/>
        <v>23841.8</v>
      </c>
      <c r="T143" s="67">
        <f t="shared" si="44"/>
        <v>25754.399999999998</v>
      </c>
      <c r="U143" s="67">
        <f t="shared" si="44"/>
        <v>27444.35</v>
      </c>
      <c r="V143" s="67">
        <f t="shared" si="44"/>
        <v>29440.9</v>
      </c>
      <c r="W143" s="67">
        <f t="shared" si="44"/>
        <v>31061.499999999996</v>
      </c>
      <c r="X143" s="67">
        <f t="shared" si="44"/>
        <v>32850</v>
      </c>
    </row>
    <row r="144" spans="1:24" x14ac:dyDescent="0.3">
      <c r="A144" t="s">
        <v>216</v>
      </c>
      <c r="D144" s="39">
        <v>1510</v>
      </c>
      <c r="E144" s="67">
        <f t="shared" ref="E144:X144" si="45">D144*(1+E145)</f>
        <v>1661.0000000000002</v>
      </c>
      <c r="F144" s="67">
        <f t="shared" si="45"/>
        <v>1793.8800000000003</v>
      </c>
      <c r="G144" s="67">
        <f t="shared" si="45"/>
        <v>1919.4516000000006</v>
      </c>
      <c r="H144" s="67">
        <f t="shared" si="45"/>
        <v>2034.6186960000007</v>
      </c>
      <c r="I144" s="67">
        <f t="shared" si="45"/>
        <v>2136.3496308000008</v>
      </c>
      <c r="J144" s="67">
        <f t="shared" si="45"/>
        <v>2243.167112340001</v>
      </c>
      <c r="K144" s="67">
        <f t="shared" si="45"/>
        <v>2332.8937968336013</v>
      </c>
      <c r="L144" s="67">
        <f t="shared" si="45"/>
        <v>2426.2095487069455</v>
      </c>
      <c r="M144" s="67">
        <f t="shared" si="45"/>
        <v>2523.2579306552234</v>
      </c>
      <c r="N144" s="67">
        <f t="shared" si="45"/>
        <v>2598.9556685748803</v>
      </c>
      <c r="O144" s="67">
        <f t="shared" si="45"/>
        <v>2676.9243386321268</v>
      </c>
      <c r="P144" s="67">
        <f t="shared" si="45"/>
        <v>2757.2320687910906</v>
      </c>
      <c r="Q144" s="67">
        <f t="shared" si="45"/>
        <v>2839.9490308548234</v>
      </c>
      <c r="R144" s="67">
        <f t="shared" si="45"/>
        <v>2925.1475017804682</v>
      </c>
      <c r="S144" s="67">
        <f t="shared" si="45"/>
        <v>3012.9019268338825</v>
      </c>
      <c r="T144" s="67">
        <f t="shared" si="45"/>
        <v>3103.2889846388989</v>
      </c>
      <c r="U144" s="67">
        <f t="shared" si="45"/>
        <v>3196.387654178066</v>
      </c>
      <c r="V144" s="67">
        <f t="shared" si="45"/>
        <v>3292.2792838034079</v>
      </c>
      <c r="W144" s="67">
        <f t="shared" si="45"/>
        <v>3391.0476623175105</v>
      </c>
      <c r="X144" s="67">
        <f t="shared" si="45"/>
        <v>3492.779092187036</v>
      </c>
    </row>
    <row r="145" spans="1:24" x14ac:dyDescent="0.3">
      <c r="A145" t="s">
        <v>201</v>
      </c>
      <c r="D145" s="15"/>
      <c r="E145" s="16">
        <v>0.1</v>
      </c>
      <c r="F145" s="16">
        <v>0.08</v>
      </c>
      <c r="G145" s="16">
        <v>7.0000000000000007E-2</v>
      </c>
      <c r="H145" s="16">
        <v>0.06</v>
      </c>
      <c r="I145" s="16">
        <v>0.05</v>
      </c>
      <c r="J145" s="16">
        <v>0.05</v>
      </c>
      <c r="K145" s="16">
        <v>0.04</v>
      </c>
      <c r="L145" s="16">
        <v>0.04</v>
      </c>
      <c r="M145" s="16">
        <v>0.04</v>
      </c>
      <c r="N145" s="16">
        <v>0.03</v>
      </c>
      <c r="O145" s="16">
        <v>0.03</v>
      </c>
      <c r="P145" s="16">
        <v>0.03</v>
      </c>
      <c r="Q145" s="16">
        <v>0.03</v>
      </c>
      <c r="R145" s="16">
        <v>0.03</v>
      </c>
      <c r="S145" s="16">
        <v>0.03</v>
      </c>
      <c r="T145" s="16">
        <v>0.03</v>
      </c>
      <c r="U145" s="16">
        <v>0.03</v>
      </c>
      <c r="V145" s="16">
        <v>0.03</v>
      </c>
      <c r="W145" s="16">
        <v>0.03</v>
      </c>
      <c r="X145" s="16">
        <v>0.03</v>
      </c>
    </row>
    <row r="146" spans="1:24" x14ac:dyDescent="0.3">
      <c r="A146" s="1" t="s">
        <v>202</v>
      </c>
      <c r="B146" s="1"/>
      <c r="C146" s="1"/>
      <c r="D146" s="415">
        <f t="shared" ref="D146:X146" si="46">D143+D144</f>
        <v>3700</v>
      </c>
      <c r="E146" s="415">
        <f t="shared" si="46"/>
        <v>5223.4000000000005</v>
      </c>
      <c r="F146" s="415">
        <f t="shared" si="46"/>
        <v>6546.1799999999994</v>
      </c>
      <c r="G146" s="415">
        <f t="shared" si="46"/>
        <v>8029.5516000000007</v>
      </c>
      <c r="H146" s="415">
        <f t="shared" si="46"/>
        <v>9393.018696000001</v>
      </c>
      <c r="I146" s="415">
        <f t="shared" si="46"/>
        <v>11013.149630800001</v>
      </c>
      <c r="J146" s="415">
        <f t="shared" si="46"/>
        <v>12444.917112340001</v>
      </c>
      <c r="K146" s="415">
        <f t="shared" si="46"/>
        <v>13958.143796833601</v>
      </c>
      <c r="L146" s="415">
        <f t="shared" si="46"/>
        <v>15434.809548706948</v>
      </c>
      <c r="M146" s="415">
        <f t="shared" si="46"/>
        <v>17196.257930655222</v>
      </c>
      <c r="N146" s="415">
        <f t="shared" si="46"/>
        <v>18731.955668574879</v>
      </c>
      <c r="O146" s="415">
        <f t="shared" si="46"/>
        <v>20050.924338632125</v>
      </c>
      <c r="P146" s="415">
        <f t="shared" si="46"/>
        <v>21897.832068791089</v>
      </c>
      <c r="Q146" s="415">
        <f t="shared" si="46"/>
        <v>23790.949030854819</v>
      </c>
      <c r="R146" s="415">
        <f t="shared" si="46"/>
        <v>25471.197501780469</v>
      </c>
      <c r="S146" s="415">
        <f t="shared" si="46"/>
        <v>26854.701926833881</v>
      </c>
      <c r="T146" s="415">
        <f t="shared" si="46"/>
        <v>28857.688984638895</v>
      </c>
      <c r="U146" s="415">
        <f t="shared" si="46"/>
        <v>30640.737654178065</v>
      </c>
      <c r="V146" s="415">
        <f t="shared" si="46"/>
        <v>32733.179283803409</v>
      </c>
      <c r="W146" s="415">
        <f t="shared" si="46"/>
        <v>34452.547662317505</v>
      </c>
      <c r="X146" s="415">
        <f t="shared" si="46"/>
        <v>36342.779092187033</v>
      </c>
    </row>
    <row r="147" spans="1:24" x14ac:dyDescent="0.3">
      <c r="A147" t="s">
        <v>203</v>
      </c>
      <c r="D147" s="67">
        <f t="shared" ref="D147:X147" si="47">D54</f>
        <v>4086</v>
      </c>
      <c r="E147" s="67">
        <f t="shared" si="47"/>
        <v>4494.6000000000004</v>
      </c>
      <c r="F147" s="67">
        <f t="shared" si="47"/>
        <v>5123.844000000001</v>
      </c>
      <c r="G147" s="67">
        <f t="shared" si="47"/>
        <v>6046.1359200000006</v>
      </c>
      <c r="H147" s="67">
        <f t="shared" si="47"/>
        <v>7376.2858224000011</v>
      </c>
      <c r="I147" s="67">
        <f t="shared" si="47"/>
        <v>9294.1201362240008</v>
      </c>
      <c r="J147" s="67">
        <f t="shared" si="47"/>
        <v>11338.82656619328</v>
      </c>
      <c r="K147" s="67">
        <f t="shared" si="47"/>
        <v>13379.81534810807</v>
      </c>
      <c r="L147" s="67">
        <f t="shared" si="47"/>
        <v>15386.787650324279</v>
      </c>
      <c r="M147" s="67">
        <f t="shared" si="47"/>
        <v>17387.070044866432</v>
      </c>
      <c r="N147" s="67">
        <f t="shared" si="47"/>
        <v>19299.647749801741</v>
      </c>
      <c r="O147" s="67">
        <f t="shared" si="47"/>
        <v>21229.612524781918</v>
      </c>
      <c r="P147" s="67">
        <f t="shared" si="47"/>
        <v>23140.277652012293</v>
      </c>
      <c r="Q147" s="67">
        <f t="shared" si="47"/>
        <v>24991.499864173278</v>
      </c>
      <c r="R147" s="67">
        <f t="shared" si="47"/>
        <v>26740.904854665408</v>
      </c>
      <c r="S147" s="67">
        <f t="shared" si="47"/>
        <v>28345.359145945335</v>
      </c>
      <c r="T147" s="67">
        <f t="shared" si="47"/>
        <v>29762.627103242601</v>
      </c>
      <c r="U147" s="67">
        <f t="shared" si="47"/>
        <v>31101.945322888518</v>
      </c>
      <c r="V147" s="67">
        <f t="shared" si="47"/>
        <v>32346.023135804058</v>
      </c>
      <c r="W147" s="67">
        <f t="shared" si="47"/>
        <v>33478.133945557194</v>
      </c>
      <c r="X147" s="67">
        <f t="shared" si="47"/>
        <v>34482.477963923913</v>
      </c>
    </row>
    <row r="148" spans="1:24" ht="15" thickBot="1" x14ac:dyDescent="0.35">
      <c r="A148" s="215" t="s">
        <v>204</v>
      </c>
      <c r="B148" s="164"/>
      <c r="C148" s="164"/>
      <c r="D148" s="230">
        <f t="shared" ref="D148:X148" si="48">IF(D147=0,0,D146/D147-1)</f>
        <v>-9.4468918257464507E-2</v>
      </c>
      <c r="E148" s="230">
        <f t="shared" si="48"/>
        <v>0.16215013571841763</v>
      </c>
      <c r="F148" s="230">
        <f t="shared" si="48"/>
        <v>0.27759158943949069</v>
      </c>
      <c r="G148" s="230">
        <f t="shared" si="48"/>
        <v>0.32804682300294696</v>
      </c>
      <c r="H148" s="230">
        <f t="shared" si="48"/>
        <v>0.27340763660156298</v>
      </c>
      <c r="I148" s="230">
        <f t="shared" si="48"/>
        <v>0.18495882013360809</v>
      </c>
      <c r="J148" s="230">
        <f t="shared" si="48"/>
        <v>9.7548942978326503E-2</v>
      </c>
      <c r="K148" s="230">
        <f t="shared" si="48"/>
        <v>4.3223948438668724E-2</v>
      </c>
      <c r="L148" s="230">
        <f t="shared" si="48"/>
        <v>3.1209827206302165E-3</v>
      </c>
      <c r="M148" s="230">
        <f t="shared" si="48"/>
        <v>-1.0974368523208877E-2</v>
      </c>
      <c r="N148" s="230">
        <f t="shared" si="48"/>
        <v>-2.9414634328374878E-2</v>
      </c>
      <c r="O148" s="230">
        <f t="shared" si="48"/>
        <v>-5.5520946732959819E-2</v>
      </c>
      <c r="P148" s="230">
        <f t="shared" si="48"/>
        <v>-5.3691904734477602E-2</v>
      </c>
      <c r="Q148" s="230">
        <f t="shared" si="48"/>
        <v>-4.8038366638391117E-2</v>
      </c>
      <c r="R148" s="230">
        <f t="shared" si="48"/>
        <v>-4.7481839518359381E-2</v>
      </c>
      <c r="S148" s="230">
        <f t="shared" si="48"/>
        <v>-5.2589110317365129E-2</v>
      </c>
      <c r="T148" s="230">
        <f t="shared" si="48"/>
        <v>-3.0405182830957611E-2</v>
      </c>
      <c r="U148" s="230">
        <f t="shared" si="48"/>
        <v>-1.4828901019610541E-2</v>
      </c>
      <c r="V148" s="230">
        <f t="shared" si="48"/>
        <v>1.1969203953570595E-2</v>
      </c>
      <c r="W148" s="230">
        <f t="shared" si="48"/>
        <v>2.9105974614502816E-2</v>
      </c>
      <c r="X148" s="230">
        <f t="shared" si="48"/>
        <v>5.3949171814432706E-2</v>
      </c>
    </row>
    <row r="149" spans="1:24" ht="15" thickTop="1" x14ac:dyDescent="0.3"/>
    <row r="150" spans="1:24" x14ac:dyDescent="0.3">
      <c r="A150" s="92" t="s">
        <v>874</v>
      </c>
      <c r="B150" s="92"/>
      <c r="C150" s="92"/>
      <c r="D150" s="92"/>
      <c r="E150" s="92"/>
      <c r="F150" s="92"/>
      <c r="G150" s="92"/>
      <c r="H150" s="92"/>
      <c r="I150" s="92"/>
      <c r="J150" s="92"/>
      <c r="K150" s="92"/>
      <c r="L150" s="92"/>
      <c r="M150" s="92"/>
      <c r="N150" s="92"/>
      <c r="O150" s="92"/>
      <c r="P150" s="92"/>
      <c r="Q150" s="92"/>
      <c r="R150" s="92"/>
      <c r="S150" s="92"/>
      <c r="T150" s="92"/>
      <c r="U150" s="92"/>
      <c r="V150" s="92"/>
      <c r="W150" s="92"/>
      <c r="X150" s="92"/>
    </row>
    <row r="151" spans="1:24" s="82" customFormat="1" ht="3" customHeight="1" x14ac:dyDescent="0.3">
      <c r="A151" s="143"/>
      <c r="B151" s="143"/>
      <c r="C151" s="143"/>
      <c r="D151" s="143"/>
      <c r="E151" s="143"/>
      <c r="F151" s="143"/>
      <c r="G151" s="143"/>
      <c r="H151" s="143"/>
      <c r="I151" s="143"/>
      <c r="J151" s="143"/>
      <c r="K151" s="143"/>
      <c r="L151" s="143"/>
      <c r="M151" s="143"/>
      <c r="N151" s="143"/>
      <c r="O151" s="143"/>
      <c r="P151" s="143"/>
      <c r="Q151" s="143"/>
      <c r="R151" s="143"/>
      <c r="S151" s="143"/>
      <c r="T151" s="143"/>
      <c r="U151" s="143"/>
      <c r="V151" s="143"/>
      <c r="W151" s="143"/>
      <c r="X151" s="143"/>
    </row>
    <row r="152" spans="1:24" x14ac:dyDescent="0.3">
      <c r="A152" s="245" t="s">
        <v>762</v>
      </c>
      <c r="B152" s="245"/>
      <c r="C152" s="245"/>
      <c r="D152" s="245"/>
      <c r="E152" s="245"/>
      <c r="F152" s="245"/>
      <c r="G152" s="245"/>
      <c r="H152" s="245"/>
      <c r="I152" s="245"/>
      <c r="J152" s="245"/>
      <c r="K152" s="245"/>
      <c r="L152" s="245"/>
      <c r="M152" s="245"/>
      <c r="N152" s="245"/>
      <c r="O152" s="245"/>
      <c r="P152" s="245"/>
      <c r="Q152" s="245"/>
      <c r="R152" s="245"/>
      <c r="S152" s="245"/>
      <c r="T152" s="245"/>
      <c r="U152" s="245"/>
      <c r="V152" s="245"/>
      <c r="W152" s="245"/>
      <c r="X152" s="245"/>
    </row>
    <row r="153" spans="1:24" x14ac:dyDescent="0.3">
      <c r="A153" t="s">
        <v>775</v>
      </c>
      <c r="D153" s="44">
        <v>165</v>
      </c>
      <c r="E153" s="64">
        <f t="shared" ref="E153:X153" si="49">E46</f>
        <v>175</v>
      </c>
      <c r="F153" s="64">
        <f t="shared" si="49"/>
        <v>180</v>
      </c>
      <c r="G153" s="64">
        <f t="shared" si="49"/>
        <v>175</v>
      </c>
      <c r="H153" s="64">
        <f t="shared" si="49"/>
        <v>160</v>
      </c>
      <c r="I153" s="64">
        <f t="shared" si="49"/>
        <v>130</v>
      </c>
      <c r="J153" s="64">
        <f t="shared" si="49"/>
        <v>100</v>
      </c>
      <c r="K153" s="64">
        <f t="shared" si="49"/>
        <v>70</v>
      </c>
      <c r="L153" s="64">
        <f t="shared" si="49"/>
        <v>45</v>
      </c>
      <c r="M153" s="64">
        <f t="shared" si="49"/>
        <v>25</v>
      </c>
      <c r="N153" s="64">
        <f t="shared" si="49"/>
        <v>15</v>
      </c>
      <c r="O153" s="64">
        <f t="shared" si="49"/>
        <v>8</v>
      </c>
      <c r="P153" s="64">
        <f t="shared" si="49"/>
        <v>5</v>
      </c>
      <c r="Q153" s="64">
        <f t="shared" si="49"/>
        <v>3</v>
      </c>
      <c r="R153" s="64">
        <f t="shared" si="49"/>
        <v>0</v>
      </c>
      <c r="S153" s="64">
        <f t="shared" si="49"/>
        <v>0</v>
      </c>
      <c r="T153" s="64">
        <f t="shared" si="49"/>
        <v>0</v>
      </c>
      <c r="U153" s="64">
        <f t="shared" si="49"/>
        <v>0</v>
      </c>
      <c r="V153" s="64">
        <f t="shared" si="49"/>
        <v>0</v>
      </c>
      <c r="W153" s="64">
        <f t="shared" si="49"/>
        <v>0</v>
      </c>
      <c r="X153" s="64">
        <f t="shared" si="49"/>
        <v>0</v>
      </c>
    </row>
    <row r="154" spans="1:24" x14ac:dyDescent="0.3">
      <c r="A154" t="s">
        <v>776</v>
      </c>
      <c r="D154" s="44">
        <v>0</v>
      </c>
      <c r="E154" s="64">
        <f t="shared" ref="E154:X154" si="50">E47</f>
        <v>10</v>
      </c>
      <c r="F154" s="64">
        <f t="shared" si="50"/>
        <v>24</v>
      </c>
      <c r="G154" s="64">
        <f t="shared" si="50"/>
        <v>50</v>
      </c>
      <c r="H154" s="64">
        <f t="shared" si="50"/>
        <v>80</v>
      </c>
      <c r="I154" s="64">
        <f t="shared" si="50"/>
        <v>100</v>
      </c>
      <c r="J154" s="64">
        <f t="shared" si="50"/>
        <v>150</v>
      </c>
      <c r="K154" s="64">
        <f t="shared" si="50"/>
        <v>210</v>
      </c>
      <c r="L154" s="64">
        <f t="shared" si="50"/>
        <v>280</v>
      </c>
      <c r="M154" s="64">
        <f t="shared" si="50"/>
        <v>340</v>
      </c>
      <c r="N154" s="64">
        <f t="shared" si="50"/>
        <v>400</v>
      </c>
      <c r="O154" s="64">
        <f t="shared" si="50"/>
        <v>440</v>
      </c>
      <c r="P154" s="64">
        <f t="shared" si="50"/>
        <v>470</v>
      </c>
      <c r="Q154" s="64">
        <f t="shared" si="50"/>
        <v>490</v>
      </c>
      <c r="R154" s="64">
        <f t="shared" si="50"/>
        <v>510</v>
      </c>
      <c r="S154" s="64">
        <f t="shared" si="50"/>
        <v>520</v>
      </c>
      <c r="T154" s="64">
        <f t="shared" si="50"/>
        <v>530</v>
      </c>
      <c r="U154" s="64">
        <f t="shared" si="50"/>
        <v>540</v>
      </c>
      <c r="V154" s="64">
        <f t="shared" si="50"/>
        <v>545</v>
      </c>
      <c r="W154" s="64">
        <f t="shared" si="50"/>
        <v>550</v>
      </c>
      <c r="X154" s="64">
        <f t="shared" si="50"/>
        <v>555</v>
      </c>
    </row>
    <row r="155" spans="1:24" x14ac:dyDescent="0.3">
      <c r="A155" t="s">
        <v>763</v>
      </c>
      <c r="D155" s="64">
        <f>D153+D154</f>
        <v>165</v>
      </c>
      <c r="E155" s="64">
        <f t="shared" ref="E155:X155" si="51">E153+E154</f>
        <v>185</v>
      </c>
      <c r="F155" s="64">
        <f t="shared" si="51"/>
        <v>204</v>
      </c>
      <c r="G155" s="64">
        <f t="shared" si="51"/>
        <v>225</v>
      </c>
      <c r="H155" s="64">
        <f t="shared" si="51"/>
        <v>240</v>
      </c>
      <c r="I155" s="64">
        <f t="shared" si="51"/>
        <v>230</v>
      </c>
      <c r="J155" s="64">
        <f t="shared" si="51"/>
        <v>250</v>
      </c>
      <c r="K155" s="64">
        <f t="shared" si="51"/>
        <v>280</v>
      </c>
      <c r="L155" s="64">
        <f t="shared" si="51"/>
        <v>325</v>
      </c>
      <c r="M155" s="64">
        <f t="shared" si="51"/>
        <v>365</v>
      </c>
      <c r="N155" s="64">
        <f t="shared" si="51"/>
        <v>415</v>
      </c>
      <c r="O155" s="64">
        <f t="shared" si="51"/>
        <v>448</v>
      </c>
      <c r="P155" s="64">
        <f t="shared" si="51"/>
        <v>475</v>
      </c>
      <c r="Q155" s="64">
        <f t="shared" si="51"/>
        <v>493</v>
      </c>
      <c r="R155" s="64">
        <f t="shared" si="51"/>
        <v>510</v>
      </c>
      <c r="S155" s="64">
        <f t="shared" si="51"/>
        <v>520</v>
      </c>
      <c r="T155" s="64">
        <f t="shared" si="51"/>
        <v>530</v>
      </c>
      <c r="U155" s="64">
        <f t="shared" si="51"/>
        <v>540</v>
      </c>
      <c r="V155" s="64">
        <f t="shared" si="51"/>
        <v>545</v>
      </c>
      <c r="W155" s="64">
        <f t="shared" si="51"/>
        <v>550</v>
      </c>
      <c r="X155" s="64">
        <f t="shared" si="51"/>
        <v>555</v>
      </c>
    </row>
    <row r="156" spans="1:24" x14ac:dyDescent="0.3">
      <c r="A156" t="s">
        <v>764</v>
      </c>
      <c r="C156" s="243">
        <v>1.2</v>
      </c>
      <c r="D156" s="420">
        <f t="shared" ref="D156:X156" si="52">$C$156</f>
        <v>1.2</v>
      </c>
      <c r="E156" s="420">
        <f t="shared" si="52"/>
        <v>1.2</v>
      </c>
      <c r="F156" s="420">
        <f t="shared" si="52"/>
        <v>1.2</v>
      </c>
      <c r="G156" s="420">
        <f t="shared" si="52"/>
        <v>1.2</v>
      </c>
      <c r="H156" s="420">
        <f t="shared" si="52"/>
        <v>1.2</v>
      </c>
      <c r="I156" s="420">
        <f t="shared" si="52"/>
        <v>1.2</v>
      </c>
      <c r="J156" s="420">
        <f t="shared" si="52"/>
        <v>1.2</v>
      </c>
      <c r="K156" s="420">
        <f t="shared" si="52"/>
        <v>1.2</v>
      </c>
      <c r="L156" s="420">
        <f t="shared" si="52"/>
        <v>1.2</v>
      </c>
      <c r="M156" s="420">
        <f t="shared" si="52"/>
        <v>1.2</v>
      </c>
      <c r="N156" s="420">
        <f t="shared" si="52"/>
        <v>1.2</v>
      </c>
      <c r="O156" s="420">
        <f t="shared" si="52"/>
        <v>1.2</v>
      </c>
      <c r="P156" s="420">
        <f t="shared" si="52"/>
        <v>1.2</v>
      </c>
      <c r="Q156" s="420">
        <f t="shared" si="52"/>
        <v>1.2</v>
      </c>
      <c r="R156" s="420">
        <f t="shared" si="52"/>
        <v>1.2</v>
      </c>
      <c r="S156" s="420">
        <f t="shared" si="52"/>
        <v>1.2</v>
      </c>
      <c r="T156" s="420">
        <f t="shared" si="52"/>
        <v>1.2</v>
      </c>
      <c r="U156" s="420">
        <f t="shared" si="52"/>
        <v>1.2</v>
      </c>
      <c r="V156" s="420">
        <f t="shared" si="52"/>
        <v>1.2</v>
      </c>
      <c r="W156" s="420">
        <f t="shared" si="52"/>
        <v>1.2</v>
      </c>
      <c r="X156" s="420">
        <f t="shared" si="52"/>
        <v>1.2</v>
      </c>
    </row>
    <row r="157" spans="1:24" x14ac:dyDescent="0.3">
      <c r="A157" t="s">
        <v>777</v>
      </c>
      <c r="D157" s="244">
        <v>0</v>
      </c>
      <c r="E157" s="326">
        <f t="shared" ref="E157:X157" si="53">E48</f>
        <v>2</v>
      </c>
      <c r="F157" s="326">
        <f t="shared" si="53"/>
        <v>1.8</v>
      </c>
      <c r="G157" s="326">
        <f t="shared" si="53"/>
        <v>1.6</v>
      </c>
      <c r="H157" s="326">
        <f t="shared" si="53"/>
        <v>1.4</v>
      </c>
      <c r="I157" s="326">
        <f t="shared" si="53"/>
        <v>1.2</v>
      </c>
      <c r="J157" s="326">
        <f t="shared" si="53"/>
        <v>1.1000000000000001</v>
      </c>
      <c r="K157" s="326">
        <f t="shared" si="53"/>
        <v>1</v>
      </c>
      <c r="L157" s="326">
        <f t="shared" si="53"/>
        <v>0.9</v>
      </c>
      <c r="M157" s="326">
        <f t="shared" si="53"/>
        <v>0.8</v>
      </c>
      <c r="N157" s="326">
        <f t="shared" si="53"/>
        <v>0.76</v>
      </c>
      <c r="O157" s="326">
        <f t="shared" si="53"/>
        <v>0.72</v>
      </c>
      <c r="P157" s="326">
        <f t="shared" si="53"/>
        <v>0.68</v>
      </c>
      <c r="Q157" s="326">
        <f t="shared" si="53"/>
        <v>0.64</v>
      </c>
      <c r="R157" s="326">
        <f t="shared" si="53"/>
        <v>0.62</v>
      </c>
      <c r="S157" s="326">
        <f t="shared" si="53"/>
        <v>0.6</v>
      </c>
      <c r="T157" s="326">
        <f t="shared" si="53"/>
        <v>0.6</v>
      </c>
      <c r="U157" s="326">
        <f t="shared" si="53"/>
        <v>0.6</v>
      </c>
      <c r="V157" s="326">
        <f t="shared" si="53"/>
        <v>0.6</v>
      </c>
      <c r="W157" s="326">
        <f t="shared" si="53"/>
        <v>0.6</v>
      </c>
      <c r="X157" s="326">
        <f t="shared" si="53"/>
        <v>0.6</v>
      </c>
    </row>
    <row r="158" spans="1:24" x14ac:dyDescent="0.3">
      <c r="A158" t="s">
        <v>875</v>
      </c>
      <c r="D158" s="78">
        <f>D153*D156+D154*D157</f>
        <v>198</v>
      </c>
      <c r="E158" s="78">
        <f t="shared" ref="E158:X158" si="54">E153*E156+E154*E157</f>
        <v>230</v>
      </c>
      <c r="F158" s="78">
        <f t="shared" si="54"/>
        <v>259.2</v>
      </c>
      <c r="G158" s="78">
        <f t="shared" si="54"/>
        <v>290</v>
      </c>
      <c r="H158" s="78">
        <f t="shared" si="54"/>
        <v>304</v>
      </c>
      <c r="I158" s="78">
        <f t="shared" si="54"/>
        <v>276</v>
      </c>
      <c r="J158" s="78">
        <f t="shared" si="54"/>
        <v>285</v>
      </c>
      <c r="K158" s="78">
        <f t="shared" si="54"/>
        <v>294</v>
      </c>
      <c r="L158" s="78">
        <f t="shared" si="54"/>
        <v>306</v>
      </c>
      <c r="M158" s="78">
        <f t="shared" si="54"/>
        <v>302</v>
      </c>
      <c r="N158" s="78">
        <f t="shared" si="54"/>
        <v>322</v>
      </c>
      <c r="O158" s="78">
        <f t="shared" si="54"/>
        <v>326.40000000000003</v>
      </c>
      <c r="P158" s="78">
        <f t="shared" si="54"/>
        <v>325.60000000000002</v>
      </c>
      <c r="Q158" s="78">
        <f t="shared" si="54"/>
        <v>317.20000000000005</v>
      </c>
      <c r="R158" s="78">
        <f t="shared" si="54"/>
        <v>316.2</v>
      </c>
      <c r="S158" s="78">
        <f t="shared" si="54"/>
        <v>312</v>
      </c>
      <c r="T158" s="78">
        <f t="shared" si="54"/>
        <v>318</v>
      </c>
      <c r="U158" s="78">
        <f t="shared" si="54"/>
        <v>324</v>
      </c>
      <c r="V158" s="78">
        <f t="shared" si="54"/>
        <v>327</v>
      </c>
      <c r="W158" s="78">
        <f t="shared" si="54"/>
        <v>330</v>
      </c>
      <c r="X158" s="78">
        <f t="shared" si="54"/>
        <v>333</v>
      </c>
    </row>
    <row r="159" spans="1:24" ht="3" customHeight="1" x14ac:dyDescent="0.3"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</row>
    <row r="160" spans="1:24" x14ac:dyDescent="0.3">
      <c r="A160" s="245" t="s">
        <v>765</v>
      </c>
      <c r="B160" s="245"/>
      <c r="C160" s="245"/>
      <c r="D160" s="246"/>
      <c r="E160" s="246"/>
      <c r="F160" s="246"/>
      <c r="G160" s="246"/>
      <c r="H160" s="246"/>
      <c r="I160" s="246"/>
      <c r="J160" s="246"/>
      <c r="K160" s="246"/>
      <c r="L160" s="246"/>
      <c r="M160" s="246"/>
      <c r="N160" s="246"/>
      <c r="O160" s="246"/>
      <c r="P160" s="246"/>
      <c r="Q160" s="246"/>
      <c r="R160" s="246"/>
      <c r="S160" s="246"/>
      <c r="T160" s="246"/>
      <c r="U160" s="246"/>
      <c r="V160" s="246"/>
      <c r="W160" s="246"/>
      <c r="X160" s="246"/>
    </row>
    <row r="161" spans="1:24" x14ac:dyDescent="0.3">
      <c r="A161" t="s">
        <v>766</v>
      </c>
      <c r="D161" s="29">
        <f t="shared" ref="D161:X161" si="55">IF(D155=0,0,D141/D155)</f>
        <v>0.22121212121212122</v>
      </c>
      <c r="E161" s="29">
        <f t="shared" si="55"/>
        <v>0.31567567567567567</v>
      </c>
      <c r="F161" s="29">
        <f t="shared" si="55"/>
        <v>0.375735294117647</v>
      </c>
      <c r="G161" s="29">
        <f t="shared" si="55"/>
        <v>0.43800000000000006</v>
      </c>
      <c r="H161" s="29">
        <f t="shared" si="55"/>
        <v>0.48666666666666664</v>
      </c>
      <c r="I161" s="29">
        <f t="shared" si="55"/>
        <v>0.60304347826086957</v>
      </c>
      <c r="J161" s="29">
        <f t="shared" si="55"/>
        <v>0.62779999999999991</v>
      </c>
      <c r="K161" s="29">
        <f t="shared" si="55"/>
        <v>0.63874999999999993</v>
      </c>
      <c r="L161" s="29">
        <f t="shared" si="55"/>
        <v>0.6064615384615385</v>
      </c>
      <c r="M161" s="29">
        <f t="shared" si="55"/>
        <v>0.6</v>
      </c>
      <c r="N161" s="29">
        <f t="shared" si="55"/>
        <v>0.57168674698795185</v>
      </c>
      <c r="O161" s="29">
        <f t="shared" si="55"/>
        <v>0.57031249999999989</v>
      </c>
      <c r="P161" s="29">
        <f t="shared" si="55"/>
        <v>0.58399999999999996</v>
      </c>
      <c r="Q161" s="29">
        <f t="shared" si="55"/>
        <v>0.60709939148073011</v>
      </c>
      <c r="R161" s="29">
        <f t="shared" si="55"/>
        <v>0.62264705882352944</v>
      </c>
      <c r="S161" s="29">
        <f t="shared" si="55"/>
        <v>0.64576923076923076</v>
      </c>
      <c r="T161" s="29">
        <f t="shared" si="55"/>
        <v>0.67490566037735844</v>
      </c>
      <c r="U161" s="29">
        <f t="shared" si="55"/>
        <v>0.69620370370370366</v>
      </c>
      <c r="V161" s="29">
        <f t="shared" si="55"/>
        <v>0.73000000000000009</v>
      </c>
      <c r="W161" s="29">
        <f t="shared" si="55"/>
        <v>0.76318181818181807</v>
      </c>
      <c r="X161" s="29">
        <f t="shared" si="55"/>
        <v>0.78918918918918923</v>
      </c>
    </row>
    <row r="162" spans="1:24" x14ac:dyDescent="0.3">
      <c r="A162" t="s">
        <v>876</v>
      </c>
      <c r="D162" s="78">
        <f>D158*D161</f>
        <v>43.800000000000004</v>
      </c>
      <c r="E162" s="78">
        <f t="shared" ref="E162:X162" si="56">E158*E161</f>
        <v>72.605405405405406</v>
      </c>
      <c r="F162" s="78">
        <f t="shared" si="56"/>
        <v>97.390588235294103</v>
      </c>
      <c r="G162" s="78">
        <f t="shared" si="56"/>
        <v>127.02000000000001</v>
      </c>
      <c r="H162" s="78">
        <f t="shared" si="56"/>
        <v>147.94666666666666</v>
      </c>
      <c r="I162" s="78">
        <f t="shared" si="56"/>
        <v>166.44</v>
      </c>
      <c r="J162" s="78">
        <f t="shared" si="56"/>
        <v>178.92299999999997</v>
      </c>
      <c r="K162" s="78">
        <f t="shared" si="56"/>
        <v>187.79249999999999</v>
      </c>
      <c r="L162" s="78">
        <f t="shared" si="56"/>
        <v>185.57723076923077</v>
      </c>
      <c r="M162" s="78">
        <f t="shared" si="56"/>
        <v>181.2</v>
      </c>
      <c r="N162" s="78">
        <f t="shared" si="56"/>
        <v>184.08313253012051</v>
      </c>
      <c r="O162" s="78">
        <f t="shared" si="56"/>
        <v>186.14999999999998</v>
      </c>
      <c r="P162" s="78">
        <f t="shared" si="56"/>
        <v>190.15039999999999</v>
      </c>
      <c r="Q162" s="78">
        <f t="shared" si="56"/>
        <v>192.57192697768761</v>
      </c>
      <c r="R162" s="78">
        <f t="shared" si="56"/>
        <v>196.881</v>
      </c>
      <c r="S162" s="78">
        <f t="shared" si="56"/>
        <v>201.48</v>
      </c>
      <c r="T162" s="78">
        <f t="shared" si="56"/>
        <v>214.61999999999998</v>
      </c>
      <c r="U162" s="78">
        <f t="shared" si="56"/>
        <v>225.57</v>
      </c>
      <c r="V162" s="78">
        <f t="shared" si="56"/>
        <v>238.71000000000004</v>
      </c>
      <c r="W162" s="78">
        <f t="shared" si="56"/>
        <v>251.84999999999997</v>
      </c>
      <c r="X162" s="78">
        <f t="shared" si="56"/>
        <v>262.8</v>
      </c>
    </row>
    <row r="163" spans="1:24" x14ac:dyDescent="0.3">
      <c r="A163" t="s">
        <v>767</v>
      </c>
      <c r="D163" s="47">
        <v>200</v>
      </c>
      <c r="E163" s="78">
        <f>D163*1.03</f>
        <v>206</v>
      </c>
      <c r="F163" s="78">
        <f>E163*1.03</f>
        <v>212.18</v>
      </c>
      <c r="G163" s="78">
        <f t="shared" ref="G163:X163" si="57">F163*1.03</f>
        <v>218.5454</v>
      </c>
      <c r="H163" s="78">
        <f t="shared" si="57"/>
        <v>225.10176200000001</v>
      </c>
      <c r="I163" s="78">
        <f t="shared" si="57"/>
        <v>231.85481486</v>
      </c>
      <c r="J163" s="78">
        <f t="shared" si="57"/>
        <v>238.81045930580001</v>
      </c>
      <c r="K163" s="78">
        <f t="shared" si="57"/>
        <v>245.974773084974</v>
      </c>
      <c r="L163" s="78">
        <f t="shared" si="57"/>
        <v>253.35401627752324</v>
      </c>
      <c r="M163" s="78">
        <f t="shared" si="57"/>
        <v>260.95463676584893</v>
      </c>
      <c r="N163" s="78">
        <f t="shared" si="57"/>
        <v>268.78327586882443</v>
      </c>
      <c r="O163" s="78">
        <f t="shared" si="57"/>
        <v>276.8467741448892</v>
      </c>
      <c r="P163" s="78">
        <f t="shared" si="57"/>
        <v>285.15217736923586</v>
      </c>
      <c r="Q163" s="78">
        <f t="shared" si="57"/>
        <v>293.70674269031292</v>
      </c>
      <c r="R163" s="78">
        <f t="shared" si="57"/>
        <v>302.5179449710223</v>
      </c>
      <c r="S163" s="78">
        <f t="shared" si="57"/>
        <v>311.59348332015298</v>
      </c>
      <c r="T163" s="78">
        <f t="shared" si="57"/>
        <v>320.94128781975758</v>
      </c>
      <c r="U163" s="78">
        <f t="shared" si="57"/>
        <v>330.5695264543503</v>
      </c>
      <c r="V163" s="78">
        <f t="shared" si="57"/>
        <v>340.48661224798082</v>
      </c>
      <c r="W163" s="78">
        <f t="shared" si="57"/>
        <v>350.70121061542022</v>
      </c>
      <c r="X163" s="78">
        <f t="shared" si="57"/>
        <v>361.22224693388284</v>
      </c>
    </row>
    <row r="164" spans="1:24" x14ac:dyDescent="0.3">
      <c r="A164" t="s">
        <v>768</v>
      </c>
      <c r="D164" s="47">
        <v>513</v>
      </c>
      <c r="E164" s="78">
        <f>D164*1.05</f>
        <v>538.65</v>
      </c>
      <c r="F164" s="78">
        <f>E164*1.05</f>
        <v>565.58249999999998</v>
      </c>
      <c r="G164" s="78">
        <f t="shared" ref="G164:X164" si="58">F164*1.05</f>
        <v>593.861625</v>
      </c>
      <c r="H164" s="78">
        <f t="shared" si="58"/>
        <v>623.55470624999998</v>
      </c>
      <c r="I164" s="78">
        <f t="shared" si="58"/>
        <v>654.73244156249996</v>
      </c>
      <c r="J164" s="78">
        <f t="shared" si="58"/>
        <v>687.469063640625</v>
      </c>
      <c r="K164" s="78">
        <f t="shared" si="58"/>
        <v>721.84251682265631</v>
      </c>
      <c r="L164" s="78">
        <f t="shared" si="58"/>
        <v>757.93464266378919</v>
      </c>
      <c r="M164" s="78">
        <f t="shared" si="58"/>
        <v>795.83137479697871</v>
      </c>
      <c r="N164" s="78">
        <f t="shared" si="58"/>
        <v>835.62294353682773</v>
      </c>
      <c r="O164" s="78">
        <f t="shared" si="58"/>
        <v>877.40409071366912</v>
      </c>
      <c r="P164" s="78">
        <f t="shared" si="58"/>
        <v>921.27429524935258</v>
      </c>
      <c r="Q164" s="78">
        <f t="shared" si="58"/>
        <v>967.3380100118203</v>
      </c>
      <c r="R164" s="78">
        <f t="shared" si="58"/>
        <v>1015.7049105124114</v>
      </c>
      <c r="S164" s="78">
        <f t="shared" si="58"/>
        <v>1066.490156038032</v>
      </c>
      <c r="T164" s="78">
        <f t="shared" si="58"/>
        <v>1119.8146638399337</v>
      </c>
      <c r="U164" s="78">
        <f t="shared" si="58"/>
        <v>1175.8053970319304</v>
      </c>
      <c r="V164" s="78">
        <f t="shared" si="58"/>
        <v>1234.595666883527</v>
      </c>
      <c r="W164" s="78">
        <f t="shared" si="58"/>
        <v>1296.3254502277034</v>
      </c>
      <c r="X164" s="78">
        <f t="shared" si="58"/>
        <v>1361.1417227390887</v>
      </c>
    </row>
    <row r="165" spans="1:24" ht="15" thickBot="1" x14ac:dyDescent="0.35">
      <c r="A165" s="169" t="s">
        <v>877</v>
      </c>
      <c r="B165" s="169"/>
      <c r="C165" s="169"/>
      <c r="D165" s="477">
        <f>D162+D163+D164</f>
        <v>756.8</v>
      </c>
      <c r="E165" s="477">
        <f t="shared" ref="E165:X165" si="59">E162+E163+E164</f>
        <v>817.25540540540533</v>
      </c>
      <c r="F165" s="477">
        <f t="shared" si="59"/>
        <v>875.15308823529404</v>
      </c>
      <c r="G165" s="477">
        <f t="shared" si="59"/>
        <v>939.42702499999996</v>
      </c>
      <c r="H165" s="477">
        <f t="shared" si="59"/>
        <v>996.6031349166667</v>
      </c>
      <c r="I165" s="477">
        <f t="shared" si="59"/>
        <v>1053.0272564224999</v>
      </c>
      <c r="J165" s="477">
        <f t="shared" si="59"/>
        <v>1105.202522946425</v>
      </c>
      <c r="K165" s="477">
        <f t="shared" si="59"/>
        <v>1155.6097899076303</v>
      </c>
      <c r="L165" s="477">
        <f t="shared" si="59"/>
        <v>1196.8658897105433</v>
      </c>
      <c r="M165" s="477">
        <f t="shared" si="59"/>
        <v>1237.9860115628276</v>
      </c>
      <c r="N165" s="477">
        <f t="shared" si="59"/>
        <v>1288.4893519357727</v>
      </c>
      <c r="O165" s="477">
        <f t="shared" si="59"/>
        <v>1340.4008648585582</v>
      </c>
      <c r="P165" s="477">
        <f t="shared" si="59"/>
        <v>1396.5768726185884</v>
      </c>
      <c r="Q165" s="477">
        <f t="shared" si="59"/>
        <v>1453.6166796798209</v>
      </c>
      <c r="R165" s="477">
        <f t="shared" si="59"/>
        <v>1515.1038554834336</v>
      </c>
      <c r="S165" s="477">
        <f t="shared" si="59"/>
        <v>1579.5636393581849</v>
      </c>
      <c r="T165" s="477">
        <f t="shared" si="59"/>
        <v>1655.3759516596913</v>
      </c>
      <c r="U165" s="477">
        <f t="shared" si="59"/>
        <v>1731.9449234862807</v>
      </c>
      <c r="V165" s="477">
        <f t="shared" si="59"/>
        <v>1813.7922791315077</v>
      </c>
      <c r="W165" s="477">
        <f t="shared" si="59"/>
        <v>1898.8766608431235</v>
      </c>
      <c r="X165" s="477">
        <f t="shared" si="59"/>
        <v>1985.1639696729715</v>
      </c>
    </row>
    <row r="166" spans="1:24" ht="15" thickTop="1" x14ac:dyDescent="0.3"/>
  </sheetData>
  <sheetProtection algorithmName="SHA-512" hashValue="JRl/eAuQxNkMD0Tm8S71zl+LNAP2MxhW/Url1AiHdOEP3Y7TXrhydNFcf8S7uBA52HslgeLs8n8jw1NsuPUo/Q==" saltValue="t7qak9Ns4JQAyJMi2B+PSg==" spinCount="100000" sheet="1" objects="1" scenarios="1"/>
  <pageMargins left="0.7" right="0.7" top="0.75" bottom="0.75" header="0.3" footer="0.3"/>
  <drawing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44DB10-3AFB-4750-A162-73A87D0EA787}">
  <sheetPr>
    <tabColor rgb="FFFFFFFF"/>
  </sheetPr>
  <dimension ref="A1:X142"/>
  <sheetViews>
    <sheetView showGridLines="0" zoomScale="85" zoomScaleNormal="85" workbookViewId="0">
      <pane ySplit="6" topLeftCell="A7" activePane="bottomLeft" state="frozen"/>
      <selection pane="bottomLeft" activeCell="E46" sqref="E45:V46"/>
    </sheetView>
  </sheetViews>
  <sheetFormatPr defaultRowHeight="14.4" x14ac:dyDescent="0.3"/>
  <cols>
    <col min="1" max="1" width="33.33203125" customWidth="1"/>
    <col min="2" max="2" width="20" bestFit="1" customWidth="1"/>
    <col min="3" max="4" width="20" customWidth="1"/>
    <col min="5" max="24" width="16.6640625" customWidth="1"/>
  </cols>
  <sheetData>
    <row r="1" spans="1:24" ht="30" customHeight="1" x14ac:dyDescent="0.3">
      <c r="A1" s="96" t="s">
        <v>878</v>
      </c>
    </row>
    <row r="2" spans="1:24" x14ac:dyDescent="0.3">
      <c r="A2" s="3" t="s">
        <v>189</v>
      </c>
    </row>
    <row r="3" spans="1:24" x14ac:dyDescent="0.3">
      <c r="A3" s="4" t="s">
        <v>103</v>
      </c>
    </row>
    <row r="5" spans="1:24" ht="18" x14ac:dyDescent="0.35">
      <c r="A5" s="1" t="s">
        <v>42</v>
      </c>
      <c r="B5" s="57">
        <f>Dashboard!B33</f>
        <v>2</v>
      </c>
      <c r="C5" s="85" t="str">
        <f>IF(B5=1,"◀  BEAR",IF(B5=2,"◀  BASE","◀  BULL"))</f>
        <v>◀  BASE</v>
      </c>
      <c r="D5" s="3" t="s">
        <v>43</v>
      </c>
    </row>
    <row r="6" spans="1:24" x14ac:dyDescent="0.3">
      <c r="A6" s="135"/>
      <c r="B6" s="144" t="s">
        <v>45</v>
      </c>
      <c r="C6" s="144" t="s">
        <v>46</v>
      </c>
      <c r="D6" s="144" t="s">
        <v>47</v>
      </c>
      <c r="E6" s="144" t="s">
        <v>48</v>
      </c>
      <c r="F6" s="144" t="s">
        <v>49</v>
      </c>
      <c r="G6" s="144" t="s">
        <v>50</v>
      </c>
      <c r="H6" s="144" t="s">
        <v>51</v>
      </c>
      <c r="I6" s="144" t="s">
        <v>52</v>
      </c>
      <c r="J6" s="144" t="s">
        <v>53</v>
      </c>
      <c r="K6" s="144" t="s">
        <v>54</v>
      </c>
      <c r="L6" s="144" t="s">
        <v>55</v>
      </c>
      <c r="M6" s="144" t="s">
        <v>56</v>
      </c>
      <c r="N6" s="144" t="s">
        <v>57</v>
      </c>
      <c r="O6" s="144" t="s">
        <v>179</v>
      </c>
      <c r="P6" s="144" t="s">
        <v>180</v>
      </c>
      <c r="Q6" s="144" t="s">
        <v>181</v>
      </c>
      <c r="R6" s="144" t="s">
        <v>182</v>
      </c>
      <c r="S6" s="144" t="s">
        <v>183</v>
      </c>
      <c r="T6" s="144" t="s">
        <v>184</v>
      </c>
      <c r="U6" s="144" t="s">
        <v>185</v>
      </c>
      <c r="V6" s="144" t="s">
        <v>186</v>
      </c>
      <c r="W6" s="144" t="s">
        <v>187</v>
      </c>
      <c r="X6" s="144" t="s">
        <v>188</v>
      </c>
    </row>
    <row r="7" spans="1:24" ht="3" customHeight="1" x14ac:dyDescent="0.3"/>
    <row r="8" spans="1:24" x14ac:dyDescent="0.3">
      <c r="A8" s="92" t="s">
        <v>44</v>
      </c>
      <c r="B8" s="92"/>
      <c r="C8" s="92"/>
      <c r="D8" s="92"/>
      <c r="E8" s="92"/>
      <c r="F8" s="92"/>
      <c r="G8" s="92"/>
      <c r="H8" s="92"/>
      <c r="I8" s="92"/>
      <c r="J8" s="92"/>
      <c r="K8" s="92"/>
      <c r="L8" s="92"/>
      <c r="M8" s="92"/>
      <c r="N8" s="92"/>
      <c r="O8" s="92"/>
      <c r="P8" s="92"/>
      <c r="Q8" s="92"/>
      <c r="R8" s="92"/>
      <c r="S8" s="92"/>
      <c r="T8" s="92"/>
      <c r="U8" s="92"/>
      <c r="V8" s="92"/>
      <c r="W8" s="92"/>
      <c r="X8" s="92"/>
    </row>
    <row r="9" spans="1:24" x14ac:dyDescent="0.3">
      <c r="A9" t="s">
        <v>58</v>
      </c>
      <c r="B9" s="30"/>
      <c r="C9" s="30"/>
      <c r="D9" s="30"/>
      <c r="E9" s="16">
        <v>0.15</v>
      </c>
      <c r="F9" s="16">
        <v>0.2</v>
      </c>
      <c r="G9" s="16">
        <v>0.25</v>
      </c>
      <c r="H9" s="16">
        <v>0.28000000000000003</v>
      </c>
      <c r="I9" s="16">
        <v>0.3</v>
      </c>
      <c r="J9" s="16">
        <v>0.28000000000000003</v>
      </c>
      <c r="K9" s="16">
        <v>0.25</v>
      </c>
      <c r="L9" s="16">
        <v>0.22</v>
      </c>
      <c r="M9" s="16">
        <v>0.18</v>
      </c>
      <c r="N9" s="16">
        <v>0.15</v>
      </c>
      <c r="O9" s="16">
        <v>0.14000000000000001</v>
      </c>
      <c r="P9" s="16">
        <v>0.13</v>
      </c>
      <c r="Q9" s="16">
        <v>0.12</v>
      </c>
      <c r="R9" s="16">
        <v>0.1</v>
      </c>
      <c r="S9" s="16">
        <v>0.09</v>
      </c>
      <c r="T9" s="16">
        <v>0.08</v>
      </c>
      <c r="U9" s="16">
        <v>7.0000000000000007E-2</v>
      </c>
      <c r="V9" s="16">
        <v>0.06</v>
      </c>
      <c r="W9" s="16">
        <v>0.05</v>
      </c>
      <c r="X9" s="16">
        <v>0.04</v>
      </c>
    </row>
    <row r="10" spans="1:24" x14ac:dyDescent="0.3">
      <c r="A10" t="s">
        <v>59</v>
      </c>
      <c r="B10" s="30"/>
      <c r="C10" s="30"/>
      <c r="D10" s="30"/>
      <c r="E10" s="16">
        <v>-0.3</v>
      </c>
      <c r="F10" s="16">
        <v>-0.15</v>
      </c>
      <c r="G10" s="16">
        <v>0</v>
      </c>
      <c r="H10" s="16">
        <v>0.1</v>
      </c>
      <c r="I10" s="16">
        <v>0.18</v>
      </c>
      <c r="J10" s="16">
        <v>0.23</v>
      </c>
      <c r="K10" s="16">
        <v>0.27</v>
      </c>
      <c r="L10" s="16">
        <v>0.3</v>
      </c>
      <c r="M10" s="16">
        <v>0.32</v>
      </c>
      <c r="N10" s="16">
        <v>0.34</v>
      </c>
      <c r="O10" s="16">
        <v>0.36</v>
      </c>
      <c r="P10" s="16">
        <v>0.38</v>
      </c>
      <c r="Q10" s="16">
        <v>0.39</v>
      </c>
      <c r="R10" s="16">
        <v>0.4</v>
      </c>
      <c r="S10" s="16">
        <v>0.41</v>
      </c>
      <c r="T10" s="16">
        <v>0.42</v>
      </c>
      <c r="U10" s="16">
        <v>0.42</v>
      </c>
      <c r="V10" s="16">
        <v>0.43</v>
      </c>
      <c r="W10" s="16">
        <v>0.43</v>
      </c>
      <c r="X10" s="16">
        <v>0.44</v>
      </c>
    </row>
    <row r="11" spans="1:24" x14ac:dyDescent="0.3">
      <c r="A11" t="s">
        <v>60</v>
      </c>
      <c r="B11" s="30"/>
      <c r="C11" s="30"/>
      <c r="D11" s="30"/>
      <c r="E11" s="16">
        <v>1.1499999999999999</v>
      </c>
      <c r="F11" s="16">
        <v>1</v>
      </c>
      <c r="G11" s="16">
        <v>0.85</v>
      </c>
      <c r="H11" s="16">
        <v>0.72</v>
      </c>
      <c r="I11" s="16">
        <v>0.62</v>
      </c>
      <c r="J11" s="16">
        <v>0.54</v>
      </c>
      <c r="K11" s="16">
        <v>0.47</v>
      </c>
      <c r="L11" s="16">
        <v>0.42</v>
      </c>
      <c r="M11" s="16">
        <v>0.37</v>
      </c>
      <c r="N11" s="16">
        <v>0.33</v>
      </c>
      <c r="O11" s="16">
        <v>0.3</v>
      </c>
      <c r="P11" s="16">
        <v>0.28000000000000003</v>
      </c>
      <c r="Q11" s="16">
        <v>0.26</v>
      </c>
      <c r="R11" s="16">
        <v>0.24</v>
      </c>
      <c r="S11" s="16">
        <v>0.23</v>
      </c>
      <c r="T11" s="16">
        <v>0.22</v>
      </c>
      <c r="U11" s="16">
        <v>0.21</v>
      </c>
      <c r="V11" s="16">
        <v>0.2</v>
      </c>
      <c r="W11" s="16">
        <v>0.19</v>
      </c>
      <c r="X11" s="16">
        <v>0.19</v>
      </c>
    </row>
    <row r="12" spans="1:24" x14ac:dyDescent="0.3">
      <c r="A12" t="s">
        <v>61</v>
      </c>
      <c r="B12" s="30"/>
      <c r="C12" s="30"/>
      <c r="D12" s="30"/>
      <c r="E12" s="16">
        <v>3.6</v>
      </c>
      <c r="F12" s="16">
        <v>2.8</v>
      </c>
      <c r="G12" s="16">
        <v>2.1</v>
      </c>
      <c r="H12" s="16">
        <v>1.6</v>
      </c>
      <c r="I12" s="16">
        <v>1.2</v>
      </c>
      <c r="J12" s="16">
        <v>0.95</v>
      </c>
      <c r="K12" s="16">
        <v>0.78</v>
      </c>
      <c r="L12" s="16">
        <v>0.65</v>
      </c>
      <c r="M12" s="16">
        <v>0.55000000000000004</v>
      </c>
      <c r="N12" s="16">
        <v>0.48</v>
      </c>
      <c r="O12" s="16">
        <v>0.44</v>
      </c>
      <c r="P12" s="16">
        <v>0.4</v>
      </c>
      <c r="Q12" s="16">
        <v>0.36</v>
      </c>
      <c r="R12" s="16">
        <v>0.33</v>
      </c>
      <c r="S12" s="16">
        <v>0.3</v>
      </c>
      <c r="T12" s="16">
        <v>0.27</v>
      </c>
      <c r="U12" s="16">
        <v>0.24</v>
      </c>
      <c r="V12" s="16">
        <v>0.22</v>
      </c>
      <c r="W12" s="16">
        <v>0.2</v>
      </c>
      <c r="X12" s="16">
        <v>0.18</v>
      </c>
    </row>
    <row r="13" spans="1:24" x14ac:dyDescent="0.3">
      <c r="A13" t="s">
        <v>62</v>
      </c>
      <c r="B13" s="30"/>
      <c r="C13" s="30"/>
      <c r="D13" s="30"/>
      <c r="E13" s="16">
        <v>0.08</v>
      </c>
      <c r="F13" s="16">
        <v>7.0000000000000007E-2</v>
      </c>
      <c r="G13" s="16">
        <v>0.06</v>
      </c>
      <c r="H13" s="16">
        <v>0.06</v>
      </c>
      <c r="I13" s="16">
        <v>0.05</v>
      </c>
      <c r="J13" s="16">
        <v>0.05</v>
      </c>
      <c r="K13" s="16">
        <v>0.04</v>
      </c>
      <c r="L13" s="16">
        <v>0.04</v>
      </c>
      <c r="M13" s="16">
        <v>0.03</v>
      </c>
      <c r="N13" s="16">
        <v>0.03</v>
      </c>
      <c r="O13" s="16">
        <v>0.03</v>
      </c>
      <c r="P13" s="16">
        <v>0.03</v>
      </c>
      <c r="Q13" s="16">
        <v>2.5000000000000001E-2</v>
      </c>
      <c r="R13" s="16">
        <v>2.5000000000000001E-2</v>
      </c>
      <c r="S13" s="16">
        <v>2.5000000000000001E-2</v>
      </c>
      <c r="T13" s="16">
        <v>0.02</v>
      </c>
      <c r="U13" s="16">
        <v>0.02</v>
      </c>
      <c r="V13" s="16">
        <v>0.02</v>
      </c>
      <c r="W13" s="16">
        <v>0.02</v>
      </c>
      <c r="X13" s="16">
        <v>0.02</v>
      </c>
    </row>
    <row r="14" spans="1:24" x14ac:dyDescent="0.3">
      <c r="A14" t="s">
        <v>63</v>
      </c>
      <c r="B14" s="399">
        <f>WACC!D44</f>
        <v>2.5000000000000001E-2</v>
      </c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</row>
    <row r="15" spans="1:24" ht="15" thickBot="1" x14ac:dyDescent="0.35">
      <c r="A15" s="164" t="s">
        <v>38</v>
      </c>
      <c r="B15" s="396">
        <f>WACC!B44</f>
        <v>0.10385357991614476</v>
      </c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</row>
    <row r="16" spans="1:24" ht="15" thickTop="1" x14ac:dyDescent="0.3">
      <c r="B16" s="222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</row>
    <row r="17" spans="1:24" x14ac:dyDescent="0.3">
      <c r="A17" s="92" t="s">
        <v>64</v>
      </c>
      <c r="B17" s="223"/>
      <c r="C17" s="102"/>
      <c r="D17" s="102"/>
      <c r="E17" s="102"/>
      <c r="F17" s="102"/>
      <c r="G17" s="102"/>
      <c r="H17" s="102"/>
      <c r="I17" s="102"/>
      <c r="J17" s="102"/>
      <c r="K17" s="102"/>
      <c r="L17" s="102"/>
      <c r="M17" s="102"/>
      <c r="N17" s="102"/>
      <c r="O17" s="102"/>
      <c r="P17" s="102"/>
      <c r="Q17" s="102"/>
      <c r="R17" s="102"/>
      <c r="S17" s="102"/>
      <c r="T17" s="102"/>
      <c r="U17" s="102"/>
      <c r="V17" s="102"/>
      <c r="W17" s="102"/>
      <c r="X17" s="102"/>
    </row>
    <row r="18" spans="1:24" x14ac:dyDescent="0.3">
      <c r="A18" t="s">
        <v>58</v>
      </c>
      <c r="B18" s="222"/>
      <c r="C18" s="30"/>
      <c r="D18" s="30"/>
      <c r="E18" s="16">
        <v>0.28000000000000003</v>
      </c>
      <c r="F18" s="16">
        <v>0.38</v>
      </c>
      <c r="G18" s="16">
        <v>0.45</v>
      </c>
      <c r="H18" s="16">
        <v>0.48</v>
      </c>
      <c r="I18" s="16">
        <v>0.45</v>
      </c>
      <c r="J18" s="16">
        <v>0.38</v>
      </c>
      <c r="K18" s="16">
        <v>0.32</v>
      </c>
      <c r="L18" s="16">
        <v>0.27</v>
      </c>
      <c r="M18" s="16">
        <v>0.22</v>
      </c>
      <c r="N18" s="16">
        <v>0.18</v>
      </c>
      <c r="O18" s="16">
        <v>0.16</v>
      </c>
      <c r="P18" s="16">
        <v>0.15</v>
      </c>
      <c r="Q18" s="16">
        <v>0.13</v>
      </c>
      <c r="R18" s="16">
        <v>0.12</v>
      </c>
      <c r="S18" s="16">
        <v>0.1</v>
      </c>
      <c r="T18" s="16">
        <v>0.09</v>
      </c>
      <c r="U18" s="16">
        <v>0.08</v>
      </c>
      <c r="V18" s="16">
        <v>7.0000000000000007E-2</v>
      </c>
      <c r="W18" s="16">
        <v>0.06</v>
      </c>
      <c r="X18" s="16">
        <v>0.05</v>
      </c>
    </row>
    <row r="19" spans="1:24" x14ac:dyDescent="0.3">
      <c r="A19" t="s">
        <v>59</v>
      </c>
      <c r="B19" s="222"/>
      <c r="C19" s="30"/>
      <c r="D19" s="30"/>
      <c r="E19" s="16">
        <v>-0.15</v>
      </c>
      <c r="F19" s="16">
        <v>0.02</v>
      </c>
      <c r="G19" s="16">
        <v>0.12</v>
      </c>
      <c r="H19" s="16">
        <v>0.22</v>
      </c>
      <c r="I19" s="16">
        <v>0.3</v>
      </c>
      <c r="J19" s="16">
        <v>0.36</v>
      </c>
      <c r="K19" s="16">
        <v>0.4</v>
      </c>
      <c r="L19" s="16">
        <v>0.43</v>
      </c>
      <c r="M19" s="16">
        <v>0.45</v>
      </c>
      <c r="N19" s="16">
        <v>0.46</v>
      </c>
      <c r="O19" s="16">
        <v>0.48</v>
      </c>
      <c r="P19" s="16">
        <v>0.5</v>
      </c>
      <c r="Q19" s="16">
        <v>0.51</v>
      </c>
      <c r="R19" s="16">
        <v>0.52</v>
      </c>
      <c r="S19" s="16">
        <v>0.53</v>
      </c>
      <c r="T19" s="16">
        <v>0.54</v>
      </c>
      <c r="U19" s="16">
        <v>0.55000000000000004</v>
      </c>
      <c r="V19" s="16">
        <v>0.56000000000000005</v>
      </c>
      <c r="W19" s="16">
        <v>0.56999999999999995</v>
      </c>
      <c r="X19" s="16">
        <v>0.57999999999999996</v>
      </c>
    </row>
    <row r="20" spans="1:24" x14ac:dyDescent="0.3">
      <c r="A20" t="s">
        <v>60</v>
      </c>
      <c r="B20" s="222"/>
      <c r="C20" s="30"/>
      <c r="D20" s="30"/>
      <c r="E20" s="16">
        <v>1.05</v>
      </c>
      <c r="F20" s="16">
        <v>0.9</v>
      </c>
      <c r="G20" s="16">
        <v>0.75</v>
      </c>
      <c r="H20" s="16">
        <v>0.62</v>
      </c>
      <c r="I20" s="16">
        <v>0.52</v>
      </c>
      <c r="J20" s="16">
        <v>0.44</v>
      </c>
      <c r="K20" s="16">
        <v>0.38</v>
      </c>
      <c r="L20" s="16">
        <v>0.33</v>
      </c>
      <c r="M20" s="16">
        <v>0.28999999999999998</v>
      </c>
      <c r="N20" s="16">
        <v>0.26</v>
      </c>
      <c r="O20" s="16">
        <v>0.24</v>
      </c>
      <c r="P20" s="16">
        <v>0.22</v>
      </c>
      <c r="Q20" s="16">
        <v>0.2</v>
      </c>
      <c r="R20" s="16">
        <v>0.19</v>
      </c>
      <c r="S20" s="16">
        <v>0.18</v>
      </c>
      <c r="T20" s="16">
        <v>0.17</v>
      </c>
      <c r="U20" s="16">
        <v>0.16</v>
      </c>
      <c r="V20" s="16">
        <v>0.16</v>
      </c>
      <c r="W20" s="16">
        <v>0.15</v>
      </c>
      <c r="X20" s="16">
        <v>0.15</v>
      </c>
    </row>
    <row r="21" spans="1:24" x14ac:dyDescent="0.3">
      <c r="A21" t="s">
        <v>61</v>
      </c>
      <c r="B21" s="222"/>
      <c r="C21" s="30"/>
      <c r="D21" s="30"/>
      <c r="E21" s="16">
        <v>3.2</v>
      </c>
      <c r="F21" s="16">
        <v>2.4</v>
      </c>
      <c r="G21" s="16">
        <v>1.8</v>
      </c>
      <c r="H21" s="16">
        <v>1.35</v>
      </c>
      <c r="I21" s="16">
        <v>1</v>
      </c>
      <c r="J21" s="16">
        <v>0.8</v>
      </c>
      <c r="K21" s="16">
        <v>0.65</v>
      </c>
      <c r="L21" s="16">
        <v>0.54</v>
      </c>
      <c r="M21" s="16">
        <v>0.46</v>
      </c>
      <c r="N21" s="16">
        <v>0.4</v>
      </c>
      <c r="O21" s="16">
        <v>0.36</v>
      </c>
      <c r="P21" s="16">
        <v>0.33</v>
      </c>
      <c r="Q21" s="16">
        <v>0.3</v>
      </c>
      <c r="R21" s="16">
        <v>0.27</v>
      </c>
      <c r="S21" s="16">
        <v>0.25</v>
      </c>
      <c r="T21" s="16">
        <v>0.22</v>
      </c>
      <c r="U21" s="16">
        <v>0.2</v>
      </c>
      <c r="V21" s="16">
        <v>0.18</v>
      </c>
      <c r="W21" s="16">
        <v>0.16</v>
      </c>
      <c r="X21" s="16">
        <v>0.15</v>
      </c>
    </row>
    <row r="22" spans="1:24" x14ac:dyDescent="0.3">
      <c r="A22" t="s">
        <v>62</v>
      </c>
      <c r="B22" s="222"/>
      <c r="C22" s="30"/>
      <c r="D22" s="30"/>
      <c r="E22" s="16">
        <v>0.06</v>
      </c>
      <c r="F22" s="16">
        <v>0.06</v>
      </c>
      <c r="G22" s="16">
        <v>0.05</v>
      </c>
      <c r="H22" s="16">
        <v>0.05</v>
      </c>
      <c r="I22" s="16">
        <v>0.04</v>
      </c>
      <c r="J22" s="16">
        <v>0.04</v>
      </c>
      <c r="K22" s="16">
        <v>0.03</v>
      </c>
      <c r="L22" s="16">
        <v>0.03</v>
      </c>
      <c r="M22" s="16">
        <v>0.03</v>
      </c>
      <c r="N22" s="16">
        <v>0.02</v>
      </c>
      <c r="O22" s="16">
        <v>0.02</v>
      </c>
      <c r="P22" s="16">
        <v>0.02</v>
      </c>
      <c r="Q22" s="16">
        <v>0.02</v>
      </c>
      <c r="R22" s="16">
        <v>1.7999999999999999E-2</v>
      </c>
      <c r="S22" s="16">
        <v>1.7999999999999999E-2</v>
      </c>
      <c r="T22" s="16">
        <v>1.4999999999999999E-2</v>
      </c>
      <c r="U22" s="16">
        <v>1.4999999999999999E-2</v>
      </c>
      <c r="V22" s="16">
        <v>1.4999999999999999E-2</v>
      </c>
      <c r="W22" s="16">
        <v>1.4999999999999999E-2</v>
      </c>
      <c r="X22" s="16">
        <v>1.4999999999999999E-2</v>
      </c>
    </row>
    <row r="23" spans="1:24" x14ac:dyDescent="0.3">
      <c r="A23" t="s">
        <v>63</v>
      </c>
      <c r="B23" s="399">
        <f>WACC!C44</f>
        <v>3.5000000000000003E-2</v>
      </c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</row>
    <row r="24" spans="1:24" ht="15" thickBot="1" x14ac:dyDescent="0.35">
      <c r="A24" s="164" t="s">
        <v>38</v>
      </c>
      <c r="B24" s="396">
        <f>WACC!B44</f>
        <v>0.10385357991614476</v>
      </c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</row>
    <row r="25" spans="1:24" ht="15" thickTop="1" x14ac:dyDescent="0.3">
      <c r="B25" s="222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</row>
    <row r="26" spans="1:24" x14ac:dyDescent="0.3">
      <c r="A26" s="92" t="s">
        <v>65</v>
      </c>
      <c r="B26" s="223"/>
      <c r="C26" s="102"/>
      <c r="D26" s="102"/>
      <c r="E26" s="102"/>
      <c r="F26" s="102"/>
      <c r="G26" s="102"/>
      <c r="H26" s="102"/>
      <c r="I26" s="102"/>
      <c r="J26" s="102"/>
      <c r="K26" s="102"/>
      <c r="L26" s="102"/>
      <c r="M26" s="102"/>
      <c r="N26" s="102"/>
      <c r="O26" s="102"/>
      <c r="P26" s="102"/>
      <c r="Q26" s="102"/>
      <c r="R26" s="102"/>
      <c r="S26" s="102"/>
      <c r="T26" s="102"/>
      <c r="U26" s="102"/>
      <c r="V26" s="102"/>
      <c r="W26" s="102"/>
      <c r="X26" s="102"/>
    </row>
    <row r="27" spans="1:24" x14ac:dyDescent="0.3">
      <c r="A27" t="s">
        <v>58</v>
      </c>
      <c r="B27" s="222"/>
      <c r="C27" s="30"/>
      <c r="D27" s="30"/>
      <c r="E27" s="16">
        <v>0.45</v>
      </c>
      <c r="F27" s="16">
        <v>0.6</v>
      </c>
      <c r="G27" s="16">
        <v>0.7</v>
      </c>
      <c r="H27" s="16">
        <v>0.7</v>
      </c>
      <c r="I27" s="16">
        <v>0.6</v>
      </c>
      <c r="J27" s="16">
        <v>0.5</v>
      </c>
      <c r="K27" s="16">
        <v>0.42</v>
      </c>
      <c r="L27" s="16">
        <v>0.35</v>
      </c>
      <c r="M27" s="16">
        <v>0.28000000000000003</v>
      </c>
      <c r="N27" s="16">
        <v>0.22</v>
      </c>
      <c r="O27" s="16">
        <v>0.2</v>
      </c>
      <c r="P27" s="16">
        <v>0.18</v>
      </c>
      <c r="Q27" s="16">
        <v>0.16</v>
      </c>
      <c r="R27" s="16">
        <v>0.14000000000000001</v>
      </c>
      <c r="S27" s="16">
        <v>0.12</v>
      </c>
      <c r="T27" s="16">
        <v>0.11</v>
      </c>
      <c r="U27" s="16">
        <v>0.1</v>
      </c>
      <c r="V27" s="16">
        <v>0.09</v>
      </c>
      <c r="W27" s="16">
        <v>7.0000000000000007E-2</v>
      </c>
      <c r="X27" s="16">
        <v>0.06</v>
      </c>
    </row>
    <row r="28" spans="1:24" x14ac:dyDescent="0.3">
      <c r="A28" t="s">
        <v>59</v>
      </c>
      <c r="B28" s="222"/>
      <c r="C28" s="30"/>
      <c r="D28" s="30"/>
      <c r="E28" s="16">
        <v>-0.1</v>
      </c>
      <c r="F28" s="16">
        <v>-0.05</v>
      </c>
      <c r="G28" s="16">
        <v>0.05</v>
      </c>
      <c r="H28" s="16">
        <v>0.12</v>
      </c>
      <c r="I28" s="16">
        <v>0.2</v>
      </c>
      <c r="J28" s="16">
        <v>0.28000000000000003</v>
      </c>
      <c r="K28" s="16">
        <v>0.35</v>
      </c>
      <c r="L28" s="16">
        <v>0.42</v>
      </c>
      <c r="M28" s="16">
        <v>0.48</v>
      </c>
      <c r="N28" s="16">
        <v>0.55000000000000004</v>
      </c>
      <c r="O28" s="16">
        <v>0.56999999999999995</v>
      </c>
      <c r="P28" s="16">
        <v>0.59</v>
      </c>
      <c r="Q28" s="16">
        <v>0.6</v>
      </c>
      <c r="R28" s="16">
        <v>0.61</v>
      </c>
      <c r="S28" s="16">
        <v>0.62</v>
      </c>
      <c r="T28" s="16">
        <v>0.63</v>
      </c>
      <c r="U28" s="16">
        <v>0.64</v>
      </c>
      <c r="V28" s="16">
        <v>0.65</v>
      </c>
      <c r="W28" s="16">
        <v>0.65</v>
      </c>
      <c r="X28" s="16">
        <v>0.66</v>
      </c>
    </row>
    <row r="29" spans="1:24" x14ac:dyDescent="0.3">
      <c r="A29" t="s">
        <v>60</v>
      </c>
      <c r="B29" s="222"/>
      <c r="C29" s="30"/>
      <c r="D29" s="30"/>
      <c r="E29" s="16">
        <v>0.95</v>
      </c>
      <c r="F29" s="16">
        <v>0.78</v>
      </c>
      <c r="G29" s="16">
        <v>0.63</v>
      </c>
      <c r="H29" s="16">
        <v>0.5</v>
      </c>
      <c r="I29" s="16">
        <v>0.4</v>
      </c>
      <c r="J29" s="16">
        <v>0.33</v>
      </c>
      <c r="K29" s="16">
        <v>0.28000000000000003</v>
      </c>
      <c r="L29" s="16">
        <v>0.24</v>
      </c>
      <c r="M29" s="16">
        <v>0.21</v>
      </c>
      <c r="N29" s="16">
        <v>0.19</v>
      </c>
      <c r="O29" s="16">
        <v>0.17</v>
      </c>
      <c r="P29" s="16">
        <v>0.16</v>
      </c>
      <c r="Q29" s="16">
        <v>0.15</v>
      </c>
      <c r="R29" s="16">
        <v>0.14000000000000001</v>
      </c>
      <c r="S29" s="16">
        <v>0.13</v>
      </c>
      <c r="T29" s="16">
        <v>0.12</v>
      </c>
      <c r="U29" s="16">
        <v>0.12</v>
      </c>
      <c r="V29" s="16">
        <v>0.11</v>
      </c>
      <c r="W29" s="16">
        <v>0.11</v>
      </c>
      <c r="X29" s="16">
        <v>0.1</v>
      </c>
    </row>
    <row r="30" spans="1:24" x14ac:dyDescent="0.3">
      <c r="A30" t="s">
        <v>61</v>
      </c>
      <c r="B30" s="222"/>
      <c r="C30" s="30"/>
      <c r="D30" s="30"/>
      <c r="E30" s="16">
        <v>2.9</v>
      </c>
      <c r="F30" s="16">
        <v>2.1</v>
      </c>
      <c r="G30" s="16">
        <v>1.55</v>
      </c>
      <c r="H30" s="16">
        <v>1.1499999999999999</v>
      </c>
      <c r="I30" s="16">
        <v>0.85</v>
      </c>
      <c r="J30" s="16">
        <v>0.68</v>
      </c>
      <c r="K30" s="16">
        <v>0.55000000000000004</v>
      </c>
      <c r="L30" s="16">
        <v>0.46</v>
      </c>
      <c r="M30" s="16">
        <v>0.39</v>
      </c>
      <c r="N30" s="16">
        <v>0.34</v>
      </c>
      <c r="O30" s="16">
        <v>0.3</v>
      </c>
      <c r="P30" s="16">
        <v>0.27</v>
      </c>
      <c r="Q30" s="16">
        <v>0.25</v>
      </c>
      <c r="R30" s="16">
        <v>0.22</v>
      </c>
      <c r="S30" s="16">
        <v>0.2</v>
      </c>
      <c r="T30" s="16">
        <v>0.18</v>
      </c>
      <c r="U30" s="16">
        <v>0.16</v>
      </c>
      <c r="V30" s="16">
        <v>0.15</v>
      </c>
      <c r="W30" s="16">
        <v>0.14000000000000001</v>
      </c>
      <c r="X30" s="16">
        <v>0.13</v>
      </c>
    </row>
    <row r="31" spans="1:24" x14ac:dyDescent="0.3">
      <c r="A31" t="s">
        <v>62</v>
      </c>
      <c r="B31" s="222"/>
      <c r="C31" s="30"/>
      <c r="D31" s="30"/>
      <c r="E31" s="16">
        <v>0.05</v>
      </c>
      <c r="F31" s="16">
        <v>0.05</v>
      </c>
      <c r="G31" s="16">
        <v>0.04</v>
      </c>
      <c r="H31" s="16">
        <v>0.04</v>
      </c>
      <c r="I31" s="16">
        <v>0.03</v>
      </c>
      <c r="J31" s="16">
        <v>0.03</v>
      </c>
      <c r="K31" s="16">
        <v>0.03</v>
      </c>
      <c r="L31" s="16">
        <v>0.02</v>
      </c>
      <c r="M31" s="16">
        <v>0.02</v>
      </c>
      <c r="N31" s="16">
        <v>0.02</v>
      </c>
      <c r="O31" s="16">
        <v>0.02</v>
      </c>
      <c r="P31" s="16">
        <v>1.7999999999999999E-2</v>
      </c>
      <c r="Q31" s="16">
        <v>1.7999999999999999E-2</v>
      </c>
      <c r="R31" s="16">
        <v>1.4999999999999999E-2</v>
      </c>
      <c r="S31" s="16">
        <v>1.4999999999999999E-2</v>
      </c>
      <c r="T31" s="16">
        <v>1.4999999999999999E-2</v>
      </c>
      <c r="U31" s="16">
        <v>1.2E-2</v>
      </c>
      <c r="V31" s="16">
        <v>1.2E-2</v>
      </c>
      <c r="W31" s="16">
        <v>1.2E-2</v>
      </c>
      <c r="X31" s="16">
        <v>1.2E-2</v>
      </c>
    </row>
    <row r="32" spans="1:24" x14ac:dyDescent="0.3">
      <c r="A32" t="s">
        <v>63</v>
      </c>
      <c r="B32" s="399">
        <f>WACC!E44</f>
        <v>0.04</v>
      </c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</row>
    <row r="33" spans="1:24" ht="15" thickBot="1" x14ac:dyDescent="0.35">
      <c r="A33" s="164" t="s">
        <v>38</v>
      </c>
      <c r="B33" s="396">
        <f>WACC!B44</f>
        <v>0.10385357991614476</v>
      </c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</row>
    <row r="34" spans="1:24" ht="15" thickTop="1" x14ac:dyDescent="0.3">
      <c r="B34" s="222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</row>
    <row r="35" spans="1:24" x14ac:dyDescent="0.3">
      <c r="A35" s="92" t="s">
        <v>99</v>
      </c>
      <c r="B35" s="223"/>
      <c r="C35" s="102"/>
      <c r="D35" s="102"/>
      <c r="E35" s="102"/>
      <c r="F35" s="102"/>
      <c r="G35" s="102"/>
      <c r="H35" s="102"/>
      <c r="I35" s="102"/>
      <c r="J35" s="102"/>
      <c r="K35" s="102"/>
      <c r="L35" s="102"/>
      <c r="M35" s="102"/>
      <c r="N35" s="102"/>
      <c r="O35" s="102"/>
      <c r="P35" s="102"/>
      <c r="Q35" s="102"/>
      <c r="R35" s="102"/>
      <c r="S35" s="102"/>
      <c r="T35" s="102"/>
      <c r="U35" s="102"/>
      <c r="V35" s="102"/>
      <c r="W35" s="102"/>
      <c r="X35" s="102"/>
    </row>
    <row r="36" spans="1:24" x14ac:dyDescent="0.3">
      <c r="A36" t="s">
        <v>58</v>
      </c>
      <c r="B36" s="222"/>
      <c r="C36" s="15"/>
      <c r="D36" s="15"/>
      <c r="E36" s="29">
        <f t="shared" ref="E36:X36" si="0">IF($B$5=1,E9,IF($B$5=2,E18,E27))</f>
        <v>0.28000000000000003</v>
      </c>
      <c r="F36" s="29">
        <f t="shared" si="0"/>
        <v>0.38</v>
      </c>
      <c r="G36" s="29">
        <f t="shared" si="0"/>
        <v>0.45</v>
      </c>
      <c r="H36" s="29">
        <f t="shared" si="0"/>
        <v>0.48</v>
      </c>
      <c r="I36" s="29">
        <f t="shared" si="0"/>
        <v>0.45</v>
      </c>
      <c r="J36" s="29">
        <f t="shared" si="0"/>
        <v>0.38</v>
      </c>
      <c r="K36" s="29">
        <f t="shared" si="0"/>
        <v>0.32</v>
      </c>
      <c r="L36" s="29">
        <f t="shared" si="0"/>
        <v>0.27</v>
      </c>
      <c r="M36" s="29">
        <f t="shared" si="0"/>
        <v>0.22</v>
      </c>
      <c r="N36" s="29">
        <f t="shared" si="0"/>
        <v>0.18</v>
      </c>
      <c r="O36" s="29">
        <f t="shared" si="0"/>
        <v>0.16</v>
      </c>
      <c r="P36" s="29">
        <f t="shared" si="0"/>
        <v>0.15</v>
      </c>
      <c r="Q36" s="29">
        <f t="shared" si="0"/>
        <v>0.13</v>
      </c>
      <c r="R36" s="29">
        <f t="shared" si="0"/>
        <v>0.12</v>
      </c>
      <c r="S36" s="29">
        <f t="shared" si="0"/>
        <v>0.1</v>
      </c>
      <c r="T36" s="29">
        <f t="shared" si="0"/>
        <v>0.09</v>
      </c>
      <c r="U36" s="29">
        <f t="shared" si="0"/>
        <v>0.08</v>
      </c>
      <c r="V36" s="29">
        <f t="shared" si="0"/>
        <v>7.0000000000000007E-2</v>
      </c>
      <c r="W36" s="29">
        <f t="shared" si="0"/>
        <v>0.06</v>
      </c>
      <c r="X36" s="29">
        <f t="shared" si="0"/>
        <v>0.05</v>
      </c>
    </row>
    <row r="37" spans="1:24" x14ac:dyDescent="0.3">
      <c r="A37" t="s">
        <v>59</v>
      </c>
      <c r="B37" s="222"/>
      <c r="C37" s="15"/>
      <c r="D37" s="15"/>
      <c r="E37" s="29">
        <f t="shared" ref="E37:X37" si="1">IF($B$5=1,E10,IF($B$5=2,E19,E28))</f>
        <v>-0.15</v>
      </c>
      <c r="F37" s="29">
        <f t="shared" si="1"/>
        <v>0.02</v>
      </c>
      <c r="G37" s="29">
        <f t="shared" si="1"/>
        <v>0.12</v>
      </c>
      <c r="H37" s="29">
        <f t="shared" si="1"/>
        <v>0.22</v>
      </c>
      <c r="I37" s="29">
        <f t="shared" si="1"/>
        <v>0.3</v>
      </c>
      <c r="J37" s="29">
        <f t="shared" si="1"/>
        <v>0.36</v>
      </c>
      <c r="K37" s="29">
        <f t="shared" si="1"/>
        <v>0.4</v>
      </c>
      <c r="L37" s="29">
        <f t="shared" si="1"/>
        <v>0.43</v>
      </c>
      <c r="M37" s="29">
        <f t="shared" si="1"/>
        <v>0.45</v>
      </c>
      <c r="N37" s="29">
        <f t="shared" si="1"/>
        <v>0.46</v>
      </c>
      <c r="O37" s="29">
        <f t="shared" si="1"/>
        <v>0.48</v>
      </c>
      <c r="P37" s="29">
        <f t="shared" si="1"/>
        <v>0.5</v>
      </c>
      <c r="Q37" s="29">
        <f t="shared" si="1"/>
        <v>0.51</v>
      </c>
      <c r="R37" s="29">
        <f t="shared" si="1"/>
        <v>0.52</v>
      </c>
      <c r="S37" s="29">
        <f t="shared" si="1"/>
        <v>0.53</v>
      </c>
      <c r="T37" s="29">
        <f t="shared" si="1"/>
        <v>0.54</v>
      </c>
      <c r="U37" s="29">
        <f t="shared" si="1"/>
        <v>0.55000000000000004</v>
      </c>
      <c r="V37" s="29">
        <f t="shared" si="1"/>
        <v>0.56000000000000005</v>
      </c>
      <c r="W37" s="29">
        <f t="shared" si="1"/>
        <v>0.56999999999999995</v>
      </c>
      <c r="X37" s="29">
        <f t="shared" si="1"/>
        <v>0.57999999999999996</v>
      </c>
    </row>
    <row r="38" spans="1:24" x14ac:dyDescent="0.3">
      <c r="A38" t="s">
        <v>60</v>
      </c>
      <c r="B38" s="222"/>
      <c r="C38" s="15"/>
      <c r="D38" s="15"/>
      <c r="E38" s="29">
        <f t="shared" ref="E38:X38" si="2">IF($B$5=1,E11,IF($B$5=2,E20,E29))</f>
        <v>1.05</v>
      </c>
      <c r="F38" s="29">
        <f t="shared" si="2"/>
        <v>0.9</v>
      </c>
      <c r="G38" s="29">
        <f t="shared" si="2"/>
        <v>0.75</v>
      </c>
      <c r="H38" s="29">
        <f t="shared" si="2"/>
        <v>0.62</v>
      </c>
      <c r="I38" s="29">
        <f t="shared" si="2"/>
        <v>0.52</v>
      </c>
      <c r="J38" s="29">
        <f t="shared" si="2"/>
        <v>0.44</v>
      </c>
      <c r="K38" s="29">
        <f t="shared" si="2"/>
        <v>0.38</v>
      </c>
      <c r="L38" s="29">
        <f t="shared" si="2"/>
        <v>0.33</v>
      </c>
      <c r="M38" s="29">
        <f t="shared" si="2"/>
        <v>0.28999999999999998</v>
      </c>
      <c r="N38" s="29">
        <f t="shared" si="2"/>
        <v>0.26</v>
      </c>
      <c r="O38" s="29">
        <f t="shared" si="2"/>
        <v>0.24</v>
      </c>
      <c r="P38" s="29">
        <f t="shared" si="2"/>
        <v>0.22</v>
      </c>
      <c r="Q38" s="29">
        <f t="shared" si="2"/>
        <v>0.2</v>
      </c>
      <c r="R38" s="29">
        <f t="shared" si="2"/>
        <v>0.19</v>
      </c>
      <c r="S38" s="29">
        <f t="shared" si="2"/>
        <v>0.18</v>
      </c>
      <c r="T38" s="29">
        <f t="shared" si="2"/>
        <v>0.17</v>
      </c>
      <c r="U38" s="29">
        <f t="shared" si="2"/>
        <v>0.16</v>
      </c>
      <c r="V38" s="29">
        <f t="shared" si="2"/>
        <v>0.16</v>
      </c>
      <c r="W38" s="29">
        <f t="shared" si="2"/>
        <v>0.15</v>
      </c>
      <c r="X38" s="29">
        <f t="shared" si="2"/>
        <v>0.15</v>
      </c>
    </row>
    <row r="39" spans="1:24" x14ac:dyDescent="0.3">
      <c r="A39" t="s">
        <v>61</v>
      </c>
      <c r="B39" s="222"/>
      <c r="C39" s="15"/>
      <c r="D39" s="15"/>
      <c r="E39" s="29">
        <f t="shared" ref="E39:X39" si="3">IF($B$5=1,E12,IF($B$5=2,E21,E30))</f>
        <v>3.2</v>
      </c>
      <c r="F39" s="29">
        <f t="shared" si="3"/>
        <v>2.4</v>
      </c>
      <c r="G39" s="29">
        <f t="shared" si="3"/>
        <v>1.8</v>
      </c>
      <c r="H39" s="29">
        <f t="shared" si="3"/>
        <v>1.35</v>
      </c>
      <c r="I39" s="29">
        <f t="shared" si="3"/>
        <v>1</v>
      </c>
      <c r="J39" s="29">
        <f t="shared" si="3"/>
        <v>0.8</v>
      </c>
      <c r="K39" s="29">
        <f t="shared" si="3"/>
        <v>0.65</v>
      </c>
      <c r="L39" s="29">
        <f t="shared" si="3"/>
        <v>0.54</v>
      </c>
      <c r="M39" s="29">
        <f t="shared" si="3"/>
        <v>0.46</v>
      </c>
      <c r="N39" s="29">
        <f t="shared" si="3"/>
        <v>0.4</v>
      </c>
      <c r="O39" s="29">
        <f t="shared" si="3"/>
        <v>0.36</v>
      </c>
      <c r="P39" s="29">
        <f t="shared" si="3"/>
        <v>0.33</v>
      </c>
      <c r="Q39" s="29">
        <f t="shared" si="3"/>
        <v>0.3</v>
      </c>
      <c r="R39" s="29">
        <f t="shared" si="3"/>
        <v>0.27</v>
      </c>
      <c r="S39" s="29">
        <f t="shared" si="3"/>
        <v>0.25</v>
      </c>
      <c r="T39" s="29">
        <f t="shared" si="3"/>
        <v>0.22</v>
      </c>
      <c r="U39" s="29">
        <f t="shared" si="3"/>
        <v>0.2</v>
      </c>
      <c r="V39" s="29">
        <f t="shared" si="3"/>
        <v>0.18</v>
      </c>
      <c r="W39" s="29">
        <f t="shared" si="3"/>
        <v>0.16</v>
      </c>
      <c r="X39" s="29">
        <f t="shared" si="3"/>
        <v>0.15</v>
      </c>
    </row>
    <row r="40" spans="1:24" x14ac:dyDescent="0.3">
      <c r="A40" t="s">
        <v>62</v>
      </c>
      <c r="B40" s="222"/>
      <c r="C40" s="15"/>
      <c r="D40" s="15"/>
      <c r="E40" s="29">
        <f t="shared" ref="E40:X40" si="4">IF($B$5=1,E13,IF($B$5=2,E22,E31))</f>
        <v>0.06</v>
      </c>
      <c r="F40" s="29">
        <f t="shared" si="4"/>
        <v>0.06</v>
      </c>
      <c r="G40" s="29">
        <f t="shared" si="4"/>
        <v>0.05</v>
      </c>
      <c r="H40" s="29">
        <f t="shared" si="4"/>
        <v>0.05</v>
      </c>
      <c r="I40" s="29">
        <f t="shared" si="4"/>
        <v>0.04</v>
      </c>
      <c r="J40" s="29">
        <f t="shared" si="4"/>
        <v>0.04</v>
      </c>
      <c r="K40" s="29">
        <f t="shared" si="4"/>
        <v>0.03</v>
      </c>
      <c r="L40" s="29">
        <f t="shared" si="4"/>
        <v>0.03</v>
      </c>
      <c r="M40" s="29">
        <f t="shared" si="4"/>
        <v>0.03</v>
      </c>
      <c r="N40" s="29">
        <f t="shared" si="4"/>
        <v>0.02</v>
      </c>
      <c r="O40" s="29">
        <f t="shared" si="4"/>
        <v>0.02</v>
      </c>
      <c r="P40" s="29">
        <f t="shared" si="4"/>
        <v>0.02</v>
      </c>
      <c r="Q40" s="29">
        <f t="shared" si="4"/>
        <v>0.02</v>
      </c>
      <c r="R40" s="29">
        <f t="shared" si="4"/>
        <v>1.7999999999999999E-2</v>
      </c>
      <c r="S40" s="29">
        <f t="shared" si="4"/>
        <v>1.7999999999999999E-2</v>
      </c>
      <c r="T40" s="29">
        <f t="shared" si="4"/>
        <v>1.4999999999999999E-2</v>
      </c>
      <c r="U40" s="29">
        <f t="shared" si="4"/>
        <v>1.4999999999999999E-2</v>
      </c>
      <c r="V40" s="29">
        <f t="shared" si="4"/>
        <v>1.4999999999999999E-2</v>
      </c>
      <c r="W40" s="29">
        <f t="shared" si="4"/>
        <v>1.4999999999999999E-2</v>
      </c>
      <c r="X40" s="29">
        <f t="shared" si="4"/>
        <v>1.4999999999999999E-2</v>
      </c>
    </row>
    <row r="41" spans="1:24" x14ac:dyDescent="0.3">
      <c r="A41" t="s">
        <v>63</v>
      </c>
      <c r="B41" s="393">
        <f>IF($B$5=1,B14,IF($B$5=2,B23,B32))</f>
        <v>3.5000000000000003E-2</v>
      </c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</row>
    <row r="42" spans="1:24" x14ac:dyDescent="0.3">
      <c r="A42" t="s">
        <v>38</v>
      </c>
      <c r="B42" s="393">
        <f>IF($B$5=1,B15,IF($B$5=2,B24,B33))</f>
        <v>0.10385357991614476</v>
      </c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</row>
    <row r="43" spans="1:24" ht="15" thickBot="1" x14ac:dyDescent="0.35">
      <c r="A43" s="164" t="s">
        <v>757</v>
      </c>
      <c r="B43" s="25">
        <f>AVERAGE(E77:X77)</f>
        <v>0.13727693161442828</v>
      </c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</row>
    <row r="44" spans="1:24" ht="15" thickTop="1" x14ac:dyDescent="0.3">
      <c r="B44" s="221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</row>
    <row r="45" spans="1:24" x14ac:dyDescent="0.3">
      <c r="A45" s="92" t="s">
        <v>879</v>
      </c>
      <c r="B45" s="102"/>
      <c r="C45" s="102"/>
      <c r="D45" s="102"/>
      <c r="E45" s="102"/>
      <c r="F45" s="102"/>
      <c r="G45" s="102"/>
      <c r="H45" s="102"/>
      <c r="I45" s="102"/>
      <c r="J45" s="102"/>
      <c r="K45" s="102"/>
      <c r="L45" s="102"/>
      <c r="M45" s="102"/>
      <c r="N45" s="102"/>
      <c r="O45" s="102"/>
      <c r="P45" s="102"/>
      <c r="Q45" s="102"/>
      <c r="R45" s="102"/>
      <c r="S45" s="102"/>
      <c r="T45" s="102"/>
      <c r="U45" s="102"/>
      <c r="V45" s="102"/>
      <c r="W45" s="102"/>
      <c r="X45" s="102"/>
    </row>
    <row r="46" spans="1:24" x14ac:dyDescent="0.3">
      <c r="A46" s="1" t="s">
        <v>67</v>
      </c>
      <c r="B46" s="537">
        <f>Actuals!B10</f>
        <v>2961</v>
      </c>
      <c r="C46" s="537">
        <f>Actuals!C10</f>
        <v>2620</v>
      </c>
      <c r="D46" s="537">
        <f>Actuals!D10</f>
        <v>3201</v>
      </c>
      <c r="E46" s="411">
        <f t="shared" ref="E46:X46" si="5">D46*(1+E36)</f>
        <v>4097.28</v>
      </c>
      <c r="F46" s="411">
        <f t="shared" si="5"/>
        <v>5654.2463999999991</v>
      </c>
      <c r="G46" s="411">
        <f t="shared" si="5"/>
        <v>8198.6572799999976</v>
      </c>
      <c r="H46" s="411">
        <f t="shared" si="5"/>
        <v>12134.012774399996</v>
      </c>
      <c r="I46" s="411">
        <f t="shared" si="5"/>
        <v>17594.318522879996</v>
      </c>
      <c r="J46" s="411">
        <f t="shared" si="5"/>
        <v>24280.159561574394</v>
      </c>
      <c r="K46" s="411">
        <f t="shared" si="5"/>
        <v>32049.8106212782</v>
      </c>
      <c r="L46" s="411">
        <f t="shared" si="5"/>
        <v>40703.259489023316</v>
      </c>
      <c r="M46" s="411">
        <f t="shared" si="5"/>
        <v>49657.976576608446</v>
      </c>
      <c r="N46" s="411">
        <f t="shared" si="5"/>
        <v>58596.412360397961</v>
      </c>
      <c r="O46" s="411">
        <f t="shared" si="5"/>
        <v>67971.838338061629</v>
      </c>
      <c r="P46" s="411">
        <f t="shared" si="5"/>
        <v>78167.614088770861</v>
      </c>
      <c r="Q46" s="411">
        <f t="shared" si="5"/>
        <v>88329.403920311059</v>
      </c>
      <c r="R46" s="411">
        <f t="shared" si="5"/>
        <v>98928.932390748392</v>
      </c>
      <c r="S46" s="411">
        <f t="shared" si="5"/>
        <v>108821.82562982324</v>
      </c>
      <c r="T46" s="411">
        <f t="shared" si="5"/>
        <v>118615.78993650734</v>
      </c>
      <c r="U46" s="411">
        <f t="shared" si="5"/>
        <v>128105.05313142794</v>
      </c>
      <c r="V46" s="411">
        <f t="shared" si="5"/>
        <v>137072.40685062789</v>
      </c>
      <c r="W46" s="411">
        <f t="shared" si="5"/>
        <v>145296.75126166557</v>
      </c>
      <c r="X46" s="411">
        <f t="shared" si="5"/>
        <v>152561.58882474885</v>
      </c>
    </row>
    <row r="47" spans="1:24" x14ac:dyDescent="0.3">
      <c r="A47" t="s">
        <v>68</v>
      </c>
      <c r="B47" s="33"/>
      <c r="C47" s="50">
        <f t="shared" ref="C47:N47" si="6">C46/B46-1</f>
        <v>-0.11516379601485982</v>
      </c>
      <c r="D47" s="50">
        <f t="shared" si="6"/>
        <v>0.22175572519083975</v>
      </c>
      <c r="E47" s="29">
        <f t="shared" si="6"/>
        <v>0.28000000000000003</v>
      </c>
      <c r="F47" s="29">
        <f t="shared" si="6"/>
        <v>0.37999999999999989</v>
      </c>
      <c r="G47" s="29">
        <f t="shared" si="6"/>
        <v>0.44999999999999973</v>
      </c>
      <c r="H47" s="29">
        <f t="shared" si="6"/>
        <v>0.48</v>
      </c>
      <c r="I47" s="29">
        <f t="shared" si="6"/>
        <v>0.45000000000000018</v>
      </c>
      <c r="J47" s="29">
        <f t="shared" si="6"/>
        <v>0.37999999999999989</v>
      </c>
      <c r="K47" s="29">
        <f t="shared" si="6"/>
        <v>0.32000000000000006</v>
      </c>
      <c r="L47" s="29">
        <f t="shared" si="6"/>
        <v>0.27</v>
      </c>
      <c r="M47" s="29">
        <f t="shared" si="6"/>
        <v>0.21999999999999997</v>
      </c>
      <c r="N47" s="29">
        <f t="shared" si="6"/>
        <v>0.17999999999999994</v>
      </c>
      <c r="O47" s="29">
        <f t="shared" ref="O47:X47" si="7">O46/N46-1</f>
        <v>0.15999999999999992</v>
      </c>
      <c r="P47" s="29">
        <f t="shared" si="7"/>
        <v>0.14999999999999991</v>
      </c>
      <c r="Q47" s="29">
        <f t="shared" si="7"/>
        <v>0.12999999999999989</v>
      </c>
      <c r="R47" s="29">
        <f t="shared" si="7"/>
        <v>0.12000000000000011</v>
      </c>
      <c r="S47" s="29">
        <f t="shared" si="7"/>
        <v>0.10000000000000009</v>
      </c>
      <c r="T47" s="29">
        <f t="shared" si="7"/>
        <v>9.000000000000008E-2</v>
      </c>
      <c r="U47" s="29">
        <f t="shared" si="7"/>
        <v>8.0000000000000071E-2</v>
      </c>
      <c r="V47" s="29">
        <f t="shared" si="7"/>
        <v>7.0000000000000062E-2</v>
      </c>
      <c r="W47" s="29">
        <f t="shared" si="7"/>
        <v>6.0000000000000053E-2</v>
      </c>
      <c r="X47" s="29">
        <f t="shared" si="7"/>
        <v>5.0000000000000044E-2</v>
      </c>
    </row>
    <row r="48" spans="1:24" x14ac:dyDescent="0.3">
      <c r="A48" s="1" t="s">
        <v>69</v>
      </c>
      <c r="B48" s="537">
        <f>Actuals!B13</f>
        <v>1222</v>
      </c>
      <c r="C48" s="537">
        <f>Actuals!C13</f>
        <v>347</v>
      </c>
      <c r="D48" s="537">
        <f>Actuals!D13</f>
        <v>-1237</v>
      </c>
      <c r="E48" s="411">
        <f t="shared" ref="E48:X48" si="8">E46*E37</f>
        <v>-614.59199999999998</v>
      </c>
      <c r="F48" s="411">
        <f t="shared" si="8"/>
        <v>113.08492799999999</v>
      </c>
      <c r="G48" s="411">
        <f t="shared" si="8"/>
        <v>983.83887359999972</v>
      </c>
      <c r="H48" s="411">
        <f t="shared" si="8"/>
        <v>2669.4828103679993</v>
      </c>
      <c r="I48" s="411">
        <f t="shared" si="8"/>
        <v>5278.2955568639982</v>
      </c>
      <c r="J48" s="411">
        <f t="shared" si="8"/>
        <v>8740.8574421667818</v>
      </c>
      <c r="K48" s="411">
        <f t="shared" si="8"/>
        <v>12819.924248511281</v>
      </c>
      <c r="L48" s="411">
        <f t="shared" si="8"/>
        <v>17502.401580280024</v>
      </c>
      <c r="M48" s="411">
        <f t="shared" si="8"/>
        <v>22346.089459473802</v>
      </c>
      <c r="N48" s="411">
        <f t="shared" si="8"/>
        <v>26954.349685783061</v>
      </c>
      <c r="O48" s="411">
        <f t="shared" si="8"/>
        <v>32626.482402269579</v>
      </c>
      <c r="P48" s="411">
        <f t="shared" si="8"/>
        <v>39083.80704438543</v>
      </c>
      <c r="Q48" s="411">
        <f t="shared" si="8"/>
        <v>45047.995999358638</v>
      </c>
      <c r="R48" s="411">
        <f t="shared" si="8"/>
        <v>51443.044843189164</v>
      </c>
      <c r="S48" s="411">
        <f t="shared" si="8"/>
        <v>57675.567583806325</v>
      </c>
      <c r="T48" s="411">
        <f t="shared" si="8"/>
        <v>64052.526565713968</v>
      </c>
      <c r="U48" s="411">
        <f t="shared" si="8"/>
        <v>70457.779222285375</v>
      </c>
      <c r="V48" s="411">
        <f t="shared" si="8"/>
        <v>76760.54783635163</v>
      </c>
      <c r="W48" s="411">
        <f t="shared" si="8"/>
        <v>82819.148219149371</v>
      </c>
      <c r="X48" s="411">
        <f t="shared" si="8"/>
        <v>88485.72151835433</v>
      </c>
    </row>
    <row r="49" spans="1:24" x14ac:dyDescent="0.3">
      <c r="A49" t="s">
        <v>70</v>
      </c>
      <c r="B49" s="50">
        <f t="shared" ref="B49:N49" si="9">B48/B46</f>
        <v>0.41269841269841268</v>
      </c>
      <c r="C49" s="50">
        <f t="shared" si="9"/>
        <v>0.13244274809160306</v>
      </c>
      <c r="D49" s="50">
        <f t="shared" si="9"/>
        <v>-0.38644173695720085</v>
      </c>
      <c r="E49" s="29">
        <f t="shared" si="9"/>
        <v>-0.15</v>
      </c>
      <c r="F49" s="29">
        <f t="shared" si="9"/>
        <v>0.02</v>
      </c>
      <c r="G49" s="29">
        <f t="shared" si="9"/>
        <v>0.12</v>
      </c>
      <c r="H49" s="29">
        <f t="shared" si="9"/>
        <v>0.22</v>
      </c>
      <c r="I49" s="29">
        <f t="shared" si="9"/>
        <v>0.3</v>
      </c>
      <c r="J49" s="29">
        <f t="shared" si="9"/>
        <v>0.36</v>
      </c>
      <c r="K49" s="29">
        <f t="shared" si="9"/>
        <v>0.4</v>
      </c>
      <c r="L49" s="29">
        <f t="shared" si="9"/>
        <v>0.42999999999999994</v>
      </c>
      <c r="M49" s="29">
        <f t="shared" si="9"/>
        <v>0.45</v>
      </c>
      <c r="N49" s="29">
        <f t="shared" si="9"/>
        <v>0.46</v>
      </c>
      <c r="O49" s="29">
        <f t="shared" ref="O49:X49" si="10">O48/O46</f>
        <v>0.48</v>
      </c>
      <c r="P49" s="29">
        <f t="shared" si="10"/>
        <v>0.5</v>
      </c>
      <c r="Q49" s="29">
        <f t="shared" si="10"/>
        <v>0.51</v>
      </c>
      <c r="R49" s="29">
        <f t="shared" si="10"/>
        <v>0.52</v>
      </c>
      <c r="S49" s="29">
        <f t="shared" si="10"/>
        <v>0.53</v>
      </c>
      <c r="T49" s="29">
        <f t="shared" si="10"/>
        <v>0.54</v>
      </c>
      <c r="U49" s="29">
        <f t="shared" si="10"/>
        <v>0.55000000000000004</v>
      </c>
      <c r="V49" s="29">
        <f t="shared" si="10"/>
        <v>0.56000000000000005</v>
      </c>
      <c r="W49" s="29">
        <f t="shared" si="10"/>
        <v>0.56999999999999995</v>
      </c>
      <c r="X49" s="29">
        <f t="shared" si="10"/>
        <v>0.57999999999999996</v>
      </c>
    </row>
    <row r="50" spans="1:24" x14ac:dyDescent="0.3">
      <c r="A50" t="s">
        <v>71</v>
      </c>
      <c r="B50" s="49">
        <f>Actuals!B16</f>
        <v>1180</v>
      </c>
      <c r="C50" s="49">
        <f>Actuals!C16</f>
        <v>1679</v>
      </c>
      <c r="D50" s="49">
        <f>Actuals!D16</f>
        <v>3568</v>
      </c>
      <c r="E50" s="78">
        <f t="shared" ref="E50:X50" si="11">E46*E38</f>
        <v>4302.1440000000002</v>
      </c>
      <c r="F50" s="78">
        <f t="shared" si="11"/>
        <v>5088.8217599999989</v>
      </c>
      <c r="G50" s="78">
        <f t="shared" si="11"/>
        <v>6148.9929599999978</v>
      </c>
      <c r="H50" s="78">
        <f t="shared" si="11"/>
        <v>7523.0879201279977</v>
      </c>
      <c r="I50" s="78">
        <f t="shared" si="11"/>
        <v>9149.0456318975976</v>
      </c>
      <c r="J50" s="78">
        <f t="shared" si="11"/>
        <v>10683.270207092733</v>
      </c>
      <c r="K50" s="78">
        <f t="shared" si="11"/>
        <v>12178.928036085716</v>
      </c>
      <c r="L50" s="78">
        <f t="shared" si="11"/>
        <v>13432.075631377695</v>
      </c>
      <c r="M50" s="78">
        <f t="shared" si="11"/>
        <v>14400.813207216448</v>
      </c>
      <c r="N50" s="78">
        <f t="shared" si="11"/>
        <v>15235.067213703471</v>
      </c>
      <c r="O50" s="78">
        <f t="shared" si="11"/>
        <v>16313.24120113479</v>
      </c>
      <c r="P50" s="78">
        <f t="shared" si="11"/>
        <v>17196.875099529589</v>
      </c>
      <c r="Q50" s="78">
        <f t="shared" si="11"/>
        <v>17665.880784062214</v>
      </c>
      <c r="R50" s="78">
        <f t="shared" si="11"/>
        <v>18796.497154242195</v>
      </c>
      <c r="S50" s="78">
        <f t="shared" si="11"/>
        <v>19587.928613368182</v>
      </c>
      <c r="T50" s="78">
        <f t="shared" si="11"/>
        <v>20164.684289206249</v>
      </c>
      <c r="U50" s="78">
        <f t="shared" si="11"/>
        <v>20496.80850102847</v>
      </c>
      <c r="V50" s="78">
        <f t="shared" si="11"/>
        <v>21931.585096100462</v>
      </c>
      <c r="W50" s="78">
        <f t="shared" si="11"/>
        <v>21794.512689249834</v>
      </c>
      <c r="X50" s="78">
        <f t="shared" si="11"/>
        <v>22884.238323712325</v>
      </c>
    </row>
    <row r="51" spans="1:24" x14ac:dyDescent="0.3">
      <c r="A51" s="1" t="s">
        <v>72</v>
      </c>
      <c r="B51" s="538">
        <f t="shared" ref="B51:N51" si="12">B48-B50</f>
        <v>42</v>
      </c>
      <c r="C51" s="538">
        <f t="shared" si="12"/>
        <v>-1332</v>
      </c>
      <c r="D51" s="538">
        <f t="shared" si="12"/>
        <v>-4805</v>
      </c>
      <c r="E51" s="411">
        <f t="shared" si="12"/>
        <v>-4916.7359999999999</v>
      </c>
      <c r="F51" s="411">
        <f t="shared" si="12"/>
        <v>-4975.7368319999987</v>
      </c>
      <c r="G51" s="411">
        <f t="shared" si="12"/>
        <v>-5165.1540863999981</v>
      </c>
      <c r="H51" s="411">
        <f t="shared" si="12"/>
        <v>-4853.6051097599984</v>
      </c>
      <c r="I51" s="411">
        <f t="shared" si="12"/>
        <v>-3870.7500750335994</v>
      </c>
      <c r="J51" s="411">
        <f t="shared" si="12"/>
        <v>-1942.4127649259517</v>
      </c>
      <c r="K51" s="411">
        <f t="shared" si="12"/>
        <v>640.99621242556532</v>
      </c>
      <c r="L51" s="411">
        <f t="shared" si="12"/>
        <v>4070.3259489023294</v>
      </c>
      <c r="M51" s="411">
        <f t="shared" si="12"/>
        <v>7945.2762522573539</v>
      </c>
      <c r="N51" s="411">
        <f t="shared" si="12"/>
        <v>11719.282472079591</v>
      </c>
      <c r="O51" s="411">
        <f t="shared" ref="O51:X51" si="13">O48-O50</f>
        <v>16313.24120113479</v>
      </c>
      <c r="P51" s="411">
        <f t="shared" si="13"/>
        <v>21886.931944855842</v>
      </c>
      <c r="Q51" s="411">
        <f t="shared" si="13"/>
        <v>27382.115215296424</v>
      </c>
      <c r="R51" s="411">
        <f t="shared" si="13"/>
        <v>32646.547688946968</v>
      </c>
      <c r="S51" s="411">
        <f t="shared" si="13"/>
        <v>38087.638970438144</v>
      </c>
      <c r="T51" s="411">
        <f t="shared" si="13"/>
        <v>43887.842276507719</v>
      </c>
      <c r="U51" s="411">
        <f t="shared" si="13"/>
        <v>49960.970721256905</v>
      </c>
      <c r="V51" s="411">
        <f t="shared" si="13"/>
        <v>54828.962740251169</v>
      </c>
      <c r="W51" s="411">
        <f t="shared" si="13"/>
        <v>61024.635529899533</v>
      </c>
      <c r="X51" s="411">
        <f t="shared" si="13"/>
        <v>65601.483194642002</v>
      </c>
    </row>
    <row r="52" spans="1:24" x14ac:dyDescent="0.3">
      <c r="A52" t="s">
        <v>73</v>
      </c>
      <c r="B52" s="50">
        <f t="shared" ref="B52:N52" si="14">B51/B46</f>
        <v>1.4184397163120567E-2</v>
      </c>
      <c r="C52" s="50">
        <f t="shared" si="14"/>
        <v>-0.50839694656488554</v>
      </c>
      <c r="D52" s="50">
        <f t="shared" si="14"/>
        <v>-1.5010934083099032</v>
      </c>
      <c r="E52" s="29">
        <f t="shared" si="14"/>
        <v>-1.2</v>
      </c>
      <c r="F52" s="29">
        <f t="shared" si="14"/>
        <v>-0.87999999999999989</v>
      </c>
      <c r="G52" s="29">
        <f t="shared" si="14"/>
        <v>-0.62999999999999989</v>
      </c>
      <c r="H52" s="29">
        <f t="shared" si="14"/>
        <v>-0.39999999999999997</v>
      </c>
      <c r="I52" s="29">
        <f t="shared" si="14"/>
        <v>-0.22000000000000003</v>
      </c>
      <c r="J52" s="29">
        <f t="shared" si="14"/>
        <v>-8.0000000000000016E-2</v>
      </c>
      <c r="K52" s="29">
        <f t="shared" si="14"/>
        <v>2.0000000000000042E-2</v>
      </c>
      <c r="L52" s="29">
        <f t="shared" si="14"/>
        <v>9.999999999999995E-2</v>
      </c>
      <c r="M52" s="29">
        <f t="shared" si="14"/>
        <v>0.16000000000000006</v>
      </c>
      <c r="N52" s="29">
        <f t="shared" si="14"/>
        <v>0.19999999999999998</v>
      </c>
      <c r="O52" s="29">
        <f t="shared" ref="O52:X52" si="15">O51/O46</f>
        <v>0.24</v>
      </c>
      <c r="P52" s="29">
        <f t="shared" si="15"/>
        <v>0.28000000000000003</v>
      </c>
      <c r="Q52" s="29">
        <f t="shared" si="15"/>
        <v>0.30999999999999994</v>
      </c>
      <c r="R52" s="29">
        <f t="shared" si="15"/>
        <v>0.33</v>
      </c>
      <c r="S52" s="29">
        <f t="shared" si="15"/>
        <v>0.35000000000000009</v>
      </c>
      <c r="T52" s="29">
        <f t="shared" si="15"/>
        <v>0.37000000000000005</v>
      </c>
      <c r="U52" s="29">
        <f t="shared" si="15"/>
        <v>0.39000000000000007</v>
      </c>
      <c r="V52" s="29">
        <f t="shared" si="15"/>
        <v>0.40000000000000013</v>
      </c>
      <c r="W52" s="29">
        <f t="shared" si="15"/>
        <v>0.41999999999999993</v>
      </c>
      <c r="X52" s="29">
        <f t="shared" si="15"/>
        <v>0.43</v>
      </c>
    </row>
    <row r="53" spans="1:24" x14ac:dyDescent="0.3">
      <c r="A53" s="80" t="s">
        <v>681</v>
      </c>
      <c r="B53" s="31">
        <v>0</v>
      </c>
      <c r="C53" s="51">
        <f>B55</f>
        <v>0</v>
      </c>
      <c r="D53" s="51">
        <f t="shared" ref="D53:X53" si="16">C55</f>
        <v>1332</v>
      </c>
      <c r="E53" s="78">
        <f t="shared" si="16"/>
        <v>6137</v>
      </c>
      <c r="F53" s="78">
        <f t="shared" si="16"/>
        <v>11053.736000000001</v>
      </c>
      <c r="G53" s="78">
        <f t="shared" si="16"/>
        <v>16029.472831999999</v>
      </c>
      <c r="H53" s="78">
        <f t="shared" si="16"/>
        <v>21194.626918399998</v>
      </c>
      <c r="I53" s="78">
        <f t="shared" si="16"/>
        <v>26048.232028159997</v>
      </c>
      <c r="J53" s="78">
        <f t="shared" si="16"/>
        <v>29918.982103193597</v>
      </c>
      <c r="K53" s="78">
        <f t="shared" si="16"/>
        <v>31861.394868119547</v>
      </c>
      <c r="L53" s="78">
        <f t="shared" si="16"/>
        <v>31348.597898179094</v>
      </c>
      <c r="M53" s="78">
        <f t="shared" si="16"/>
        <v>28092.337139057228</v>
      </c>
      <c r="N53" s="78">
        <f t="shared" si="16"/>
        <v>21736.116137251345</v>
      </c>
      <c r="O53" s="78">
        <f t="shared" si="16"/>
        <v>12360.690159587672</v>
      </c>
      <c r="P53" s="78">
        <f t="shared" si="16"/>
        <v>0</v>
      </c>
      <c r="Q53" s="78">
        <f t="shared" si="16"/>
        <v>0</v>
      </c>
      <c r="R53" s="78">
        <f t="shared" si="16"/>
        <v>0</v>
      </c>
      <c r="S53" s="78">
        <f t="shared" si="16"/>
        <v>0</v>
      </c>
      <c r="T53" s="78">
        <f t="shared" si="16"/>
        <v>0</v>
      </c>
      <c r="U53" s="78">
        <f t="shared" si="16"/>
        <v>0</v>
      </c>
      <c r="V53" s="78">
        <f t="shared" si="16"/>
        <v>0</v>
      </c>
      <c r="W53" s="78">
        <f t="shared" si="16"/>
        <v>0</v>
      </c>
      <c r="X53" s="78">
        <f t="shared" si="16"/>
        <v>0</v>
      </c>
    </row>
    <row r="54" spans="1:24" x14ac:dyDescent="0.3">
      <c r="A54" s="133" t="s">
        <v>682</v>
      </c>
      <c r="B54" s="51">
        <f>MIN(B53,MAX(B51,0)*0.8)</f>
        <v>0</v>
      </c>
      <c r="C54" s="51">
        <f>MIN(C53,MAX(C51,0)*0.8)</f>
        <v>0</v>
      </c>
      <c r="D54" s="51">
        <f t="shared" ref="D54:X54" si="17">MIN(D53,MAX(D51,0)*0.8)</f>
        <v>0</v>
      </c>
      <c r="E54" s="78">
        <f t="shared" si="17"/>
        <v>0</v>
      </c>
      <c r="F54" s="78">
        <f t="shared" si="17"/>
        <v>0</v>
      </c>
      <c r="G54" s="78">
        <f t="shared" si="17"/>
        <v>0</v>
      </c>
      <c r="H54" s="78">
        <f t="shared" si="17"/>
        <v>0</v>
      </c>
      <c r="I54" s="78">
        <f t="shared" si="17"/>
        <v>0</v>
      </c>
      <c r="J54" s="78">
        <f t="shared" si="17"/>
        <v>0</v>
      </c>
      <c r="K54" s="78">
        <f t="shared" si="17"/>
        <v>512.7969699404523</v>
      </c>
      <c r="L54" s="78">
        <f t="shared" si="17"/>
        <v>3256.2607591218639</v>
      </c>
      <c r="M54" s="78">
        <f t="shared" si="17"/>
        <v>6356.2210018058831</v>
      </c>
      <c r="N54" s="78">
        <f t="shared" si="17"/>
        <v>9375.4259776636736</v>
      </c>
      <c r="O54" s="78">
        <f t="shared" si="17"/>
        <v>12360.690159587672</v>
      </c>
      <c r="P54" s="78">
        <f t="shared" si="17"/>
        <v>0</v>
      </c>
      <c r="Q54" s="78">
        <f t="shared" si="17"/>
        <v>0</v>
      </c>
      <c r="R54" s="78">
        <f t="shared" si="17"/>
        <v>0</v>
      </c>
      <c r="S54" s="78">
        <f t="shared" si="17"/>
        <v>0</v>
      </c>
      <c r="T54" s="78">
        <f t="shared" si="17"/>
        <v>0</v>
      </c>
      <c r="U54" s="78">
        <f t="shared" si="17"/>
        <v>0</v>
      </c>
      <c r="V54" s="78">
        <f t="shared" si="17"/>
        <v>0</v>
      </c>
      <c r="W54" s="78">
        <f t="shared" si="17"/>
        <v>0</v>
      </c>
      <c r="X54" s="78">
        <f t="shared" si="17"/>
        <v>0</v>
      </c>
    </row>
    <row r="55" spans="1:24" x14ac:dyDescent="0.3">
      <c r="A55" s="80" t="s">
        <v>683</v>
      </c>
      <c r="B55" s="51">
        <f>B53-B54+MAX(-B51,0)</f>
        <v>0</v>
      </c>
      <c r="C55" s="51">
        <f>C53-C54+MAX(-C51,0)</f>
        <v>1332</v>
      </c>
      <c r="D55" s="51">
        <f t="shared" ref="D55:X55" si="18">D53-D54+MAX(-D51,0)</f>
        <v>6137</v>
      </c>
      <c r="E55" s="78">
        <f t="shared" si="18"/>
        <v>11053.736000000001</v>
      </c>
      <c r="F55" s="78">
        <f t="shared" si="18"/>
        <v>16029.472831999999</v>
      </c>
      <c r="G55" s="78">
        <f t="shared" si="18"/>
        <v>21194.626918399998</v>
      </c>
      <c r="H55" s="78">
        <f t="shared" si="18"/>
        <v>26048.232028159997</v>
      </c>
      <c r="I55" s="78">
        <f t="shared" si="18"/>
        <v>29918.982103193597</v>
      </c>
      <c r="J55" s="78">
        <f t="shared" si="18"/>
        <v>31861.394868119547</v>
      </c>
      <c r="K55" s="78">
        <f t="shared" si="18"/>
        <v>31348.597898179094</v>
      </c>
      <c r="L55" s="78">
        <f t="shared" si="18"/>
        <v>28092.337139057228</v>
      </c>
      <c r="M55" s="78">
        <f t="shared" si="18"/>
        <v>21736.116137251345</v>
      </c>
      <c r="N55" s="78">
        <f t="shared" si="18"/>
        <v>12360.690159587672</v>
      </c>
      <c r="O55" s="78">
        <f t="shared" si="18"/>
        <v>0</v>
      </c>
      <c r="P55" s="78">
        <f t="shared" si="18"/>
        <v>0</v>
      </c>
      <c r="Q55" s="78">
        <f t="shared" si="18"/>
        <v>0</v>
      </c>
      <c r="R55" s="78">
        <f t="shared" si="18"/>
        <v>0</v>
      </c>
      <c r="S55" s="78">
        <f t="shared" si="18"/>
        <v>0</v>
      </c>
      <c r="T55" s="78">
        <f t="shared" si="18"/>
        <v>0</v>
      </c>
      <c r="U55" s="78">
        <f t="shared" si="18"/>
        <v>0</v>
      </c>
      <c r="V55" s="78">
        <f t="shared" si="18"/>
        <v>0</v>
      </c>
      <c r="W55" s="78">
        <f t="shared" si="18"/>
        <v>0</v>
      </c>
      <c r="X55" s="78">
        <f t="shared" si="18"/>
        <v>0</v>
      </c>
    </row>
    <row r="56" spans="1:24" x14ac:dyDescent="0.3">
      <c r="A56" t="s">
        <v>100</v>
      </c>
      <c r="B56" s="49">
        <f>(MAX(B51,0)-B54)*WACC!$B$9</f>
        <v>8.82</v>
      </c>
      <c r="C56" s="49">
        <f>(MAX(C51,0)-C54)*WACC!$B$9</f>
        <v>0</v>
      </c>
      <c r="D56" s="49">
        <f>(MAX(D51,0)-D54)*WACC!$B$9</f>
        <v>0</v>
      </c>
      <c r="E56" s="46">
        <f>(MAX(E51,0)-E54)*WACC!$B$9</f>
        <v>0</v>
      </c>
      <c r="F56" s="46">
        <f>(MAX(F51,0)-F54)*WACC!$B$9</f>
        <v>0</v>
      </c>
      <c r="G56" s="46">
        <f>(MAX(G51,0)-G54)*WACC!$B$9</f>
        <v>0</v>
      </c>
      <c r="H56" s="46">
        <f>(MAX(H51,0)-H54)*WACC!$B$9</f>
        <v>0</v>
      </c>
      <c r="I56" s="46">
        <f>(MAX(I51,0)-I54)*WACC!$B$9</f>
        <v>0</v>
      </c>
      <c r="J56" s="46">
        <f>(MAX(J51,0)-J54)*WACC!$B$9</f>
        <v>0</v>
      </c>
      <c r="K56" s="46">
        <f>(MAX(K51,0)-K54)*WACC!$B$9</f>
        <v>26.921840921873734</v>
      </c>
      <c r="L56" s="46">
        <f>(MAX(L51,0)-L54)*WACC!$B$9</f>
        <v>170.95368985389774</v>
      </c>
      <c r="M56" s="46">
        <f>(MAX(M51,0)-M54)*WACC!$B$9</f>
        <v>333.70160259480883</v>
      </c>
      <c r="N56" s="46">
        <f>(MAX(N51,0)-N54)*WACC!$B$9</f>
        <v>492.20986382734259</v>
      </c>
      <c r="O56" s="46">
        <f>(MAX(O51,0)-O54)*WACC!$B$9</f>
        <v>830.03571872489476</v>
      </c>
      <c r="P56" s="46">
        <f>(MAX(P51,0)-P54)*WACC!$B$9</f>
        <v>4596.2557084197269</v>
      </c>
      <c r="Q56" s="46">
        <f>(MAX(Q51,0)-Q54)*WACC!$B$9</f>
        <v>5750.244195212249</v>
      </c>
      <c r="R56" s="46">
        <f>(MAX(R51,0)-R54)*WACC!$B$9</f>
        <v>6855.775014678863</v>
      </c>
      <c r="S56" s="46">
        <f>(MAX(S51,0)-S54)*WACC!$B$9</f>
        <v>7998.4041837920095</v>
      </c>
      <c r="T56" s="46">
        <f>(MAX(T51,0)-T54)*WACC!$B$9</f>
        <v>9216.4468780666211</v>
      </c>
      <c r="U56" s="46">
        <f>(MAX(U51,0)-U54)*WACC!$B$9</f>
        <v>10491.80385146395</v>
      </c>
      <c r="V56" s="46">
        <f>(MAX(V51,0)-V54)*WACC!$B$9</f>
        <v>11514.082175452744</v>
      </c>
      <c r="W56" s="46">
        <f>(MAX(W51,0)-W54)*WACC!$B$9</f>
        <v>12815.173461278902</v>
      </c>
      <c r="X56" s="46">
        <f>(MAX(X51,0)-X54)*WACC!$B$9</f>
        <v>13776.31147087482</v>
      </c>
    </row>
    <row r="57" spans="1:24" x14ac:dyDescent="0.3">
      <c r="A57" t="s">
        <v>74</v>
      </c>
      <c r="B57" s="51">
        <f t="shared" ref="B57:N57" si="19">B51-B56</f>
        <v>33.18</v>
      </c>
      <c r="C57" s="51">
        <f t="shared" si="19"/>
        <v>-1332</v>
      </c>
      <c r="D57" s="51">
        <f t="shared" si="19"/>
        <v>-4805</v>
      </c>
      <c r="E57" s="78">
        <f t="shared" si="19"/>
        <v>-4916.7359999999999</v>
      </c>
      <c r="F57" s="78">
        <f t="shared" si="19"/>
        <v>-4975.7368319999987</v>
      </c>
      <c r="G57" s="78">
        <f t="shared" si="19"/>
        <v>-5165.1540863999981</v>
      </c>
      <c r="H57" s="78">
        <f t="shared" si="19"/>
        <v>-4853.6051097599984</v>
      </c>
      <c r="I57" s="78">
        <f t="shared" si="19"/>
        <v>-3870.7500750335994</v>
      </c>
      <c r="J57" s="78">
        <f t="shared" si="19"/>
        <v>-1942.4127649259517</v>
      </c>
      <c r="K57" s="78">
        <f t="shared" si="19"/>
        <v>614.07437150369162</v>
      </c>
      <c r="L57" s="78">
        <f t="shared" si="19"/>
        <v>3899.3722590484317</v>
      </c>
      <c r="M57" s="78">
        <f t="shared" si="19"/>
        <v>7611.5746496625452</v>
      </c>
      <c r="N57" s="78">
        <f t="shared" si="19"/>
        <v>11227.072608252249</v>
      </c>
      <c r="O57" s="78">
        <f t="shared" ref="O57:X57" si="20">O51-O56</f>
        <v>15483.205482409894</v>
      </c>
      <c r="P57" s="78">
        <f t="shared" si="20"/>
        <v>17290.676236436113</v>
      </c>
      <c r="Q57" s="78">
        <f t="shared" si="20"/>
        <v>21631.871020084174</v>
      </c>
      <c r="R57" s="78">
        <f t="shared" si="20"/>
        <v>25790.772674268104</v>
      </c>
      <c r="S57" s="78">
        <f t="shared" si="20"/>
        <v>30089.234786646135</v>
      </c>
      <c r="T57" s="78">
        <f t="shared" si="20"/>
        <v>34671.395398441098</v>
      </c>
      <c r="U57" s="78">
        <f t="shared" si="20"/>
        <v>39469.166869792956</v>
      </c>
      <c r="V57" s="78">
        <f t="shared" si="20"/>
        <v>43314.880564798426</v>
      </c>
      <c r="W57" s="78">
        <f t="shared" si="20"/>
        <v>48209.462068620633</v>
      </c>
      <c r="X57" s="78">
        <f t="shared" si="20"/>
        <v>51825.171723767184</v>
      </c>
    </row>
    <row r="58" spans="1:24" x14ac:dyDescent="0.3">
      <c r="A58" t="s">
        <v>75</v>
      </c>
      <c r="B58" s="51">
        <f t="shared" ref="B58:N58" si="21">B50</f>
        <v>1180</v>
      </c>
      <c r="C58" s="51">
        <f t="shared" si="21"/>
        <v>1679</v>
      </c>
      <c r="D58" s="51">
        <f t="shared" si="21"/>
        <v>3568</v>
      </c>
      <c r="E58" s="78">
        <f t="shared" si="21"/>
        <v>4302.1440000000002</v>
      </c>
      <c r="F58" s="78">
        <f t="shared" si="21"/>
        <v>5088.8217599999989</v>
      </c>
      <c r="G58" s="78">
        <f t="shared" si="21"/>
        <v>6148.9929599999978</v>
      </c>
      <c r="H58" s="78">
        <f t="shared" si="21"/>
        <v>7523.0879201279977</v>
      </c>
      <c r="I58" s="78">
        <f t="shared" si="21"/>
        <v>9149.0456318975976</v>
      </c>
      <c r="J58" s="78">
        <f t="shared" si="21"/>
        <v>10683.270207092733</v>
      </c>
      <c r="K58" s="78">
        <f t="shared" si="21"/>
        <v>12178.928036085716</v>
      </c>
      <c r="L58" s="78">
        <f t="shared" si="21"/>
        <v>13432.075631377695</v>
      </c>
      <c r="M58" s="78">
        <f t="shared" si="21"/>
        <v>14400.813207216448</v>
      </c>
      <c r="N58" s="78">
        <f t="shared" si="21"/>
        <v>15235.067213703471</v>
      </c>
      <c r="O58" s="78">
        <f t="shared" ref="O58:X58" si="22">O50</f>
        <v>16313.24120113479</v>
      </c>
      <c r="P58" s="78">
        <f t="shared" si="22"/>
        <v>17196.875099529589</v>
      </c>
      <c r="Q58" s="78">
        <f t="shared" si="22"/>
        <v>17665.880784062214</v>
      </c>
      <c r="R58" s="78">
        <f t="shared" si="22"/>
        <v>18796.497154242195</v>
      </c>
      <c r="S58" s="78">
        <f t="shared" si="22"/>
        <v>19587.928613368182</v>
      </c>
      <c r="T58" s="78">
        <f t="shared" si="22"/>
        <v>20164.684289206249</v>
      </c>
      <c r="U58" s="78">
        <f t="shared" si="22"/>
        <v>20496.80850102847</v>
      </c>
      <c r="V58" s="78">
        <f t="shared" si="22"/>
        <v>21931.585096100462</v>
      </c>
      <c r="W58" s="78">
        <f t="shared" si="22"/>
        <v>21794.512689249834</v>
      </c>
      <c r="X58" s="78">
        <f t="shared" si="22"/>
        <v>22884.238323712325</v>
      </c>
    </row>
    <row r="59" spans="1:24" x14ac:dyDescent="0.3">
      <c r="A59" t="s">
        <v>76</v>
      </c>
      <c r="B59" s="49">
        <f>Actuals!B20</f>
        <v>-463</v>
      </c>
      <c r="C59" s="49">
        <f>Actuals!C20</f>
        <v>-5633</v>
      </c>
      <c r="D59" s="49">
        <f>Actuals!D20</f>
        <v>-12727</v>
      </c>
      <c r="E59" s="78">
        <f t="shared" ref="E59:X59" si="23">-E46*E39</f>
        <v>-13111.296</v>
      </c>
      <c r="F59" s="78">
        <f t="shared" si="23"/>
        <v>-13570.191359999997</v>
      </c>
      <c r="G59" s="78">
        <f t="shared" si="23"/>
        <v>-14757.583103999996</v>
      </c>
      <c r="H59" s="78">
        <f t="shared" si="23"/>
        <v>-16380.917245439996</v>
      </c>
      <c r="I59" s="78">
        <f t="shared" si="23"/>
        <v>-17594.318522879996</v>
      </c>
      <c r="J59" s="78">
        <f t="shared" si="23"/>
        <v>-19424.127649259517</v>
      </c>
      <c r="K59" s="78">
        <f t="shared" si="23"/>
        <v>-20832.376903830831</v>
      </c>
      <c r="L59" s="78">
        <f t="shared" si="23"/>
        <v>-21979.760124072593</v>
      </c>
      <c r="M59" s="78">
        <f t="shared" si="23"/>
        <v>-22842.669225239886</v>
      </c>
      <c r="N59" s="78">
        <f t="shared" si="23"/>
        <v>-23438.564944159185</v>
      </c>
      <c r="O59" s="78">
        <f t="shared" si="23"/>
        <v>-24469.861801702187</v>
      </c>
      <c r="P59" s="78">
        <f t="shared" si="23"/>
        <v>-25795.312649294385</v>
      </c>
      <c r="Q59" s="78">
        <f t="shared" si="23"/>
        <v>-26498.821176093315</v>
      </c>
      <c r="R59" s="78">
        <f t="shared" si="23"/>
        <v>-26710.811745502069</v>
      </c>
      <c r="S59" s="78">
        <f t="shared" si="23"/>
        <v>-27205.456407455811</v>
      </c>
      <c r="T59" s="78">
        <f t="shared" si="23"/>
        <v>-26095.473786031616</v>
      </c>
      <c r="U59" s="78">
        <f t="shared" si="23"/>
        <v>-25621.010626285588</v>
      </c>
      <c r="V59" s="78">
        <f t="shared" si="23"/>
        <v>-24673.033233113019</v>
      </c>
      <c r="W59" s="78">
        <f t="shared" si="23"/>
        <v>-23247.480201866492</v>
      </c>
      <c r="X59" s="78">
        <f t="shared" si="23"/>
        <v>-22884.238323712325</v>
      </c>
    </row>
    <row r="60" spans="1:24" x14ac:dyDescent="0.3">
      <c r="A60" t="s">
        <v>77</v>
      </c>
      <c r="B60" s="31">
        <v>0</v>
      </c>
      <c r="C60" s="31">
        <v>0</v>
      </c>
      <c r="D60" s="31">
        <v>0</v>
      </c>
      <c r="E60" s="78">
        <f t="shared" ref="E60:X60" si="24">-(E46-D46)*E40</f>
        <v>-53.77679999999998</v>
      </c>
      <c r="F60" s="78">
        <f t="shared" si="24"/>
        <v>-93.417983999999961</v>
      </c>
      <c r="G60" s="78">
        <f t="shared" si="24"/>
        <v>-127.22054399999993</v>
      </c>
      <c r="H60" s="78">
        <f t="shared" si="24"/>
        <v>-196.76777471999995</v>
      </c>
      <c r="I60" s="78">
        <f t="shared" si="24"/>
        <v>-218.41222993919996</v>
      </c>
      <c r="J60" s="78">
        <f t="shared" si="24"/>
        <v>-267.43364154777589</v>
      </c>
      <c r="K60" s="78">
        <f t="shared" si="24"/>
        <v>-233.08953179111418</v>
      </c>
      <c r="L60" s="78">
        <f t="shared" si="24"/>
        <v>-259.60346603235348</v>
      </c>
      <c r="M60" s="78">
        <f t="shared" si="24"/>
        <v>-268.64151262755388</v>
      </c>
      <c r="N60" s="78">
        <f t="shared" si="24"/>
        <v>-178.7687156757903</v>
      </c>
      <c r="O60" s="78">
        <f t="shared" si="24"/>
        <v>-187.50851955327337</v>
      </c>
      <c r="P60" s="78">
        <f t="shared" si="24"/>
        <v>-203.91551501418465</v>
      </c>
      <c r="Q60" s="78">
        <f t="shared" si="24"/>
        <v>-203.23579663080397</v>
      </c>
      <c r="R60" s="78">
        <f t="shared" si="24"/>
        <v>-190.791512467872</v>
      </c>
      <c r="S60" s="78">
        <f t="shared" si="24"/>
        <v>-178.07207830334733</v>
      </c>
      <c r="T60" s="78">
        <f t="shared" si="24"/>
        <v>-146.9094646002614</v>
      </c>
      <c r="U60" s="78">
        <f t="shared" si="24"/>
        <v>-142.33894792380895</v>
      </c>
      <c r="V60" s="78">
        <f t="shared" si="24"/>
        <v>-134.51030578799924</v>
      </c>
      <c r="W60" s="78">
        <f t="shared" si="24"/>
        <v>-123.36516616556531</v>
      </c>
      <c r="X60" s="78">
        <f t="shared" si="24"/>
        <v>-108.97256344624911</v>
      </c>
    </row>
    <row r="61" spans="1:24" x14ac:dyDescent="0.3">
      <c r="A61" s="95" t="s">
        <v>723</v>
      </c>
      <c r="B61" s="481">
        <f t="shared" ref="B61:D61" si="25">B57+B58+B59+B60</f>
        <v>750.18000000000006</v>
      </c>
      <c r="C61" s="481">
        <f t="shared" si="25"/>
        <v>-5286</v>
      </c>
      <c r="D61" s="481">
        <f t="shared" si="25"/>
        <v>-13964</v>
      </c>
      <c r="E61" s="481">
        <f>E57+E58+E59+E60-E46*($B$63+($C$63-$B$63)*(COLUMN()-5)/19)*(1-WACC!$B$9)</f>
        <v>-14038.612895999999</v>
      </c>
      <c r="F61" s="481">
        <f>F57+F58+F59+F60-F46*($B$63+($C$63-$B$63)*(COLUMN()-5)/19)*(1-WACC!$B$9)</f>
        <v>-13893.766931671575</v>
      </c>
      <c r="G61" s="481">
        <f>G57+G58+G59+G60-G46*($B$63+($C$63-$B$63)*(COLUMN()-5)/19)*(1-WACC!$B$9)</f>
        <v>-14378.212929751575</v>
      </c>
      <c r="H61" s="481">
        <f>H57+H58+H59+H60-H46*($B$63+($C$63-$B$63)*(COLUMN()-5)/19)*(1-WACC!$B$9)</f>
        <v>-14584.258311001462</v>
      </c>
      <c r="I61" s="481">
        <f>I57+I58+I59+I60-I46*($B$63+($C$63-$B$63)*(COLUMN()-5)/19)*(1-WACC!$B$9)</f>
        <v>-13470.823348078158</v>
      </c>
      <c r="J61" s="481">
        <f>J57+J58+J59+J60-J46*($B$63+($C$63-$B$63)*(COLUMN()-5)/19)*(1-WACC!$B$9)</f>
        <v>-12182.346889979743</v>
      </c>
      <c r="K61" s="481">
        <f>K57+K58+K59+K60-K46*($B$63+($C$63-$B$63)*(COLUMN()-5)/19)*(1-WACC!$B$9)</f>
        <v>-9818.2769992609246</v>
      </c>
      <c r="L61" s="481">
        <f>L57+L58+L59+L60-L46*($B$63+($C$63-$B$63)*(COLUMN()-5)/19)*(1-WACC!$B$9)</f>
        <v>-6769.5542520978324</v>
      </c>
      <c r="M61" s="481">
        <f>M57+M58+M59+M60-M46*($B$63+($C$63-$B$63)*(COLUMN()-5)/19)*(1-WACC!$B$9)</f>
        <v>-3246.2383312695765</v>
      </c>
      <c r="N61" s="481">
        <f>N57+N58+N59+N60-N46*($B$63+($C$63-$B$63)*(COLUMN()-5)/19)*(1-WACC!$B$9)</f>
        <v>457.1565595196862</v>
      </c>
      <c r="O61" s="481">
        <f>O57+O58+O59+O60-O46*($B$63+($C$63-$B$63)*(COLUMN()-5)/19)*(1-WACC!$B$9)</f>
        <v>4538.974672599581</v>
      </c>
      <c r="P61" s="481">
        <f>P57+P58+P59+P60-P46*($B$63+($C$63-$B$63)*(COLUMN()-5)/19)*(1-WACC!$B$9)</f>
        <v>5693.2138552407705</v>
      </c>
      <c r="Q61" s="481">
        <f>Q57+Q58+Q59+Q60-Q46*($B$63+($C$63-$B$63)*(COLUMN()-5)/19)*(1-WACC!$B$9)</f>
        <v>9657.5799220729768</v>
      </c>
      <c r="R61" s="481">
        <f>R57+R58+R59+R60-R46*($B$63+($C$63-$B$63)*(COLUMN()-5)/19)*(1-WACC!$B$9)</f>
        <v>14641.779524454485</v>
      </c>
      <c r="S61" s="481">
        <f>S57+S58+S59+S60-S46*($B$63+($C$63-$B$63)*(COLUMN()-5)/19)*(1-WACC!$B$9)</f>
        <v>19216.840981184578</v>
      </c>
      <c r="T61" s="481">
        <f>T57+T58+T59+T60-T46*($B$63+($C$63-$B$63)*(COLUMN()-5)/19)*(1-WACC!$B$9)</f>
        <v>25535.906231178556</v>
      </c>
      <c r="U61" s="481">
        <f>U57+U58+U59+U60-U46*($B$63+($C$63-$B$63)*(COLUMN()-5)/19)*(1-WACC!$B$9)</f>
        <v>31219.800770014994</v>
      </c>
      <c r="V61" s="481">
        <f>V57+V58+V59+V60-V46*($B$63+($C$63-$B$63)*(COLUMN()-5)/19)*(1-WACC!$B$9)</f>
        <v>37589.258926945346</v>
      </c>
      <c r="W61" s="481">
        <f>W57+W58+W59+W60-W46*($B$63+($C$63-$B$63)*(COLUMN()-5)/19)*(1-WACC!$B$9)</f>
        <v>43974.963561493409</v>
      </c>
      <c r="X61" s="481">
        <f>X57+X58+X59+X60-X46*($B$63+($C$63-$B$63)*(COLUMN()-5)/19)*(1-WACC!$B$9)</f>
        <v>49305.7260568899</v>
      </c>
    </row>
    <row r="62" spans="1:24" x14ac:dyDescent="0.3">
      <c r="A62" t="s">
        <v>78</v>
      </c>
      <c r="B62" s="29">
        <f t="shared" ref="B62:N62" si="26">B61/B46</f>
        <v>0.25335359675785207</v>
      </c>
      <c r="C62" s="29">
        <f t="shared" si="26"/>
        <v>-2.0175572519083969</v>
      </c>
      <c r="D62" s="29">
        <f t="shared" si="26"/>
        <v>-4.3623867541393313</v>
      </c>
      <c r="E62" s="29">
        <f t="shared" si="26"/>
        <v>-3.4263249999999998</v>
      </c>
      <c r="F62" s="29">
        <f t="shared" si="26"/>
        <v>-2.4572270022883291</v>
      </c>
      <c r="G62" s="29">
        <f t="shared" si="26"/>
        <v>-1.7537277676950997</v>
      </c>
      <c r="H62" s="29">
        <f t="shared" si="26"/>
        <v>-1.2019320056899006</v>
      </c>
      <c r="I62" s="29">
        <f t="shared" si="26"/>
        <v>-0.76563484573502727</v>
      </c>
      <c r="J62" s="29">
        <f t="shared" si="26"/>
        <v>-0.50174080854309699</v>
      </c>
      <c r="K62" s="29">
        <f t="shared" si="26"/>
        <v>-0.30634430622009567</v>
      </c>
      <c r="L62" s="29">
        <f t="shared" si="26"/>
        <v>-0.16631479486116874</v>
      </c>
      <c r="M62" s="29">
        <f t="shared" si="26"/>
        <v>-6.5371941328731628E-2</v>
      </c>
      <c r="N62" s="29">
        <f t="shared" si="26"/>
        <v>7.8017841213202455E-3</v>
      </c>
      <c r="O62" s="29">
        <f t="shared" ref="O62:X62" si="27">O61/O46</f>
        <v>6.6777282821522996E-2</v>
      </c>
      <c r="P62" s="29">
        <f t="shared" si="27"/>
        <v>7.2833409610983987E-2</v>
      </c>
      <c r="Q62" s="29">
        <f t="shared" si="27"/>
        <v>0.10933595714951097</v>
      </c>
      <c r="R62" s="29">
        <f t="shared" si="27"/>
        <v>0.14800300751879691</v>
      </c>
      <c r="S62" s="29">
        <f t="shared" si="27"/>
        <v>0.1765899521531101</v>
      </c>
      <c r="T62" s="29">
        <f t="shared" si="27"/>
        <v>0.21528252052148719</v>
      </c>
      <c r="U62" s="29">
        <f t="shared" si="27"/>
        <v>0.24370467836257317</v>
      </c>
      <c r="V62" s="29">
        <f t="shared" si="27"/>
        <v>0.27422921790457466</v>
      </c>
      <c r="W62" s="29">
        <f t="shared" si="27"/>
        <v>0.30265620655412107</v>
      </c>
      <c r="X62" s="29">
        <f t="shared" si="27"/>
        <v>0.32318571428571424</v>
      </c>
    </row>
    <row r="63" spans="1:24" ht="15" thickBot="1" x14ac:dyDescent="0.35">
      <c r="A63" s="164" t="s">
        <v>760</v>
      </c>
      <c r="B63" s="17">
        <v>0.08</v>
      </c>
      <c r="C63" s="17">
        <v>0.02</v>
      </c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</row>
    <row r="64" spans="1:24" ht="15" thickTop="1" x14ac:dyDescent="0.3"/>
    <row r="65" spans="1:24" x14ac:dyDescent="0.3">
      <c r="A65" s="92" t="s">
        <v>859</v>
      </c>
      <c r="B65" s="102"/>
      <c r="C65" s="102"/>
      <c r="D65" s="102"/>
      <c r="E65" s="104"/>
      <c r="F65" s="104"/>
      <c r="G65" s="104"/>
      <c r="H65" s="104"/>
      <c r="I65" s="104"/>
      <c r="J65" s="104"/>
      <c r="K65" s="104"/>
      <c r="L65" s="104"/>
      <c r="M65" s="104"/>
      <c r="N65" s="104"/>
      <c r="O65" s="104"/>
      <c r="P65" s="104"/>
      <c r="Q65" s="104"/>
      <c r="R65" s="104"/>
      <c r="S65" s="104"/>
      <c r="T65" s="104"/>
      <c r="U65" s="104"/>
      <c r="V65" s="104"/>
      <c r="W65" s="104"/>
      <c r="X65" s="104"/>
    </row>
    <row r="66" spans="1:24" s="82" customFormat="1" ht="3" customHeight="1" x14ac:dyDescent="0.3">
      <c r="A66" s="143"/>
      <c r="B66" s="41"/>
      <c r="C66" s="41"/>
      <c r="D66" s="41"/>
      <c r="E66" s="216"/>
      <c r="F66" s="216"/>
      <c r="G66" s="216"/>
      <c r="H66" s="216"/>
      <c r="I66" s="216"/>
      <c r="J66" s="216"/>
      <c r="K66" s="216"/>
      <c r="L66" s="216"/>
      <c r="M66" s="216"/>
      <c r="N66" s="216"/>
      <c r="O66" s="216"/>
      <c r="P66" s="216"/>
      <c r="Q66" s="216"/>
      <c r="R66" s="216"/>
      <c r="S66" s="216"/>
      <c r="T66" s="216"/>
      <c r="U66" s="216"/>
      <c r="V66" s="216"/>
      <c r="W66" s="216"/>
      <c r="X66" s="216"/>
    </row>
    <row r="67" spans="1:24" x14ac:dyDescent="0.3">
      <c r="A67" s="93" t="s">
        <v>642</v>
      </c>
      <c r="B67" s="94"/>
      <c r="C67" s="94"/>
      <c r="D67" s="94"/>
      <c r="E67" s="122"/>
      <c r="F67" s="122"/>
      <c r="G67" s="122"/>
      <c r="H67" s="122"/>
      <c r="I67" s="122"/>
      <c r="J67" s="122"/>
      <c r="K67" s="122"/>
      <c r="L67" s="122"/>
      <c r="M67" s="122"/>
      <c r="N67" s="122"/>
      <c r="O67" s="122"/>
      <c r="P67" s="122"/>
      <c r="Q67" s="122"/>
      <c r="R67" s="122"/>
      <c r="S67" s="122"/>
      <c r="T67" s="122"/>
      <c r="U67" s="122"/>
      <c r="V67" s="122"/>
      <c r="W67" s="122"/>
      <c r="X67" s="122"/>
    </row>
    <row r="68" spans="1:24" x14ac:dyDescent="0.3">
      <c r="A68" s="129" t="s">
        <v>662</v>
      </c>
      <c r="B68" s="405">
        <f>'AI Comps'!X15</f>
        <v>2.4896936641080583</v>
      </c>
      <c r="C68" s="132" t="s">
        <v>665</v>
      </c>
      <c r="D68" s="22"/>
      <c r="E68" s="127">
        <f>$B$68</f>
        <v>2.4896936641080583</v>
      </c>
      <c r="F68" s="127">
        <f t="shared" ref="F68:X68" si="28">$B$68</f>
        <v>2.4896936641080583</v>
      </c>
      <c r="G68" s="127">
        <f t="shared" si="28"/>
        <v>2.4896936641080583</v>
      </c>
      <c r="H68" s="127">
        <f t="shared" si="28"/>
        <v>2.4896936641080583</v>
      </c>
      <c r="I68" s="127">
        <f t="shared" si="28"/>
        <v>2.4896936641080583</v>
      </c>
      <c r="J68" s="127">
        <f t="shared" si="28"/>
        <v>2.4896936641080583</v>
      </c>
      <c r="K68" s="127">
        <f t="shared" si="28"/>
        <v>2.4896936641080583</v>
      </c>
      <c r="L68" s="127">
        <f t="shared" si="28"/>
        <v>2.4896936641080583</v>
      </c>
      <c r="M68" s="127">
        <f t="shared" si="28"/>
        <v>2.4896936641080583</v>
      </c>
      <c r="N68" s="127">
        <f t="shared" si="28"/>
        <v>2.4896936641080583</v>
      </c>
      <c r="O68" s="127">
        <f t="shared" si="28"/>
        <v>2.4896936641080583</v>
      </c>
      <c r="P68" s="127">
        <f t="shared" si="28"/>
        <v>2.4896936641080583</v>
      </c>
      <c r="Q68" s="127">
        <f t="shared" si="28"/>
        <v>2.4896936641080583</v>
      </c>
      <c r="R68" s="127">
        <f t="shared" si="28"/>
        <v>2.4896936641080583</v>
      </c>
      <c r="S68" s="127">
        <f t="shared" si="28"/>
        <v>2.4896936641080583</v>
      </c>
      <c r="T68" s="127">
        <f t="shared" si="28"/>
        <v>2.4896936641080583</v>
      </c>
      <c r="U68" s="127">
        <f t="shared" si="28"/>
        <v>2.4896936641080583</v>
      </c>
      <c r="V68" s="127">
        <f t="shared" si="28"/>
        <v>2.4896936641080583</v>
      </c>
      <c r="W68" s="127">
        <f t="shared" si="28"/>
        <v>2.4896936641080583</v>
      </c>
      <c r="X68" s="127">
        <f t="shared" si="28"/>
        <v>2.4896936641080583</v>
      </c>
    </row>
    <row r="69" spans="1:24" x14ac:dyDescent="0.3">
      <c r="A69" s="129" t="s">
        <v>663</v>
      </c>
      <c r="B69" s="405">
        <f>'AI Comps'!X29</f>
        <v>3.1307916335716173</v>
      </c>
      <c r="C69" s="132" t="s">
        <v>666</v>
      </c>
      <c r="D69" s="22"/>
      <c r="E69" s="127">
        <f>$B$69</f>
        <v>3.1307916335716173</v>
      </c>
      <c r="F69" s="127">
        <f t="shared" ref="F69:X69" si="29">$B$69</f>
        <v>3.1307916335716173</v>
      </c>
      <c r="G69" s="127">
        <f t="shared" si="29"/>
        <v>3.1307916335716173</v>
      </c>
      <c r="H69" s="127">
        <f t="shared" si="29"/>
        <v>3.1307916335716173</v>
      </c>
      <c r="I69" s="127">
        <f t="shared" si="29"/>
        <v>3.1307916335716173</v>
      </c>
      <c r="J69" s="127">
        <f t="shared" si="29"/>
        <v>3.1307916335716173</v>
      </c>
      <c r="K69" s="127">
        <f t="shared" si="29"/>
        <v>3.1307916335716173</v>
      </c>
      <c r="L69" s="127">
        <f t="shared" si="29"/>
        <v>3.1307916335716173</v>
      </c>
      <c r="M69" s="127">
        <f t="shared" si="29"/>
        <v>3.1307916335716173</v>
      </c>
      <c r="N69" s="127">
        <f t="shared" si="29"/>
        <v>3.1307916335716173</v>
      </c>
      <c r="O69" s="127">
        <f t="shared" si="29"/>
        <v>3.1307916335716173</v>
      </c>
      <c r="P69" s="127">
        <f t="shared" si="29"/>
        <v>3.1307916335716173</v>
      </c>
      <c r="Q69" s="127">
        <f t="shared" si="29"/>
        <v>3.1307916335716173</v>
      </c>
      <c r="R69" s="127">
        <f t="shared" si="29"/>
        <v>3.1307916335716173</v>
      </c>
      <c r="S69" s="127">
        <f t="shared" si="29"/>
        <v>3.1307916335716173</v>
      </c>
      <c r="T69" s="127">
        <f t="shared" si="29"/>
        <v>3.1307916335716173</v>
      </c>
      <c r="U69" s="127">
        <f t="shared" si="29"/>
        <v>3.1307916335716173</v>
      </c>
      <c r="V69" s="127">
        <f t="shared" si="29"/>
        <v>3.1307916335716173</v>
      </c>
      <c r="W69" s="127">
        <f t="shared" si="29"/>
        <v>3.1307916335716173</v>
      </c>
      <c r="X69" s="127">
        <f t="shared" si="29"/>
        <v>3.1307916335716173</v>
      </c>
    </row>
    <row r="70" spans="1:24" x14ac:dyDescent="0.3">
      <c r="A70" s="129" t="s">
        <v>664</v>
      </c>
      <c r="B70" s="405">
        <f>'AI Comps'!X43</f>
        <v>0.9038447507334364</v>
      </c>
      <c r="C70" s="132" t="s">
        <v>667</v>
      </c>
      <c r="D70" s="22"/>
      <c r="E70" s="127">
        <f>$B$70</f>
        <v>0.9038447507334364</v>
      </c>
      <c r="F70" s="127">
        <f t="shared" ref="F70:X70" si="30">$B$70</f>
        <v>0.9038447507334364</v>
      </c>
      <c r="G70" s="127">
        <f t="shared" si="30"/>
        <v>0.9038447507334364</v>
      </c>
      <c r="H70" s="127">
        <f t="shared" si="30"/>
        <v>0.9038447507334364</v>
      </c>
      <c r="I70" s="127">
        <f t="shared" si="30"/>
        <v>0.9038447507334364</v>
      </c>
      <c r="J70" s="127">
        <f t="shared" si="30"/>
        <v>0.9038447507334364</v>
      </c>
      <c r="K70" s="127">
        <f t="shared" si="30"/>
        <v>0.9038447507334364</v>
      </c>
      <c r="L70" s="127">
        <f t="shared" si="30"/>
        <v>0.9038447507334364</v>
      </c>
      <c r="M70" s="127">
        <f t="shared" si="30"/>
        <v>0.9038447507334364</v>
      </c>
      <c r="N70" s="127">
        <f t="shared" si="30"/>
        <v>0.9038447507334364</v>
      </c>
      <c r="O70" s="127">
        <f t="shared" si="30"/>
        <v>0.9038447507334364</v>
      </c>
      <c r="P70" s="127">
        <f t="shared" si="30"/>
        <v>0.9038447507334364</v>
      </c>
      <c r="Q70" s="127">
        <f t="shared" si="30"/>
        <v>0.9038447507334364</v>
      </c>
      <c r="R70" s="127">
        <f t="shared" si="30"/>
        <v>0.9038447507334364</v>
      </c>
      <c r="S70" s="127">
        <f t="shared" si="30"/>
        <v>0.9038447507334364</v>
      </c>
      <c r="T70" s="127">
        <f t="shared" si="30"/>
        <v>0.9038447507334364</v>
      </c>
      <c r="U70" s="127">
        <f t="shared" si="30"/>
        <v>0.9038447507334364</v>
      </c>
      <c r="V70" s="127">
        <f t="shared" si="30"/>
        <v>0.9038447507334364</v>
      </c>
      <c r="W70" s="127">
        <f t="shared" si="30"/>
        <v>0.9038447507334364</v>
      </c>
      <c r="X70" s="127">
        <f t="shared" si="30"/>
        <v>0.9038447507334364</v>
      </c>
    </row>
    <row r="71" spans="1:24" x14ac:dyDescent="0.3">
      <c r="A71" s="129" t="s">
        <v>646</v>
      </c>
      <c r="B71" s="128">
        <f>IF($B$5=1,0.7,IF($B$5=2,0.6,0.5))</f>
        <v>0.6</v>
      </c>
      <c r="C71" s="128">
        <f>IF($B$5=1,0.3,IF($B$5=2,0.2,0.15))</f>
        <v>0.2</v>
      </c>
      <c r="D71" s="58" t="s">
        <v>678</v>
      </c>
      <c r="E71" s="128">
        <f>$B71+($C71-$B71)*(COLUMN()-5)/19</f>
        <v>0.6</v>
      </c>
      <c r="F71" s="128">
        <f t="shared" ref="F71:X72" si="31">$B71+($C71-$B71)*(COLUMN()-5)/19</f>
        <v>0.57894736842105265</v>
      </c>
      <c r="G71" s="128">
        <f t="shared" si="31"/>
        <v>0.55789473684210522</v>
      </c>
      <c r="H71" s="128">
        <f t="shared" si="31"/>
        <v>0.5368421052631579</v>
      </c>
      <c r="I71" s="128">
        <f t="shared" si="31"/>
        <v>0.51578947368421046</v>
      </c>
      <c r="J71" s="128">
        <f t="shared" si="31"/>
        <v>0.49473684210526314</v>
      </c>
      <c r="K71" s="128">
        <f t="shared" si="31"/>
        <v>0.47368421052631576</v>
      </c>
      <c r="L71" s="128">
        <f t="shared" si="31"/>
        <v>0.45263157894736838</v>
      </c>
      <c r="M71" s="128">
        <f t="shared" si="31"/>
        <v>0.43157894736842106</v>
      </c>
      <c r="N71" s="128">
        <f t="shared" si="31"/>
        <v>0.41052631578947368</v>
      </c>
      <c r="O71" s="128">
        <f t="shared" si="31"/>
        <v>0.38947368421052631</v>
      </c>
      <c r="P71" s="128">
        <f t="shared" si="31"/>
        <v>0.36842105263157898</v>
      </c>
      <c r="Q71" s="128">
        <f t="shared" si="31"/>
        <v>0.34736842105263155</v>
      </c>
      <c r="R71" s="128">
        <f t="shared" si="31"/>
        <v>0.32631578947368423</v>
      </c>
      <c r="S71" s="128">
        <f t="shared" si="31"/>
        <v>0.30526315789473685</v>
      </c>
      <c r="T71" s="128">
        <f t="shared" si="31"/>
        <v>0.28421052631578952</v>
      </c>
      <c r="U71" s="128">
        <f t="shared" si="31"/>
        <v>0.26315789473684209</v>
      </c>
      <c r="V71" s="128">
        <f t="shared" si="31"/>
        <v>0.24210526315789471</v>
      </c>
      <c r="W71" s="128">
        <f t="shared" si="31"/>
        <v>0.22105263157894739</v>
      </c>
      <c r="X71" s="128">
        <f t="shared" si="31"/>
        <v>0.2</v>
      </c>
    </row>
    <row r="72" spans="1:24" x14ac:dyDescent="0.3">
      <c r="A72" s="129" t="s">
        <v>647</v>
      </c>
      <c r="B72" s="128">
        <f>IF($B$5=1,0,IF($B$5=2,0,0))</f>
        <v>0</v>
      </c>
      <c r="C72" s="128">
        <f>IF($B$5=1,0,IF($B$5=2,0,0))</f>
        <v>0</v>
      </c>
      <c r="D72" s="58" t="s">
        <v>679</v>
      </c>
      <c r="E72" s="128">
        <f>$B72+($C72-$B72)*(COLUMN()-5)/19</f>
        <v>0</v>
      </c>
      <c r="F72" s="128">
        <f t="shared" si="31"/>
        <v>0</v>
      </c>
      <c r="G72" s="128">
        <f t="shared" si="31"/>
        <v>0</v>
      </c>
      <c r="H72" s="128">
        <f t="shared" si="31"/>
        <v>0</v>
      </c>
      <c r="I72" s="128">
        <f t="shared" si="31"/>
        <v>0</v>
      </c>
      <c r="J72" s="128">
        <f t="shared" si="31"/>
        <v>0</v>
      </c>
      <c r="K72" s="128">
        <f t="shared" si="31"/>
        <v>0</v>
      </c>
      <c r="L72" s="128">
        <f t="shared" si="31"/>
        <v>0</v>
      </c>
      <c r="M72" s="128">
        <f t="shared" si="31"/>
        <v>0</v>
      </c>
      <c r="N72" s="128">
        <f t="shared" si="31"/>
        <v>0</v>
      </c>
      <c r="O72" s="128">
        <f t="shared" si="31"/>
        <v>0</v>
      </c>
      <c r="P72" s="128">
        <f t="shared" si="31"/>
        <v>0</v>
      </c>
      <c r="Q72" s="128">
        <f t="shared" si="31"/>
        <v>0</v>
      </c>
      <c r="R72" s="128">
        <f t="shared" si="31"/>
        <v>0</v>
      </c>
      <c r="S72" s="128">
        <f t="shared" si="31"/>
        <v>0</v>
      </c>
      <c r="T72" s="128">
        <f t="shared" si="31"/>
        <v>0</v>
      </c>
      <c r="U72" s="128">
        <f t="shared" si="31"/>
        <v>0</v>
      </c>
      <c r="V72" s="128">
        <f t="shared" si="31"/>
        <v>0</v>
      </c>
      <c r="W72" s="128">
        <f t="shared" si="31"/>
        <v>0</v>
      </c>
      <c r="X72" s="128">
        <f t="shared" si="31"/>
        <v>0</v>
      </c>
    </row>
    <row r="73" spans="1:24" x14ac:dyDescent="0.3">
      <c r="A73" s="129" t="s">
        <v>648</v>
      </c>
      <c r="B73" s="128">
        <f>1-B71-B72</f>
        <v>0.4</v>
      </c>
      <c r="C73" s="128">
        <f>1-C71-C72</f>
        <v>0.8</v>
      </c>
      <c r="D73" s="22"/>
      <c r="E73" s="128">
        <f>1-E71-E72</f>
        <v>0.4</v>
      </c>
      <c r="F73" s="128">
        <f t="shared" ref="F73:X73" si="32">1-F71-F72</f>
        <v>0.42105263157894735</v>
      </c>
      <c r="G73" s="128">
        <f t="shared" si="32"/>
        <v>0.44210526315789478</v>
      </c>
      <c r="H73" s="128">
        <f t="shared" si="32"/>
        <v>0.4631578947368421</v>
      </c>
      <c r="I73" s="128">
        <f t="shared" si="32"/>
        <v>0.48421052631578954</v>
      </c>
      <c r="J73" s="128">
        <f t="shared" si="32"/>
        <v>0.50526315789473686</v>
      </c>
      <c r="K73" s="128">
        <f t="shared" si="32"/>
        <v>0.52631578947368429</v>
      </c>
      <c r="L73" s="128">
        <f t="shared" si="32"/>
        <v>0.54736842105263162</v>
      </c>
      <c r="M73" s="128">
        <f t="shared" si="32"/>
        <v>0.56842105263157894</v>
      </c>
      <c r="N73" s="128">
        <f t="shared" si="32"/>
        <v>0.58947368421052637</v>
      </c>
      <c r="O73" s="128">
        <f t="shared" si="32"/>
        <v>0.61052631578947369</v>
      </c>
      <c r="P73" s="128">
        <f t="shared" si="32"/>
        <v>0.63157894736842102</v>
      </c>
      <c r="Q73" s="128">
        <f t="shared" si="32"/>
        <v>0.65263157894736845</v>
      </c>
      <c r="R73" s="128">
        <f t="shared" si="32"/>
        <v>0.67368421052631577</v>
      </c>
      <c r="S73" s="128">
        <f t="shared" si="32"/>
        <v>0.6947368421052631</v>
      </c>
      <c r="T73" s="128">
        <f t="shared" si="32"/>
        <v>0.71578947368421053</v>
      </c>
      <c r="U73" s="128">
        <f t="shared" si="32"/>
        <v>0.73684210526315796</v>
      </c>
      <c r="V73" s="128">
        <f t="shared" si="32"/>
        <v>0.75789473684210529</v>
      </c>
      <c r="W73" s="128">
        <f t="shared" si="32"/>
        <v>0.77894736842105261</v>
      </c>
      <c r="X73" s="128">
        <f t="shared" si="32"/>
        <v>0.8</v>
      </c>
    </row>
    <row r="74" spans="1:24" x14ac:dyDescent="0.3">
      <c r="A74" s="85" t="s">
        <v>649</v>
      </c>
      <c r="B74" s="22"/>
      <c r="C74" s="22"/>
      <c r="D74" s="22"/>
      <c r="E74" s="131">
        <f>E68*E71+E69*E72+E70*E73</f>
        <v>1.8553540987582093</v>
      </c>
      <c r="F74" s="131">
        <f t="shared" ref="F74:X74" si="33">F68*F71+F69*F72+F70*F73</f>
        <v>1.8219678058450597</v>
      </c>
      <c r="G74" s="131">
        <f t="shared" si="33"/>
        <v>1.7885815129319096</v>
      </c>
      <c r="H74" s="131">
        <f t="shared" si="33"/>
        <v>1.7551952200187597</v>
      </c>
      <c r="I74" s="131">
        <f t="shared" si="33"/>
        <v>1.7218089271056096</v>
      </c>
      <c r="J74" s="131">
        <f t="shared" si="33"/>
        <v>1.68842263419246</v>
      </c>
      <c r="K74" s="131">
        <f t="shared" si="33"/>
        <v>1.6550363412793099</v>
      </c>
      <c r="L74" s="131">
        <f t="shared" si="33"/>
        <v>1.62165004836616</v>
      </c>
      <c r="M74" s="131">
        <f t="shared" si="33"/>
        <v>1.5882637554530099</v>
      </c>
      <c r="N74" s="131">
        <f t="shared" si="33"/>
        <v>1.55487746253986</v>
      </c>
      <c r="O74" s="131">
        <f t="shared" si="33"/>
        <v>1.5214911696267102</v>
      </c>
      <c r="P74" s="131">
        <f t="shared" si="33"/>
        <v>1.4881048767135603</v>
      </c>
      <c r="Q74" s="131">
        <f t="shared" si="33"/>
        <v>1.4547185838004102</v>
      </c>
      <c r="R74" s="131">
        <f t="shared" si="33"/>
        <v>1.4213322908872605</v>
      </c>
      <c r="S74" s="131">
        <f t="shared" si="33"/>
        <v>1.3879459979741102</v>
      </c>
      <c r="T74" s="131">
        <f t="shared" si="33"/>
        <v>1.3545597050609608</v>
      </c>
      <c r="U74" s="131">
        <f t="shared" si="33"/>
        <v>1.3211734121478105</v>
      </c>
      <c r="V74" s="131">
        <f t="shared" si="33"/>
        <v>1.2877871192346606</v>
      </c>
      <c r="W74" s="131">
        <f t="shared" si="33"/>
        <v>1.2544008263215107</v>
      </c>
      <c r="X74" s="131">
        <f t="shared" si="33"/>
        <v>1.2210145334083609</v>
      </c>
    </row>
    <row r="75" spans="1:24" x14ac:dyDescent="0.3">
      <c r="A75" s="129" t="s">
        <v>650</v>
      </c>
      <c r="B75" s="22"/>
      <c r="C75" s="22"/>
      <c r="D75" s="22"/>
      <c r="E75" s="405">
        <f>E74*(1+(1-WACC!$B$9)*WACC!$D$22)</f>
        <v>2.2217865332629558</v>
      </c>
      <c r="F75" s="405">
        <f>F74*(1+(1-WACC!$B$9)*WACC!$D$22)</f>
        <v>2.1818064474994592</v>
      </c>
      <c r="G75" s="405">
        <f>G74*(1+(1-WACC!$B$9)*WACC!$D$22)</f>
        <v>2.1418263617359616</v>
      </c>
      <c r="H75" s="405">
        <f>H74*(1+(1-WACC!$B$9)*WACC!$D$22)</f>
        <v>2.101846275972465</v>
      </c>
      <c r="I75" s="405">
        <f>I74*(1+(1-WACC!$B$9)*WACC!$D$22)</f>
        <v>2.0618661902089674</v>
      </c>
      <c r="J75" s="405">
        <f>J74*(1+(1-WACC!$B$9)*WACC!$D$22)</f>
        <v>2.0218861044454708</v>
      </c>
      <c r="K75" s="405">
        <f>K74*(1+(1-WACC!$B$9)*WACC!$D$22)</f>
        <v>1.9819060186819737</v>
      </c>
      <c r="L75" s="405">
        <f>L74*(1+(1-WACC!$B$9)*WACC!$D$22)</f>
        <v>1.9419259329184766</v>
      </c>
      <c r="M75" s="405">
        <f>M74*(1+(1-WACC!$B$9)*WACC!$D$22)</f>
        <v>1.9019458471549793</v>
      </c>
      <c r="N75" s="405">
        <f>N74*(1+(1-WACC!$B$9)*WACC!$D$22)</f>
        <v>1.8619657613914824</v>
      </c>
      <c r="O75" s="405">
        <f>O74*(1+(1-WACC!$B$9)*WACC!$D$22)</f>
        <v>1.8219856756279855</v>
      </c>
      <c r="P75" s="405">
        <f>P74*(1+(1-WACC!$B$9)*WACC!$D$22)</f>
        <v>1.7820055898644884</v>
      </c>
      <c r="Q75" s="405">
        <f>Q74*(1+(1-WACC!$B$9)*WACC!$D$22)</f>
        <v>1.7420255041009913</v>
      </c>
      <c r="R75" s="405">
        <f>R74*(1+(1-WACC!$B$9)*WACC!$D$22)</f>
        <v>1.7020454183374945</v>
      </c>
      <c r="S75" s="405">
        <f>S74*(1+(1-WACC!$B$9)*WACC!$D$22)</f>
        <v>1.6620653325739969</v>
      </c>
      <c r="T75" s="405">
        <f>T74*(1+(1-WACC!$B$9)*WACC!$D$22)</f>
        <v>1.6220852468105005</v>
      </c>
      <c r="U75" s="405">
        <f>U74*(1+(1-WACC!$B$9)*WACC!$D$22)</f>
        <v>1.5821051610470032</v>
      </c>
      <c r="V75" s="405">
        <f>V74*(1+(1-WACC!$B$9)*WACC!$D$22)</f>
        <v>1.5421250752835061</v>
      </c>
      <c r="W75" s="405">
        <f>W74*(1+(1-WACC!$B$9)*WACC!$D$22)</f>
        <v>1.5021449895200092</v>
      </c>
      <c r="X75" s="405">
        <f>X74*(1+(1-WACC!$B$9)*WACC!$D$22)</f>
        <v>1.4621649037565121</v>
      </c>
    </row>
    <row r="76" spans="1:24" x14ac:dyDescent="0.3">
      <c r="A76" s="129" t="s">
        <v>651</v>
      </c>
      <c r="B76" s="22"/>
      <c r="C76" s="22"/>
      <c r="D76" s="22"/>
      <c r="E76" s="258">
        <f>WACC!$B$7+E75*WACC!$B$8+WACC!$B$10</f>
        <v>0.17569825932946259</v>
      </c>
      <c r="F76" s="258">
        <f>WACC!$B$7+F75*WACC!$B$8+WACC!$B$10</f>
        <v>0.17349935461247026</v>
      </c>
      <c r="G76" s="258">
        <f>WACC!$B$7+G75*WACC!$B$8+WACC!$B$10</f>
        <v>0.17130044989547788</v>
      </c>
      <c r="H76" s="258">
        <f>WACC!$B$7+H75*WACC!$B$8+WACC!$B$10</f>
        <v>0.16910154517848558</v>
      </c>
      <c r="I76" s="258">
        <f>WACC!$B$7+I75*WACC!$B$8+WACC!$B$10</f>
        <v>0.16690264046149322</v>
      </c>
      <c r="J76" s="258">
        <f>WACC!$B$7+J75*WACC!$B$8+WACC!$B$10</f>
        <v>0.1647037357445009</v>
      </c>
      <c r="K76" s="258">
        <f>WACC!$B$7+K75*WACC!$B$8+WACC!$B$10</f>
        <v>0.16250483102750857</v>
      </c>
      <c r="L76" s="258">
        <f>WACC!$B$7+L75*WACC!$B$8+WACC!$B$10</f>
        <v>0.16030592631051621</v>
      </c>
      <c r="M76" s="258">
        <f>WACC!$B$7+M75*WACC!$B$8+WACC!$B$10</f>
        <v>0.15810702159352386</v>
      </c>
      <c r="N76" s="258">
        <f>WACC!$B$7+N75*WACC!$B$8+WACC!$B$10</f>
        <v>0.15590811687653156</v>
      </c>
      <c r="O76" s="258">
        <f>WACC!$B$7+O75*WACC!$B$8+WACC!$B$10</f>
        <v>0.1537092121595392</v>
      </c>
      <c r="P76" s="258">
        <f>WACC!$B$7+P75*WACC!$B$8+WACC!$B$10</f>
        <v>0.15151030744254687</v>
      </c>
      <c r="Q76" s="258">
        <f>WACC!$B$7+Q75*WACC!$B$8+WACC!$B$10</f>
        <v>0.14931140272555454</v>
      </c>
      <c r="R76" s="258">
        <f>WACC!$B$7+R75*WACC!$B$8+WACC!$B$10</f>
        <v>0.14711249800856219</v>
      </c>
      <c r="S76" s="258">
        <f>WACC!$B$7+S75*WACC!$B$8+WACC!$B$10</f>
        <v>0.14491359329156983</v>
      </c>
      <c r="T76" s="258">
        <f>WACC!$B$7+T75*WACC!$B$8+WACC!$B$10</f>
        <v>0.14271468857457753</v>
      </c>
      <c r="U76" s="258">
        <f>WACC!$B$7+U75*WACC!$B$8+WACC!$B$10</f>
        <v>0.14051578385758517</v>
      </c>
      <c r="V76" s="258">
        <f>WACC!$B$7+V75*WACC!$B$8+WACC!$B$10</f>
        <v>0.13831687914059285</v>
      </c>
      <c r="W76" s="258">
        <f>WACC!$B$7+W75*WACC!$B$8+WACC!$B$10</f>
        <v>0.13611797442360052</v>
      </c>
      <c r="X76" s="258">
        <f>WACC!$B$7+X75*WACC!$B$8+WACC!$B$10</f>
        <v>0.13391906970660816</v>
      </c>
    </row>
    <row r="77" spans="1:24" x14ac:dyDescent="0.3">
      <c r="A77" s="85" t="s">
        <v>652</v>
      </c>
      <c r="B77" s="406">
        <f>E77</f>
        <v>0.15398860746357007</v>
      </c>
      <c r="C77" s="213" t="s">
        <v>656</v>
      </c>
      <c r="D77" s="406">
        <f>X77</f>
        <v>0.12056525576528654</v>
      </c>
      <c r="E77" s="407">
        <f>E76*WACC!$D$35+WACC!$D$30*WACC!$D$36</f>
        <v>0.15398860746357007</v>
      </c>
      <c r="F77" s="407">
        <f>F76*WACC!$D$35+WACC!$D$30*WACC!$D$36</f>
        <v>0.15222948368997621</v>
      </c>
      <c r="G77" s="407">
        <f>G76*WACC!$D$35+WACC!$D$30*WACC!$D$36</f>
        <v>0.1504703599163823</v>
      </c>
      <c r="H77" s="407">
        <f>H76*WACC!$D$35+WACC!$D$30*WACC!$D$36</f>
        <v>0.14871123614278847</v>
      </c>
      <c r="I77" s="407">
        <f>I76*WACC!$D$35+WACC!$D$30*WACC!$D$36</f>
        <v>0.14695211236919459</v>
      </c>
      <c r="J77" s="407">
        <f>J76*WACC!$D$35+WACC!$D$30*WACC!$D$36</f>
        <v>0.14519298859560073</v>
      </c>
      <c r="K77" s="407">
        <f>K76*WACC!$D$35+WACC!$D$30*WACC!$D$36</f>
        <v>0.14343386482200685</v>
      </c>
      <c r="L77" s="407">
        <f>L76*WACC!$D$35+WACC!$D$30*WACC!$D$36</f>
        <v>0.14167474104841296</v>
      </c>
      <c r="M77" s="407">
        <f>M76*WACC!$D$35+WACC!$D$30*WACC!$D$36</f>
        <v>0.13991561727481908</v>
      </c>
      <c r="N77" s="407">
        <f>N76*WACC!$D$35+WACC!$D$30*WACC!$D$36</f>
        <v>0.13815649350122525</v>
      </c>
      <c r="O77" s="407">
        <f>O76*WACC!$D$35+WACC!$D$30*WACC!$D$36</f>
        <v>0.13639736972763136</v>
      </c>
      <c r="P77" s="407">
        <f>P76*WACC!$D$35+WACC!$D$30*WACC!$D$36</f>
        <v>0.13463824595403751</v>
      </c>
      <c r="Q77" s="407">
        <f>Q76*WACC!$D$35+WACC!$D$30*WACC!$D$36</f>
        <v>0.13287912218044365</v>
      </c>
      <c r="R77" s="407">
        <f>R76*WACC!$D$35+WACC!$D$30*WACC!$D$36</f>
        <v>0.13111999840684976</v>
      </c>
      <c r="S77" s="407">
        <f>S76*WACC!$D$35+WACC!$D$30*WACC!$D$36</f>
        <v>0.12936087463325588</v>
      </c>
      <c r="T77" s="407">
        <f>T76*WACC!$D$35+WACC!$D$30*WACC!$D$36</f>
        <v>0.12760175085966202</v>
      </c>
      <c r="U77" s="407">
        <f>U76*WACC!$D$35+WACC!$D$30*WACC!$D$36</f>
        <v>0.12584262708606814</v>
      </c>
      <c r="V77" s="407">
        <f>V76*WACC!$D$35+WACC!$D$30*WACC!$D$36</f>
        <v>0.12408350331247428</v>
      </c>
      <c r="W77" s="407">
        <f>W76*WACC!$D$35+WACC!$D$30*WACC!$D$36</f>
        <v>0.12232437953888042</v>
      </c>
      <c r="X77" s="407">
        <f>X76*WACC!$D$35+WACC!$D$30*WACC!$D$36</f>
        <v>0.12056525576528654</v>
      </c>
    </row>
    <row r="78" spans="1:24" x14ac:dyDescent="0.3">
      <c r="A78" s="85"/>
      <c r="B78" s="22"/>
      <c r="C78" s="22"/>
      <c r="D78" s="22"/>
      <c r="E78" s="86"/>
      <c r="F78" s="86"/>
      <c r="G78" s="86"/>
      <c r="H78" s="86"/>
      <c r="I78" s="86"/>
      <c r="J78" s="86"/>
      <c r="K78" s="86"/>
      <c r="L78" s="86"/>
      <c r="M78" s="86"/>
      <c r="N78" s="86"/>
      <c r="O78" s="86"/>
      <c r="P78" s="86"/>
      <c r="Q78" s="86"/>
      <c r="R78" s="86"/>
      <c r="S78" s="86"/>
      <c r="T78" s="86"/>
      <c r="U78" s="86"/>
      <c r="V78" s="86"/>
      <c r="W78" s="86"/>
      <c r="X78" s="86"/>
    </row>
    <row r="79" spans="1:24" x14ac:dyDescent="0.3">
      <c r="A79" t="s">
        <v>79</v>
      </c>
      <c r="B79" s="15"/>
      <c r="C79" s="15"/>
      <c r="D79" s="15"/>
      <c r="E79" s="34">
        <v>0.5</v>
      </c>
      <c r="F79" s="34">
        <v>1.5</v>
      </c>
      <c r="G79" s="34">
        <v>2.5</v>
      </c>
      <c r="H79" s="34">
        <v>3.5</v>
      </c>
      <c r="I79" s="34">
        <v>4.5</v>
      </c>
      <c r="J79" s="34">
        <v>5.5</v>
      </c>
      <c r="K79" s="34">
        <v>6.5</v>
      </c>
      <c r="L79" s="34">
        <v>7.5</v>
      </c>
      <c r="M79" s="34">
        <v>8.5</v>
      </c>
      <c r="N79" s="34">
        <v>9.5</v>
      </c>
      <c r="O79" s="34">
        <v>10.5</v>
      </c>
      <c r="P79" s="34">
        <v>11.5</v>
      </c>
      <c r="Q79" s="34">
        <v>12.5</v>
      </c>
      <c r="R79" s="34">
        <v>13.5</v>
      </c>
      <c r="S79" s="34">
        <v>14.5</v>
      </c>
      <c r="T79" s="34">
        <v>15.5</v>
      </c>
      <c r="U79" s="34">
        <v>16.5</v>
      </c>
      <c r="V79" s="34">
        <v>17.5</v>
      </c>
      <c r="W79" s="34">
        <v>18.5</v>
      </c>
      <c r="X79" s="34">
        <v>19.5</v>
      </c>
    </row>
    <row r="80" spans="1:24" x14ac:dyDescent="0.3">
      <c r="A80" t="s">
        <v>80</v>
      </c>
      <c r="B80" s="15"/>
      <c r="C80" s="15"/>
      <c r="D80" s="15"/>
      <c r="E80" s="408">
        <f>1/(1+E77)^0.5</f>
        <v>0.9308918741616502</v>
      </c>
      <c r="F80" s="408">
        <f>E80/((1+E77)^0.5*(1+F77)^0.5)</f>
        <v>0.80728891039443829</v>
      </c>
      <c r="G80" s="408">
        <f t="shared" ref="G80:X80" si="34">F80/((1+F77)^0.5*(1+G77)^0.5)</f>
        <v>0.70116749971082681</v>
      </c>
      <c r="H80" s="408">
        <f t="shared" si="34"/>
        <v>0.60992807713961983</v>
      </c>
      <c r="I80" s="408">
        <f t="shared" si="34"/>
        <v>0.531374303297519</v>
      </c>
      <c r="J80" s="408">
        <f t="shared" si="34"/>
        <v>0.46364818663638629</v>
      </c>
      <c r="K80" s="408">
        <f t="shared" si="34"/>
        <v>0.4051759883062544</v>
      </c>
      <c r="L80" s="408">
        <f t="shared" si="34"/>
        <v>0.35462306458772747</v>
      </c>
      <c r="M80" s="408">
        <f t="shared" si="34"/>
        <v>0.31085612603284829</v>
      </c>
      <c r="N80" s="408">
        <f t="shared" si="34"/>
        <v>0.27291165827693237</v>
      </c>
      <c r="O80" s="408">
        <f t="shared" si="34"/>
        <v>0.23996946769049024</v>
      </c>
      <c r="P80" s="408">
        <f t="shared" si="34"/>
        <v>0.21133049435535384</v>
      </c>
      <c r="Q80" s="408">
        <f t="shared" si="34"/>
        <v>0.18639818236484551</v>
      </c>
      <c r="R80" s="408">
        <f t="shared" si="34"/>
        <v>0.16466281893544701</v>
      </c>
      <c r="S80" s="408">
        <f t="shared" si="34"/>
        <v>0.14568835397799287</v>
      </c>
      <c r="T80" s="408">
        <f t="shared" si="34"/>
        <v>0.12910129444328397</v>
      </c>
      <c r="U80" s="408">
        <f t="shared" si="34"/>
        <v>0.11458133605929459</v>
      </c>
      <c r="V80" s="408">
        <f t="shared" si="34"/>
        <v>0.10185345157172003</v>
      </c>
      <c r="W80" s="408">
        <f t="shared" si="34"/>
        <v>9.0681201377984438E-2</v>
      </c>
      <c r="X80" s="408">
        <f t="shared" si="34"/>
        <v>8.0861071219592767E-2</v>
      </c>
    </row>
    <row r="81" spans="1:24" x14ac:dyDescent="0.3">
      <c r="A81" t="s">
        <v>81</v>
      </c>
      <c r="B81" s="15"/>
      <c r="C81" s="15"/>
      <c r="D81" s="15"/>
      <c r="E81" s="78">
        <f t="shared" ref="E81:N81" si="35">E61</f>
        <v>-14038.612895999999</v>
      </c>
      <c r="F81" s="78">
        <f t="shared" si="35"/>
        <v>-13893.766931671575</v>
      </c>
      <c r="G81" s="78">
        <f t="shared" si="35"/>
        <v>-14378.212929751575</v>
      </c>
      <c r="H81" s="78">
        <f t="shared" si="35"/>
        <v>-14584.258311001462</v>
      </c>
      <c r="I81" s="78">
        <f t="shared" si="35"/>
        <v>-13470.823348078158</v>
      </c>
      <c r="J81" s="78">
        <f t="shared" si="35"/>
        <v>-12182.346889979743</v>
      </c>
      <c r="K81" s="78">
        <f t="shared" si="35"/>
        <v>-9818.2769992609246</v>
      </c>
      <c r="L81" s="78">
        <f t="shared" si="35"/>
        <v>-6769.5542520978324</v>
      </c>
      <c r="M81" s="78">
        <f t="shared" si="35"/>
        <v>-3246.2383312695765</v>
      </c>
      <c r="N81" s="78">
        <f t="shared" si="35"/>
        <v>457.1565595196862</v>
      </c>
      <c r="O81" s="78">
        <f t="shared" ref="O81:X81" si="36">O61</f>
        <v>4538.974672599581</v>
      </c>
      <c r="P81" s="78">
        <f t="shared" si="36"/>
        <v>5693.2138552407705</v>
      </c>
      <c r="Q81" s="78">
        <f t="shared" si="36"/>
        <v>9657.5799220729768</v>
      </c>
      <c r="R81" s="78">
        <f t="shared" si="36"/>
        <v>14641.779524454485</v>
      </c>
      <c r="S81" s="78">
        <f t="shared" si="36"/>
        <v>19216.840981184578</v>
      </c>
      <c r="T81" s="78">
        <f t="shared" si="36"/>
        <v>25535.906231178556</v>
      </c>
      <c r="U81" s="78">
        <f t="shared" si="36"/>
        <v>31219.800770014994</v>
      </c>
      <c r="V81" s="78">
        <f t="shared" si="36"/>
        <v>37589.258926945346</v>
      </c>
      <c r="W81" s="78">
        <f t="shared" si="36"/>
        <v>43974.963561493409</v>
      </c>
      <c r="X81" s="78">
        <f t="shared" si="36"/>
        <v>49305.7260568899</v>
      </c>
    </row>
    <row r="82" spans="1:24" ht="15" thickBot="1" x14ac:dyDescent="0.35">
      <c r="A82" s="164" t="s">
        <v>82</v>
      </c>
      <c r="B82" s="18"/>
      <c r="C82" s="18"/>
      <c r="D82" s="18"/>
      <c r="E82" s="409">
        <f t="shared" ref="E82:N82" si="37">E81*E80</f>
        <v>-13068.430669387351</v>
      </c>
      <c r="F82" s="409">
        <f t="shared" si="37"/>
        <v>-11216.283967543424</v>
      </c>
      <c r="G82" s="409">
        <f t="shared" si="37"/>
        <v>-10081.535610263794</v>
      </c>
      <c r="H82" s="409">
        <f t="shared" si="37"/>
        <v>-8895.3486281366422</v>
      </c>
      <c r="I82" s="409">
        <f t="shared" si="37"/>
        <v>-7158.0493714289832</v>
      </c>
      <c r="J82" s="409">
        <f t="shared" si="37"/>
        <v>-5648.3230445145282</v>
      </c>
      <c r="K82" s="409">
        <f t="shared" si="37"/>
        <v>-3978.1300866401111</v>
      </c>
      <c r="L82" s="409">
        <f t="shared" si="37"/>
        <v>-2400.6400747718149</v>
      </c>
      <c r="M82" s="409">
        <f t="shared" si="37"/>
        <v>-1009.1130718377985</v>
      </c>
      <c r="N82" s="409">
        <f t="shared" si="37"/>
        <v>124.76335475069469</v>
      </c>
      <c r="O82" s="410">
        <f t="shared" ref="O82:X82" si="38">O81*O80</f>
        <v>1089.2153360443388</v>
      </c>
      <c r="P82" s="410">
        <f t="shared" si="38"/>
        <v>1203.1496984987818</v>
      </c>
      <c r="Q82" s="410">
        <f t="shared" si="38"/>
        <v>1800.1553435176293</v>
      </c>
      <c r="R82" s="410">
        <f t="shared" si="38"/>
        <v>2410.9566907279846</v>
      </c>
      <c r="S82" s="410">
        <f t="shared" si="38"/>
        <v>2799.6699312056185</v>
      </c>
      <c r="T82" s="410">
        <f t="shared" si="38"/>
        <v>3296.7185492274725</v>
      </c>
      <c r="U82" s="410">
        <f t="shared" si="38"/>
        <v>3577.2064837333119</v>
      </c>
      <c r="V82" s="410">
        <f t="shared" si="38"/>
        <v>3828.5957637324727</v>
      </c>
      <c r="W82" s="410">
        <f t="shared" si="38"/>
        <v>3987.7025263093115</v>
      </c>
      <c r="X82" s="410">
        <f t="shared" si="38"/>
        <v>3986.9138262199049</v>
      </c>
    </row>
    <row r="83" spans="1:24" ht="15" thickTop="1" x14ac:dyDescent="0.3"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</row>
    <row r="84" spans="1:24" x14ac:dyDescent="0.3">
      <c r="A84" s="92" t="s">
        <v>83</v>
      </c>
      <c r="B84" s="103"/>
      <c r="C84" s="103"/>
      <c r="D84" s="103"/>
      <c r="E84" s="102"/>
      <c r="F84" s="102"/>
      <c r="G84" s="102"/>
      <c r="H84" s="102"/>
      <c r="I84" s="102"/>
      <c r="J84" s="102"/>
      <c r="K84" s="102"/>
      <c r="L84" s="102"/>
      <c r="M84" s="102"/>
      <c r="N84" s="102"/>
      <c r="O84" s="102"/>
      <c r="P84" s="102"/>
      <c r="Q84" s="102"/>
      <c r="R84" s="102"/>
      <c r="S84" s="102"/>
      <c r="T84" s="102"/>
      <c r="U84" s="102"/>
      <c r="V84" s="102"/>
      <c r="W84" s="102"/>
      <c r="X84" s="102"/>
    </row>
    <row r="85" spans="1:24" x14ac:dyDescent="0.3">
      <c r="A85" s="1" t="s">
        <v>84</v>
      </c>
      <c r="B85" s="32"/>
      <c r="C85" s="32"/>
      <c r="D85" s="32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</row>
    <row r="86" spans="1:24" x14ac:dyDescent="0.3">
      <c r="A86" t="s">
        <v>101</v>
      </c>
      <c r="B86" s="78">
        <f>X61</f>
        <v>49305.7260568899</v>
      </c>
      <c r="C86" s="32"/>
      <c r="D86" s="32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</row>
    <row r="87" spans="1:24" x14ac:dyDescent="0.3">
      <c r="A87" t="s">
        <v>86</v>
      </c>
      <c r="B87" s="78">
        <f>X61*(1+$B$41)</f>
        <v>51031.426468881044</v>
      </c>
      <c r="C87" s="32"/>
      <c r="D87" s="32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</row>
    <row r="88" spans="1:24" x14ac:dyDescent="0.3">
      <c r="A88" t="s">
        <v>87</v>
      </c>
      <c r="B88" s="411">
        <f>B87/($X$77-$B$41)</f>
        <v>596403.59877921711</v>
      </c>
      <c r="C88" s="32"/>
      <c r="D88" s="32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</row>
    <row r="89" spans="1:24" x14ac:dyDescent="0.3">
      <c r="A89" t="s">
        <v>88</v>
      </c>
      <c r="B89" s="421">
        <f>B88*$X$80/(1+$X$77)^0.5</f>
        <v>45557.63486489209</v>
      </c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</row>
    <row r="90" spans="1:24" x14ac:dyDescent="0.3">
      <c r="A90" t="s">
        <v>759</v>
      </c>
      <c r="B90" s="412">
        <f>B88/B94</f>
        <v>3.9092644706546693</v>
      </c>
      <c r="C90" s="21"/>
      <c r="D90" s="21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</row>
    <row r="91" spans="1:24" x14ac:dyDescent="0.3">
      <c r="B91" s="158"/>
      <c r="C91" s="21"/>
      <c r="D91" s="21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</row>
    <row r="92" spans="1:24" x14ac:dyDescent="0.3">
      <c r="A92" s="1" t="s">
        <v>104</v>
      </c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</row>
    <row r="93" spans="1:24" x14ac:dyDescent="0.3">
      <c r="A93" t="s">
        <v>639</v>
      </c>
      <c r="B93" s="79">
        <f>IF(N('AI Comps'!J43)&gt;0,'AI Comps'!J43,6)</f>
        <v>3.2301136363636362</v>
      </c>
      <c r="C93" s="32"/>
      <c r="D93" s="422" t="str">
        <f>IF(N('AI Comps'!J43)&gt;0,"✓ LIVE – "&amp;TEXT('AI Comps'!J43,"0.0x")&amp;" from AI Comps Tier 3 (Social Media)","⚠ FALLBACK – using 6.0x default")</f>
        <v>✓ LIVE – 3.2x from AI Comps Tier 3 (Social Media)</v>
      </c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</row>
    <row r="94" spans="1:24" x14ac:dyDescent="0.3">
      <c r="A94" t="s">
        <v>105</v>
      </c>
      <c r="B94" s="78">
        <f>X46</f>
        <v>152561.58882474885</v>
      </c>
      <c r="C94" s="32"/>
      <c r="D94" s="32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</row>
    <row r="95" spans="1:24" x14ac:dyDescent="0.3">
      <c r="A95" t="s">
        <v>106</v>
      </c>
      <c r="B95" s="411">
        <f>B93*B94</f>
        <v>492791.26844812342</v>
      </c>
      <c r="C95" s="32"/>
      <c r="D95" s="32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</row>
    <row r="96" spans="1:24" ht="15" thickBot="1" x14ac:dyDescent="0.35">
      <c r="A96" s="164" t="s">
        <v>107</v>
      </c>
      <c r="B96" s="409">
        <f>B95*$X$80/(1+$X$77)^0.5</f>
        <v>37642.97317876773</v>
      </c>
      <c r="C96" s="214"/>
      <c r="D96" s="214"/>
      <c r="E96" s="164"/>
      <c r="F96" s="164"/>
      <c r="G96" s="164"/>
      <c r="H96" s="164"/>
      <c r="I96" s="164"/>
      <c r="J96" s="164"/>
      <c r="K96" s="164"/>
      <c r="L96" s="164"/>
      <c r="M96" s="164"/>
      <c r="N96" s="164"/>
      <c r="O96" s="164"/>
      <c r="P96" s="164"/>
      <c r="Q96" s="164"/>
      <c r="R96" s="164"/>
      <c r="S96" s="164"/>
      <c r="T96" s="164"/>
      <c r="U96" s="164"/>
      <c r="V96" s="164"/>
      <c r="W96" s="164"/>
      <c r="X96" s="164"/>
    </row>
    <row r="97" spans="1:24" ht="15" thickTop="1" x14ac:dyDescent="0.3">
      <c r="B97" s="28"/>
      <c r="C97" s="9"/>
      <c r="D97" s="9"/>
    </row>
    <row r="98" spans="1:24" x14ac:dyDescent="0.3">
      <c r="A98" s="92" t="s">
        <v>108</v>
      </c>
      <c r="B98" s="219"/>
      <c r="C98" s="219"/>
      <c r="D98" s="220"/>
      <c r="E98" s="87"/>
      <c r="F98" s="87"/>
      <c r="G98" s="87"/>
      <c r="H98" s="87"/>
      <c r="I98" s="87"/>
      <c r="J98" s="87"/>
      <c r="K98" s="87"/>
      <c r="L98" s="87"/>
      <c r="M98" s="87"/>
      <c r="N98" s="87"/>
      <c r="O98" s="87"/>
      <c r="P98" s="87"/>
      <c r="Q98" s="87"/>
      <c r="R98" s="87"/>
      <c r="S98" s="87"/>
      <c r="T98" s="87"/>
      <c r="U98" s="87"/>
      <c r="V98" s="87"/>
      <c r="W98" s="87"/>
      <c r="X98" s="87"/>
    </row>
    <row r="99" spans="1:24" s="82" customFormat="1" ht="3" customHeight="1" x14ac:dyDescent="0.3">
      <c r="A99" s="143"/>
      <c r="B99" s="124"/>
      <c r="C99" s="124"/>
      <c r="D99" s="124"/>
    </row>
    <row r="100" spans="1:24" x14ac:dyDescent="0.3">
      <c r="A100" s="93"/>
      <c r="B100" s="137" t="s">
        <v>190</v>
      </c>
      <c r="C100" s="137" t="s">
        <v>191</v>
      </c>
      <c r="D100" s="141"/>
      <c r="E100" s="134"/>
      <c r="F100" s="134"/>
      <c r="G100" s="134"/>
      <c r="H100" s="134"/>
      <c r="I100" s="134"/>
      <c r="J100" s="134"/>
      <c r="K100" s="134"/>
      <c r="L100" s="134"/>
      <c r="M100" s="134"/>
      <c r="N100" s="134"/>
      <c r="O100" s="134"/>
      <c r="P100" s="134"/>
      <c r="Q100" s="134"/>
      <c r="R100" s="134"/>
      <c r="S100" s="134"/>
      <c r="T100" s="134"/>
      <c r="U100" s="134"/>
      <c r="V100" s="134"/>
      <c r="W100" s="134"/>
      <c r="X100" s="134"/>
    </row>
    <row r="101" spans="1:24" x14ac:dyDescent="0.3">
      <c r="A101" t="s">
        <v>96</v>
      </c>
      <c r="B101" s="78">
        <f>SUM(E82:X82)</f>
        <v>-35350.807020556931</v>
      </c>
      <c r="C101" s="78">
        <f>SUM(E82:X82)</f>
        <v>-35350.807020556931</v>
      </c>
      <c r="D101" s="9"/>
    </row>
    <row r="102" spans="1:24" x14ac:dyDescent="0.3">
      <c r="A102" t="s">
        <v>97</v>
      </c>
      <c r="B102" s="78">
        <f>B96</f>
        <v>37642.97317876773</v>
      </c>
      <c r="C102" s="78">
        <f>B89</f>
        <v>45557.63486489209</v>
      </c>
      <c r="D102" s="9"/>
    </row>
    <row r="103" spans="1:24" x14ac:dyDescent="0.3">
      <c r="A103" s="482" t="s">
        <v>724</v>
      </c>
      <c r="B103" s="483">
        <f>B101+B102</f>
        <v>2292.166158210799</v>
      </c>
      <c r="C103" s="483">
        <f>C101+C102</f>
        <v>10206.827844335159</v>
      </c>
      <c r="D103" s="139"/>
      <c r="E103" s="101"/>
      <c r="F103" s="101"/>
      <c r="G103" s="101"/>
      <c r="H103" s="101"/>
      <c r="I103" s="101"/>
      <c r="J103" s="101"/>
      <c r="K103" s="101"/>
      <c r="L103" s="101"/>
      <c r="M103" s="101"/>
      <c r="N103" s="101"/>
      <c r="O103" s="101"/>
      <c r="P103" s="101"/>
      <c r="Q103" s="101"/>
      <c r="R103" s="101"/>
      <c r="S103" s="101"/>
      <c r="T103" s="101"/>
      <c r="U103" s="101"/>
      <c r="V103" s="101"/>
      <c r="W103" s="101"/>
      <c r="X103" s="101"/>
    </row>
    <row r="104" spans="1:24" x14ac:dyDescent="0.3">
      <c r="B104" s="21"/>
      <c r="C104" s="21"/>
      <c r="D104" s="5"/>
    </row>
    <row r="105" spans="1:24" ht="15" thickBot="1" x14ac:dyDescent="0.35">
      <c r="A105" s="164" t="s">
        <v>98</v>
      </c>
      <c r="B105" s="230">
        <f>B102/B103</f>
        <v>16.422445224542876</v>
      </c>
      <c r="C105" s="230">
        <f>C102/C103</f>
        <v>4.4634469748773915</v>
      </c>
      <c r="D105" s="164"/>
      <c r="E105" s="164"/>
      <c r="F105" s="164"/>
      <c r="G105" s="164"/>
      <c r="H105" s="164"/>
      <c r="I105" s="164"/>
      <c r="J105" s="164"/>
      <c r="K105" s="164"/>
      <c r="L105" s="164"/>
      <c r="M105" s="164"/>
      <c r="N105" s="164"/>
      <c r="O105" s="164"/>
      <c r="P105" s="164"/>
      <c r="Q105" s="164"/>
      <c r="R105" s="164"/>
      <c r="S105" s="164"/>
      <c r="T105" s="164"/>
      <c r="U105" s="164"/>
      <c r="V105" s="164"/>
      <c r="W105" s="164"/>
      <c r="X105" s="164"/>
    </row>
    <row r="106" spans="1:24" ht="15" thickTop="1" x14ac:dyDescent="0.3"/>
    <row r="107" spans="1:24" x14ac:dyDescent="0.3">
      <c r="A107" s="92" t="s">
        <v>880</v>
      </c>
      <c r="B107" s="92"/>
      <c r="C107" s="92"/>
      <c r="D107" s="92"/>
      <c r="E107" s="92"/>
      <c r="F107" s="92"/>
      <c r="G107" s="92"/>
      <c r="H107" s="92"/>
      <c r="I107" s="92"/>
      <c r="J107" s="92"/>
      <c r="K107" s="92"/>
      <c r="L107" s="92"/>
      <c r="M107" s="92"/>
      <c r="N107" s="92"/>
      <c r="O107" s="92"/>
      <c r="P107" s="92"/>
      <c r="Q107" s="92"/>
      <c r="R107" s="92"/>
      <c r="S107" s="92"/>
      <c r="T107" s="92"/>
      <c r="U107" s="92"/>
      <c r="V107" s="92"/>
      <c r="W107" s="92"/>
      <c r="X107" s="92"/>
    </row>
    <row r="108" spans="1:24" ht="3" customHeight="1" x14ac:dyDescent="0.3"/>
    <row r="109" spans="1:24" x14ac:dyDescent="0.3">
      <c r="A109" s="93" t="s">
        <v>871</v>
      </c>
      <c r="B109" s="93"/>
      <c r="C109" s="93"/>
      <c r="D109" s="93"/>
      <c r="E109" s="93"/>
      <c r="F109" s="93"/>
      <c r="G109" s="93"/>
      <c r="H109" s="93"/>
      <c r="I109" s="93"/>
      <c r="J109" s="146"/>
      <c r="K109" s="146"/>
      <c r="L109" s="146"/>
      <c r="M109" s="146"/>
      <c r="N109" s="146"/>
      <c r="O109" s="146"/>
      <c r="P109" s="146"/>
      <c r="Q109" s="146"/>
      <c r="R109" s="146"/>
      <c r="S109" s="146"/>
      <c r="T109" s="146"/>
      <c r="U109" s="146"/>
      <c r="V109" s="146"/>
      <c r="W109" s="146"/>
      <c r="X109" s="146"/>
    </row>
    <row r="110" spans="1:24" x14ac:dyDescent="0.3">
      <c r="B110" s="526" t="s">
        <v>916</v>
      </c>
      <c r="C110" s="527">
        <f>$B$41-0.0075</f>
        <v>2.7500000000000004E-2</v>
      </c>
      <c r="D110" s="527">
        <f>$B$41-0.005</f>
        <v>3.0000000000000002E-2</v>
      </c>
      <c r="E110" s="527">
        <f>$B$41-0.0025</f>
        <v>3.2500000000000001E-2</v>
      </c>
      <c r="F110" s="527">
        <f>$B$41</f>
        <v>3.5000000000000003E-2</v>
      </c>
      <c r="G110" s="527">
        <f>$B$41+0.0025</f>
        <v>3.7500000000000006E-2</v>
      </c>
      <c r="H110" s="528">
        <f>$B$41+0.005</f>
        <v>0.04</v>
      </c>
      <c r="I110" s="528">
        <f>$B$41+0.0075</f>
        <v>4.2500000000000003E-2</v>
      </c>
    </row>
    <row r="111" spans="1:24" x14ac:dyDescent="0.3">
      <c r="B111" s="527">
        <f>$B$43-0.0075</f>
        <v>0.12977693161442827</v>
      </c>
      <c r="C111" s="78">
        <f t="shared" ref="C111:I117" si="39">SUMPRODUCT($E$61:$X$61,1/(1+$B111)^$E$79:$X$79)+($X$61*(1+C$110)/($B111-C$110))/(1+$B111)^20</f>
        <v>8588.0302727467642</v>
      </c>
      <c r="D111" s="78">
        <f t="shared" si="39"/>
        <v>9776.9928316628648</v>
      </c>
      <c r="E111" s="78">
        <f t="shared" si="39"/>
        <v>11027.067647060736</v>
      </c>
      <c r="F111" s="78">
        <f t="shared" si="39"/>
        <v>12343.090726139664</v>
      </c>
      <c r="G111" s="78">
        <f t="shared" si="39"/>
        <v>13730.422151522187</v>
      </c>
      <c r="H111" s="78">
        <f t="shared" si="39"/>
        <v>15195.019050364004</v>
      </c>
      <c r="I111" s="78">
        <f t="shared" si="39"/>
        <v>16743.521104425548</v>
      </c>
    </row>
    <row r="112" spans="1:24" x14ac:dyDescent="0.3">
      <c r="B112" s="527">
        <f>$B$43-0.005</f>
        <v>0.13227693161442827</v>
      </c>
      <c r="C112" s="78">
        <f t="shared" si="39"/>
        <v>5067.6109499438971</v>
      </c>
      <c r="D112" s="78">
        <f t="shared" si="39"/>
        <v>6153.270041181182</v>
      </c>
      <c r="E112" s="78">
        <f t="shared" si="39"/>
        <v>7293.333445803888</v>
      </c>
      <c r="F112" s="78">
        <f t="shared" si="39"/>
        <v>8491.9957076120481</v>
      </c>
      <c r="G112" s="78">
        <f t="shared" si="39"/>
        <v>9753.8939405257479</v>
      </c>
      <c r="H112" s="78">
        <f t="shared" si="39"/>
        <v>11084.167779933734</v>
      </c>
      <c r="I112" s="78">
        <f t="shared" si="39"/>
        <v>12488.529350760356</v>
      </c>
    </row>
    <row r="113" spans="1:24" x14ac:dyDescent="0.3">
      <c r="B113" s="527">
        <f>$B$43-0.0025</f>
        <v>0.13477693161442827</v>
      </c>
      <c r="C113" s="78">
        <f t="shared" si="39"/>
        <v>1797.8255211353244</v>
      </c>
      <c r="D113" s="78">
        <f t="shared" si="39"/>
        <v>2790.4063298933906</v>
      </c>
      <c r="E113" s="78">
        <f t="shared" si="39"/>
        <v>3831.5113167378659</v>
      </c>
      <c r="F113" s="78">
        <f t="shared" si="39"/>
        <v>4924.7879313323137</v>
      </c>
      <c r="G113" s="78">
        <f t="shared" si="39"/>
        <v>6074.2585785946576</v>
      </c>
      <c r="H113" s="78">
        <f t="shared" si="39"/>
        <v>7284.3700710332414</v>
      </c>
      <c r="I113" s="78">
        <f t="shared" si="39"/>
        <v>8560.051119766511</v>
      </c>
    </row>
    <row r="114" spans="1:24" x14ac:dyDescent="0.3">
      <c r="B114" s="527">
        <f>$B$43</f>
        <v>0.13727693161442828</v>
      </c>
      <c r="C114" s="78">
        <f t="shared" si="39"/>
        <v>-1241.2914282498896</v>
      </c>
      <c r="D114" s="78">
        <f t="shared" si="39"/>
        <v>-332.7147912439832</v>
      </c>
      <c r="E114" s="78">
        <f t="shared" si="39"/>
        <v>619.2195115670911</v>
      </c>
      <c r="F114" s="470">
        <f t="shared" si="39"/>
        <v>1617.6909116387469</v>
      </c>
      <c r="G114" s="78">
        <f t="shared" si="39"/>
        <v>2666.197494388216</v>
      </c>
      <c r="H114" s="78">
        <f t="shared" si="39"/>
        <v>3768.5969459478001</v>
      </c>
      <c r="I114" s="78">
        <f t="shared" si="39"/>
        <v>4929.1539804118656</v>
      </c>
    </row>
    <row r="115" spans="1:24" x14ac:dyDescent="0.3">
      <c r="B115" s="527">
        <f>$B$43+0.0025</f>
        <v>0.13977693161442828</v>
      </c>
      <c r="C115" s="78">
        <f t="shared" si="39"/>
        <v>-4067.8200467288552</v>
      </c>
      <c r="D115" s="78">
        <f t="shared" si="39"/>
        <v>-3235.1779781226578</v>
      </c>
      <c r="E115" s="78">
        <f t="shared" si="39"/>
        <v>-2363.727842578126</v>
      </c>
      <c r="F115" s="78">
        <f t="shared" si="39"/>
        <v>-1450.6917337608102</v>
      </c>
      <c r="G115" s="78">
        <f t="shared" si="39"/>
        <v>-493.02013899346639</v>
      </c>
      <c r="H115" s="78">
        <f t="shared" si="39"/>
        <v>512.64208743951895</v>
      </c>
      <c r="I115" s="78">
        <f t="shared" si="39"/>
        <v>1569.9949978683289</v>
      </c>
    </row>
    <row r="116" spans="1:24" x14ac:dyDescent="0.3">
      <c r="B116" s="527">
        <f>$B$43+0.005</f>
        <v>0.14227693161442828</v>
      </c>
      <c r="C116" s="78">
        <f t="shared" si="39"/>
        <v>-6698.1650177204319</v>
      </c>
      <c r="D116" s="78">
        <f t="shared" si="39"/>
        <v>-5934.2667903290385</v>
      </c>
      <c r="E116" s="78">
        <f t="shared" si="39"/>
        <v>-5135.5753592947112</v>
      </c>
      <c r="F116" s="78">
        <f t="shared" si="39"/>
        <v>-4299.658244275277</v>
      </c>
      <c r="G116" s="78">
        <f t="shared" si="39"/>
        <v>-3423.8508069234449</v>
      </c>
      <c r="H116" s="78">
        <f t="shared" si="39"/>
        <v>-2505.2278771860365</v>
      </c>
      <c r="I116" s="78">
        <f t="shared" si="39"/>
        <v>-1540.5711140327403</v>
      </c>
    </row>
    <row r="117" spans="1:24" x14ac:dyDescent="0.3">
      <c r="B117" s="527">
        <f>$B$43+0.0075</f>
        <v>0.14477693161442828</v>
      </c>
      <c r="C117" s="78">
        <f t="shared" si="39"/>
        <v>-9147.2383217456227</v>
      </c>
      <c r="D117" s="78">
        <f t="shared" si="39"/>
        <v>-8445.6640666352541</v>
      </c>
      <c r="E117" s="78">
        <f t="shared" si="39"/>
        <v>-7712.8467839045879</v>
      </c>
      <c r="F117" s="78">
        <f t="shared" si="39"/>
        <v>-6946.6519385132888</v>
      </c>
      <c r="G117" s="78">
        <f t="shared" si="39"/>
        <v>-6144.7460211393663</v>
      </c>
      <c r="H117" s="78">
        <f t="shared" si="39"/>
        <v>-5304.5728103346373</v>
      </c>
      <c r="I117" s="78">
        <f t="shared" si="39"/>
        <v>-4423.3261532726392</v>
      </c>
    </row>
    <row r="118" spans="1:24" ht="3" customHeight="1" x14ac:dyDescent="0.3"/>
    <row r="119" spans="1:24" x14ac:dyDescent="0.3">
      <c r="A119" s="93" t="s">
        <v>881</v>
      </c>
      <c r="B119" s="93"/>
      <c r="C119" s="93"/>
      <c r="D119" s="93"/>
      <c r="E119" s="93"/>
      <c r="F119" s="93"/>
      <c r="G119" s="93"/>
      <c r="H119" s="93"/>
      <c r="I119" s="93"/>
      <c r="J119" s="146"/>
      <c r="K119" s="146"/>
      <c r="L119" s="146"/>
      <c r="M119" s="146"/>
      <c r="N119" s="146"/>
      <c r="O119" s="146"/>
      <c r="P119" s="146"/>
      <c r="Q119" s="146"/>
      <c r="R119" s="146"/>
      <c r="S119" s="146"/>
      <c r="T119" s="146"/>
      <c r="U119" s="146"/>
      <c r="V119" s="146"/>
      <c r="W119" s="146"/>
      <c r="X119" s="146"/>
    </row>
    <row r="120" spans="1:24" x14ac:dyDescent="0.3">
      <c r="B120" s="526" t="s">
        <v>917</v>
      </c>
      <c r="C120" s="529">
        <f>$B$93-2.25</f>
        <v>0.98011363636363624</v>
      </c>
      <c r="D120" s="529">
        <f>$B$93-1.5</f>
        <v>1.7301136363636362</v>
      </c>
      <c r="E120" s="529">
        <f>$B$93-0.75</f>
        <v>2.4801136363636362</v>
      </c>
      <c r="F120" s="529">
        <f>$B$93</f>
        <v>3.2301136363636362</v>
      </c>
      <c r="G120" s="529">
        <f>$B$93+0.75</f>
        <v>3.9801136363636362</v>
      </c>
      <c r="H120" s="530">
        <f>$B$93+1.5</f>
        <v>4.7301136363636367</v>
      </c>
      <c r="I120" s="530">
        <f>$B$93+2.25</f>
        <v>5.4801136363636367</v>
      </c>
    </row>
    <row r="121" spans="1:24" x14ac:dyDescent="0.3">
      <c r="B121" s="527">
        <f>$B$43-0.0075</f>
        <v>0.12977693161442827</v>
      </c>
      <c r="C121" s="78">
        <f t="shared" ref="C121:I127" si="40">SUMPRODUCT($E$61:$X$61,1/(1+$B121)^$E$79:$X$79)+($X$46*C$120)/(1+$B121)^20</f>
        <v>-21540.896677065186</v>
      </c>
      <c r="D121" s="78">
        <f t="shared" si="40"/>
        <v>-11571.878000662171</v>
      </c>
      <c r="E121" s="78">
        <f t="shared" si="40"/>
        <v>-1602.8593242591523</v>
      </c>
      <c r="F121" s="78">
        <f t="shared" si="40"/>
        <v>8366.1593521438626</v>
      </c>
      <c r="G121" s="78">
        <f t="shared" si="40"/>
        <v>18335.178028546878</v>
      </c>
      <c r="H121" s="78">
        <f t="shared" si="40"/>
        <v>28304.1967049499</v>
      </c>
      <c r="I121" s="78">
        <f t="shared" si="40"/>
        <v>38273.215381352915</v>
      </c>
    </row>
    <row r="122" spans="1:24" x14ac:dyDescent="0.3">
      <c r="B122" s="527">
        <f>$B$43-0.005</f>
        <v>0.13227693161442827</v>
      </c>
      <c r="C122" s="78">
        <f t="shared" si="40"/>
        <v>-22773.203146103151</v>
      </c>
      <c r="D122" s="78">
        <f t="shared" si="40"/>
        <v>-13235.291835789965</v>
      </c>
      <c r="E122" s="78">
        <f t="shared" si="40"/>
        <v>-3697.3805254767758</v>
      </c>
      <c r="F122" s="78">
        <f t="shared" si="40"/>
        <v>5840.5307848364173</v>
      </c>
      <c r="G122" s="78">
        <f t="shared" si="40"/>
        <v>15378.442095149599</v>
      </c>
      <c r="H122" s="78">
        <f t="shared" si="40"/>
        <v>24916.353405462803</v>
      </c>
      <c r="I122" s="78">
        <f t="shared" si="40"/>
        <v>34454.264715775986</v>
      </c>
    </row>
    <row r="123" spans="1:24" x14ac:dyDescent="0.3">
      <c r="B123" s="527">
        <f>$B$43-0.0025</f>
        <v>0.13477693161442827</v>
      </c>
      <c r="C123" s="78">
        <f t="shared" si="40"/>
        <v>-23942.871257786006</v>
      </c>
      <c r="D123" s="78">
        <f t="shared" si="40"/>
        <v>-14816.534421821085</v>
      </c>
      <c r="E123" s="78">
        <f t="shared" si="40"/>
        <v>-5690.19758585616</v>
      </c>
      <c r="F123" s="513">
        <f t="shared" si="40"/>
        <v>3436.1392501087685</v>
      </c>
      <c r="G123" s="78">
        <f t="shared" si="40"/>
        <v>12562.476086073686</v>
      </c>
      <c r="H123" s="78">
        <f t="shared" si="40"/>
        <v>21688.812922038618</v>
      </c>
      <c r="I123" s="78">
        <f t="shared" si="40"/>
        <v>30815.149758003543</v>
      </c>
    </row>
    <row r="124" spans="1:24" x14ac:dyDescent="0.3">
      <c r="B124" s="527">
        <f>$B$43</f>
        <v>0.13727693161442828</v>
      </c>
      <c r="C124" s="78">
        <f t="shared" si="40"/>
        <v>-25052.756149319583</v>
      </c>
      <c r="D124" s="78">
        <f t="shared" si="40"/>
        <v>-16319.386045289735</v>
      </c>
      <c r="E124" s="515">
        <f t="shared" si="40"/>
        <v>-7586.0159412598878</v>
      </c>
      <c r="F124" s="516">
        <f t="shared" si="40"/>
        <v>1147.3541627699669</v>
      </c>
      <c r="G124" s="517">
        <f t="shared" si="40"/>
        <v>9880.7242667998071</v>
      </c>
      <c r="H124" s="78">
        <f t="shared" si="40"/>
        <v>18614.094370829662</v>
      </c>
      <c r="I124" s="78">
        <f t="shared" si="40"/>
        <v>27347.464474859509</v>
      </c>
    </row>
    <row r="125" spans="1:24" x14ac:dyDescent="0.3">
      <c r="B125" s="527">
        <f>$B$43+0.0025</f>
        <v>0.13977693161442828</v>
      </c>
      <c r="C125" s="78">
        <f t="shared" si="40"/>
        <v>-26105.579834185286</v>
      </c>
      <c r="D125" s="78">
        <f t="shared" si="40"/>
        <v>-17747.448157541654</v>
      </c>
      <c r="E125" s="78">
        <f t="shared" si="40"/>
        <v>-9389.3164808980218</v>
      </c>
      <c r="F125" s="514">
        <f t="shared" si="40"/>
        <v>-1031.1848042543861</v>
      </c>
      <c r="G125" s="78">
        <f t="shared" si="40"/>
        <v>7326.9468723892423</v>
      </c>
      <c r="H125" s="78">
        <f t="shared" si="40"/>
        <v>15685.078549032878</v>
      </c>
      <c r="I125" s="78">
        <f t="shared" si="40"/>
        <v>24043.210225676514</v>
      </c>
    </row>
    <row r="126" spans="1:24" x14ac:dyDescent="0.3">
      <c r="B126" s="527">
        <f>$B$43+0.005</f>
        <v>0.14227693161442828</v>
      </c>
      <c r="C126" s="78">
        <f t="shared" si="40"/>
        <v>-27103.937678219201</v>
      </c>
      <c r="D126" s="78">
        <f t="shared" si="40"/>
        <v>-19104.152202539197</v>
      </c>
      <c r="E126" s="78">
        <f t="shared" si="40"/>
        <v>-11104.366726859193</v>
      </c>
      <c r="F126" s="78">
        <f t="shared" si="40"/>
        <v>-3104.581251179181</v>
      </c>
      <c r="G126" s="78">
        <f t="shared" si="40"/>
        <v>4895.2042245008197</v>
      </c>
      <c r="H126" s="78">
        <f t="shared" si="40"/>
        <v>12894.989700180828</v>
      </c>
      <c r="I126" s="78">
        <f t="shared" si="40"/>
        <v>20894.775175860836</v>
      </c>
    </row>
    <row r="127" spans="1:24" ht="15" thickBot="1" x14ac:dyDescent="0.35">
      <c r="A127" s="164"/>
      <c r="B127" s="531">
        <f>$B$43+0.0075</f>
        <v>0.14477693161442828</v>
      </c>
      <c r="C127" s="490">
        <f t="shared" si="40"/>
        <v>-28050.304546201187</v>
      </c>
      <c r="D127" s="490">
        <f t="shared" si="40"/>
        <v>-20392.767989415726</v>
      </c>
      <c r="E127" s="490">
        <f t="shared" si="40"/>
        <v>-12735.231432630269</v>
      </c>
      <c r="F127" s="490">
        <f t="shared" si="40"/>
        <v>-5077.6948758448052</v>
      </c>
      <c r="G127" s="490">
        <f t="shared" si="40"/>
        <v>2579.8416809406481</v>
      </c>
      <c r="H127" s="490">
        <f t="shared" si="40"/>
        <v>10237.378237726116</v>
      </c>
      <c r="I127" s="490">
        <f t="shared" si="40"/>
        <v>17894.914794511576</v>
      </c>
      <c r="J127" s="164"/>
      <c r="K127" s="164"/>
      <c r="L127" s="164"/>
      <c r="M127" s="164"/>
      <c r="N127" s="164"/>
      <c r="O127" s="164"/>
      <c r="P127" s="164"/>
      <c r="Q127" s="164"/>
      <c r="R127" s="164"/>
      <c r="S127" s="164"/>
      <c r="T127" s="164"/>
      <c r="U127" s="164"/>
      <c r="V127" s="164"/>
      <c r="W127" s="164"/>
      <c r="X127" s="164"/>
    </row>
    <row r="128" spans="1:24" ht="15" thickTop="1" x14ac:dyDescent="0.3"/>
    <row r="129" spans="1:24" x14ac:dyDescent="0.3">
      <c r="A129" s="92" t="s">
        <v>882</v>
      </c>
      <c r="B129" s="92"/>
      <c r="C129" s="92"/>
      <c r="D129" s="92"/>
      <c r="E129" s="92"/>
      <c r="F129" s="92"/>
      <c r="G129" s="92"/>
      <c r="H129" s="92"/>
      <c r="I129" s="92"/>
      <c r="J129" s="92"/>
      <c r="K129" s="92"/>
      <c r="L129" s="92"/>
      <c r="M129" s="92"/>
      <c r="N129" s="92"/>
      <c r="O129" s="92"/>
      <c r="P129" s="92"/>
      <c r="Q129" s="92"/>
      <c r="R129" s="92"/>
      <c r="S129" s="92"/>
      <c r="T129" s="92"/>
      <c r="U129" s="92"/>
      <c r="V129" s="92"/>
      <c r="W129" s="92"/>
      <c r="X129" s="92"/>
    </row>
    <row r="130" spans="1:24" s="82" customFormat="1" ht="3" customHeight="1" x14ac:dyDescent="0.3">
      <c r="A130" s="143"/>
      <c r="B130" s="143"/>
      <c r="C130" s="143"/>
      <c r="D130" s="143"/>
      <c r="E130" s="143"/>
      <c r="F130" s="143"/>
      <c r="G130" s="143"/>
      <c r="H130" s="143"/>
      <c r="I130" s="143"/>
      <c r="J130" s="143"/>
      <c r="K130" s="143"/>
      <c r="L130" s="143"/>
      <c r="M130" s="143"/>
      <c r="N130" s="143"/>
      <c r="O130" s="143"/>
      <c r="P130" s="143"/>
      <c r="Q130" s="143"/>
      <c r="R130" s="143"/>
      <c r="S130" s="143"/>
      <c r="T130" s="143"/>
      <c r="U130" s="143"/>
      <c r="V130" s="143"/>
      <c r="W130" s="143"/>
      <c r="X130" s="143"/>
    </row>
    <row r="131" spans="1:24" x14ac:dyDescent="0.3">
      <c r="A131" s="93" t="s">
        <v>725</v>
      </c>
      <c r="B131" s="93"/>
      <c r="C131" s="94"/>
      <c r="D131" s="94"/>
      <c r="E131" s="94"/>
      <c r="F131" s="94"/>
      <c r="G131" s="94"/>
      <c r="H131" s="94"/>
      <c r="I131" s="94"/>
      <c r="J131" s="94"/>
      <c r="K131" s="94"/>
      <c r="L131" s="94"/>
      <c r="M131" s="94"/>
      <c r="N131" s="94"/>
      <c r="O131" s="94"/>
      <c r="P131" s="94"/>
      <c r="Q131" s="94"/>
      <c r="R131" s="94"/>
      <c r="S131" s="94"/>
      <c r="T131" s="94"/>
      <c r="U131" s="94"/>
      <c r="V131" s="94"/>
      <c r="W131" s="94"/>
      <c r="X131" s="94"/>
    </row>
    <row r="132" spans="1:24" x14ac:dyDescent="0.3">
      <c r="A132" t="s">
        <v>205</v>
      </c>
      <c r="C132" s="15"/>
      <c r="D132" s="37">
        <v>31</v>
      </c>
      <c r="E132" s="37">
        <v>34.799999999999997</v>
      </c>
      <c r="F132" s="37">
        <v>39.1</v>
      </c>
      <c r="G132" s="37">
        <v>43.8</v>
      </c>
      <c r="H132" s="37">
        <v>49.2</v>
      </c>
      <c r="I132" s="37">
        <v>55.2</v>
      </c>
      <c r="J132" s="37">
        <v>62</v>
      </c>
      <c r="K132" s="37">
        <v>69.599999999999994</v>
      </c>
      <c r="L132" s="37">
        <v>78.099999999999994</v>
      </c>
      <c r="M132" s="37">
        <v>87.6</v>
      </c>
      <c r="N132" s="37">
        <v>98.3</v>
      </c>
      <c r="O132" s="37">
        <v>110.4</v>
      </c>
      <c r="P132" s="37">
        <v>123.9</v>
      </c>
      <c r="Q132" s="37">
        <v>139.1</v>
      </c>
      <c r="R132" s="37">
        <v>156.1</v>
      </c>
      <c r="S132" s="37">
        <v>175.2</v>
      </c>
      <c r="T132" s="37">
        <v>196.6</v>
      </c>
      <c r="U132" s="37">
        <v>220.7</v>
      </c>
      <c r="V132" s="37">
        <v>247.7</v>
      </c>
      <c r="W132" s="37">
        <v>278</v>
      </c>
      <c r="X132" s="37">
        <v>312</v>
      </c>
    </row>
    <row r="133" spans="1:24" x14ac:dyDescent="0.3">
      <c r="A133" t="s">
        <v>206</v>
      </c>
      <c r="C133" s="15"/>
      <c r="D133" s="16">
        <v>5.0000000000000001E-3</v>
      </c>
      <c r="E133" s="16">
        <v>8.0000000000000002E-3</v>
      </c>
      <c r="F133" s="16">
        <v>1.0999999999999999E-2</v>
      </c>
      <c r="G133" s="16">
        <v>1.4999999999999999E-2</v>
      </c>
      <c r="H133" s="16">
        <v>1.9E-2</v>
      </c>
      <c r="I133" s="16">
        <v>2.4E-2</v>
      </c>
      <c r="J133" s="16">
        <v>2.9000000000000001E-2</v>
      </c>
      <c r="K133" s="16">
        <v>3.4000000000000002E-2</v>
      </c>
      <c r="L133" s="16">
        <v>0.04</v>
      </c>
      <c r="M133" s="16">
        <v>4.4999999999999998E-2</v>
      </c>
      <c r="N133" s="16">
        <v>0.05</v>
      </c>
      <c r="O133" s="16">
        <v>5.5E-2</v>
      </c>
      <c r="P133" s="16">
        <v>0.06</v>
      </c>
      <c r="Q133" s="16">
        <v>6.4000000000000001E-2</v>
      </c>
      <c r="R133" s="16">
        <v>6.8000000000000005E-2</v>
      </c>
      <c r="S133" s="16">
        <v>7.0999999999999994E-2</v>
      </c>
      <c r="T133" s="16">
        <v>7.3999999999999996E-2</v>
      </c>
      <c r="U133" s="16">
        <v>7.5999999999999998E-2</v>
      </c>
      <c r="V133" s="16">
        <v>7.8E-2</v>
      </c>
      <c r="W133" s="16">
        <v>7.9000000000000001E-2</v>
      </c>
      <c r="X133" s="16">
        <v>0.08</v>
      </c>
    </row>
    <row r="134" spans="1:24" x14ac:dyDescent="0.3">
      <c r="A134" t="s">
        <v>207</v>
      </c>
      <c r="C134" s="15"/>
      <c r="D134" s="64">
        <f t="shared" ref="D134:X134" si="41">D132*1000*D133</f>
        <v>155</v>
      </c>
      <c r="E134" s="64">
        <f t="shared" si="41"/>
        <v>278.40000000000003</v>
      </c>
      <c r="F134" s="64">
        <f t="shared" si="41"/>
        <v>430.09999999999997</v>
      </c>
      <c r="G134" s="64">
        <f t="shared" si="41"/>
        <v>657</v>
      </c>
      <c r="H134" s="64">
        <f t="shared" si="41"/>
        <v>934.8</v>
      </c>
      <c r="I134" s="64">
        <f t="shared" si="41"/>
        <v>1324.8</v>
      </c>
      <c r="J134" s="64">
        <f t="shared" si="41"/>
        <v>1798</v>
      </c>
      <c r="K134" s="64">
        <f t="shared" si="41"/>
        <v>2366.4</v>
      </c>
      <c r="L134" s="64">
        <f t="shared" si="41"/>
        <v>3124</v>
      </c>
      <c r="M134" s="64">
        <f t="shared" si="41"/>
        <v>3942</v>
      </c>
      <c r="N134" s="64">
        <f t="shared" si="41"/>
        <v>4915</v>
      </c>
      <c r="O134" s="64">
        <f t="shared" si="41"/>
        <v>6072</v>
      </c>
      <c r="P134" s="64">
        <f t="shared" si="41"/>
        <v>7434</v>
      </c>
      <c r="Q134" s="64">
        <f t="shared" si="41"/>
        <v>8902.4</v>
      </c>
      <c r="R134" s="64">
        <f t="shared" si="41"/>
        <v>10614.800000000001</v>
      </c>
      <c r="S134" s="64">
        <f t="shared" si="41"/>
        <v>12439.199999999999</v>
      </c>
      <c r="T134" s="64">
        <f t="shared" si="41"/>
        <v>14548.4</v>
      </c>
      <c r="U134" s="64">
        <f t="shared" si="41"/>
        <v>16773.2</v>
      </c>
      <c r="V134" s="64">
        <f t="shared" si="41"/>
        <v>19320.599999999999</v>
      </c>
      <c r="W134" s="64">
        <f t="shared" si="41"/>
        <v>21962</v>
      </c>
      <c r="X134" s="64">
        <f t="shared" si="41"/>
        <v>24960</v>
      </c>
    </row>
    <row r="135" spans="1:24" x14ac:dyDescent="0.3">
      <c r="A135" t="s">
        <v>208</v>
      </c>
      <c r="C135" s="15"/>
      <c r="D135" s="19">
        <v>1.5</v>
      </c>
      <c r="E135" s="19">
        <v>1.55</v>
      </c>
      <c r="F135" s="19">
        <v>1.6</v>
      </c>
      <c r="G135" s="19">
        <v>1.65</v>
      </c>
      <c r="H135" s="19">
        <v>1.7</v>
      </c>
      <c r="I135" s="19">
        <v>1.75</v>
      </c>
      <c r="J135" s="19">
        <v>1.8</v>
      </c>
      <c r="K135" s="19">
        <v>1.82</v>
      </c>
      <c r="L135" s="19">
        <v>1.85</v>
      </c>
      <c r="M135" s="19">
        <v>1.87</v>
      </c>
      <c r="N135" s="19">
        <v>1.9</v>
      </c>
      <c r="O135" s="19">
        <v>1.92</v>
      </c>
      <c r="P135" s="19">
        <v>1.94</v>
      </c>
      <c r="Q135" s="19">
        <v>1.96</v>
      </c>
      <c r="R135" s="19">
        <v>1.98</v>
      </c>
      <c r="S135" s="19">
        <v>2</v>
      </c>
      <c r="T135" s="19">
        <v>2</v>
      </c>
      <c r="U135" s="19">
        <v>2</v>
      </c>
      <c r="V135" s="19">
        <v>2</v>
      </c>
      <c r="W135" s="19">
        <v>2</v>
      </c>
      <c r="X135" s="19">
        <v>2</v>
      </c>
    </row>
    <row r="136" spans="1:24" x14ac:dyDescent="0.3">
      <c r="A136" t="s">
        <v>209</v>
      </c>
      <c r="C136" s="15"/>
      <c r="D136" s="67">
        <f t="shared" ref="D136:X136" si="42">D134*D135</f>
        <v>232.5</v>
      </c>
      <c r="E136" s="67">
        <f t="shared" si="42"/>
        <v>431.52000000000004</v>
      </c>
      <c r="F136" s="67">
        <f t="shared" si="42"/>
        <v>688.16</v>
      </c>
      <c r="G136" s="67">
        <f t="shared" si="42"/>
        <v>1084.05</v>
      </c>
      <c r="H136" s="67">
        <f t="shared" si="42"/>
        <v>1589.1599999999999</v>
      </c>
      <c r="I136" s="67">
        <f t="shared" si="42"/>
        <v>2318.4</v>
      </c>
      <c r="J136" s="67">
        <f t="shared" si="42"/>
        <v>3236.4</v>
      </c>
      <c r="K136" s="67">
        <f t="shared" si="42"/>
        <v>4306.848</v>
      </c>
      <c r="L136" s="67">
        <f t="shared" si="42"/>
        <v>5779.4000000000005</v>
      </c>
      <c r="M136" s="67">
        <f t="shared" si="42"/>
        <v>7371.5400000000009</v>
      </c>
      <c r="N136" s="67">
        <f t="shared" si="42"/>
        <v>9338.5</v>
      </c>
      <c r="O136" s="67">
        <f t="shared" si="42"/>
        <v>11658.24</v>
      </c>
      <c r="P136" s="67">
        <f t="shared" si="42"/>
        <v>14421.96</v>
      </c>
      <c r="Q136" s="67">
        <f t="shared" si="42"/>
        <v>17448.703999999998</v>
      </c>
      <c r="R136" s="67">
        <f t="shared" si="42"/>
        <v>21017.304000000004</v>
      </c>
      <c r="S136" s="67">
        <f t="shared" si="42"/>
        <v>24878.399999999998</v>
      </c>
      <c r="T136" s="67">
        <f t="shared" si="42"/>
        <v>29096.799999999999</v>
      </c>
      <c r="U136" s="67">
        <f t="shared" si="42"/>
        <v>33546.400000000001</v>
      </c>
      <c r="V136" s="67">
        <f t="shared" si="42"/>
        <v>38641.199999999997</v>
      </c>
      <c r="W136" s="67">
        <f t="shared" si="42"/>
        <v>43924</v>
      </c>
      <c r="X136" s="67">
        <f t="shared" si="42"/>
        <v>49920</v>
      </c>
    </row>
    <row r="137" spans="1:24" x14ac:dyDescent="0.3">
      <c r="A137" t="s">
        <v>210</v>
      </c>
      <c r="C137" s="15"/>
      <c r="D137" s="39">
        <v>2800</v>
      </c>
      <c r="E137" s="67">
        <f t="shared" ref="E137:X137" si="43">D137*(1+E138)</f>
        <v>3640</v>
      </c>
      <c r="F137" s="67">
        <f t="shared" si="43"/>
        <v>4659.2</v>
      </c>
      <c r="G137" s="67">
        <f t="shared" si="43"/>
        <v>5824</v>
      </c>
      <c r="H137" s="67">
        <f t="shared" si="43"/>
        <v>7105.28</v>
      </c>
      <c r="I137" s="67">
        <f t="shared" si="43"/>
        <v>8526.3359999999993</v>
      </c>
      <c r="J137" s="67">
        <f t="shared" si="43"/>
        <v>10061.076479999998</v>
      </c>
      <c r="K137" s="67">
        <f t="shared" si="43"/>
        <v>11670.848716799997</v>
      </c>
      <c r="L137" s="67">
        <f t="shared" si="43"/>
        <v>13304.767537151998</v>
      </c>
      <c r="M137" s="67">
        <f t="shared" si="43"/>
        <v>14901.339641610239</v>
      </c>
      <c r="N137" s="67">
        <f t="shared" si="43"/>
        <v>16540.487002187365</v>
      </c>
      <c r="O137" s="67">
        <f t="shared" si="43"/>
        <v>18194.535702406101</v>
      </c>
      <c r="P137" s="67">
        <f t="shared" si="43"/>
        <v>19832.043915622653</v>
      </c>
      <c r="Q137" s="67">
        <f t="shared" si="43"/>
        <v>21418.607428872467</v>
      </c>
      <c r="R137" s="67">
        <f t="shared" si="43"/>
        <v>22917.909948893539</v>
      </c>
      <c r="S137" s="67">
        <f t="shared" si="43"/>
        <v>24292.984545827152</v>
      </c>
      <c r="T137" s="67">
        <f t="shared" si="43"/>
        <v>25507.633773118512</v>
      </c>
      <c r="U137" s="67">
        <f t="shared" si="43"/>
        <v>26783.015461774437</v>
      </c>
      <c r="V137" s="67">
        <f t="shared" si="43"/>
        <v>27854.336080245415</v>
      </c>
      <c r="W137" s="67">
        <f t="shared" si="43"/>
        <v>28968.509523455232</v>
      </c>
      <c r="X137" s="67">
        <f t="shared" si="43"/>
        <v>29837.564809158888</v>
      </c>
    </row>
    <row r="138" spans="1:24" x14ac:dyDescent="0.3">
      <c r="A138" t="s">
        <v>201</v>
      </c>
      <c r="C138" s="15"/>
      <c r="D138" s="15"/>
      <c r="E138" s="16">
        <v>0.3</v>
      </c>
      <c r="F138" s="16">
        <v>0.28000000000000003</v>
      </c>
      <c r="G138" s="16">
        <v>0.25</v>
      </c>
      <c r="H138" s="16">
        <v>0.22</v>
      </c>
      <c r="I138" s="16">
        <v>0.2</v>
      </c>
      <c r="J138" s="16">
        <v>0.18</v>
      </c>
      <c r="K138" s="16">
        <v>0.16</v>
      </c>
      <c r="L138" s="16">
        <v>0.14000000000000001</v>
      </c>
      <c r="M138" s="16">
        <v>0.12</v>
      </c>
      <c r="N138" s="16">
        <v>0.11</v>
      </c>
      <c r="O138" s="16">
        <v>0.1</v>
      </c>
      <c r="P138" s="16">
        <v>0.09</v>
      </c>
      <c r="Q138" s="16">
        <v>0.08</v>
      </c>
      <c r="R138" s="16">
        <v>7.0000000000000007E-2</v>
      </c>
      <c r="S138" s="16">
        <v>0.06</v>
      </c>
      <c r="T138" s="16">
        <v>0.05</v>
      </c>
      <c r="U138" s="16">
        <v>0.05</v>
      </c>
      <c r="V138" s="16">
        <v>0.04</v>
      </c>
      <c r="W138" s="16">
        <v>0.04</v>
      </c>
      <c r="X138" s="16">
        <v>0.03</v>
      </c>
    </row>
    <row r="139" spans="1:24" x14ac:dyDescent="0.3">
      <c r="A139" s="1" t="s">
        <v>202</v>
      </c>
      <c r="B139" s="1"/>
      <c r="C139" s="22"/>
      <c r="D139" s="415">
        <f t="shared" ref="D139:X139" si="44">D136+D137</f>
        <v>3032.5</v>
      </c>
      <c r="E139" s="415">
        <f t="shared" si="44"/>
        <v>4071.52</v>
      </c>
      <c r="F139" s="415">
        <f t="shared" si="44"/>
        <v>5347.36</v>
      </c>
      <c r="G139" s="415">
        <f t="shared" si="44"/>
        <v>6908.05</v>
      </c>
      <c r="H139" s="415">
        <f t="shared" si="44"/>
        <v>8694.4399999999987</v>
      </c>
      <c r="I139" s="415">
        <f t="shared" si="44"/>
        <v>10844.735999999999</v>
      </c>
      <c r="J139" s="415">
        <f t="shared" si="44"/>
        <v>13297.476479999998</v>
      </c>
      <c r="K139" s="415">
        <f t="shared" si="44"/>
        <v>15977.696716799997</v>
      </c>
      <c r="L139" s="415">
        <f t="shared" si="44"/>
        <v>19084.167537152</v>
      </c>
      <c r="M139" s="415">
        <f t="shared" si="44"/>
        <v>22272.879641610241</v>
      </c>
      <c r="N139" s="415">
        <f t="shared" si="44"/>
        <v>25878.987002187365</v>
      </c>
      <c r="O139" s="415">
        <f t="shared" si="44"/>
        <v>29852.775702406099</v>
      </c>
      <c r="P139" s="415">
        <f t="shared" si="44"/>
        <v>34254.003915622656</v>
      </c>
      <c r="Q139" s="415">
        <f t="shared" si="44"/>
        <v>38867.311428872461</v>
      </c>
      <c r="R139" s="415">
        <f t="shared" si="44"/>
        <v>43935.213948893543</v>
      </c>
      <c r="S139" s="415">
        <f t="shared" si="44"/>
        <v>49171.384545827153</v>
      </c>
      <c r="T139" s="415">
        <f t="shared" si="44"/>
        <v>54604.433773118508</v>
      </c>
      <c r="U139" s="415">
        <f t="shared" si="44"/>
        <v>60329.415461774435</v>
      </c>
      <c r="V139" s="415">
        <f t="shared" si="44"/>
        <v>66495.536080245409</v>
      </c>
      <c r="W139" s="415">
        <f t="shared" si="44"/>
        <v>72892.509523455228</v>
      </c>
      <c r="X139" s="415">
        <f t="shared" si="44"/>
        <v>79757.564809158881</v>
      </c>
    </row>
    <row r="140" spans="1:24" x14ac:dyDescent="0.3">
      <c r="A140" t="s">
        <v>211</v>
      </c>
      <c r="C140" s="15"/>
      <c r="D140" s="67">
        <f t="shared" ref="D140:X140" si="45">D46</f>
        <v>3201</v>
      </c>
      <c r="E140" s="67">
        <f t="shared" si="45"/>
        <v>4097.28</v>
      </c>
      <c r="F140" s="67">
        <f t="shared" si="45"/>
        <v>5654.2463999999991</v>
      </c>
      <c r="G140" s="67">
        <f t="shared" si="45"/>
        <v>8198.6572799999976</v>
      </c>
      <c r="H140" s="67">
        <f t="shared" si="45"/>
        <v>12134.012774399996</v>
      </c>
      <c r="I140" s="67">
        <f t="shared" si="45"/>
        <v>17594.318522879996</v>
      </c>
      <c r="J140" s="67">
        <f t="shared" si="45"/>
        <v>24280.159561574394</v>
      </c>
      <c r="K140" s="67">
        <f t="shared" si="45"/>
        <v>32049.8106212782</v>
      </c>
      <c r="L140" s="67">
        <f t="shared" si="45"/>
        <v>40703.259489023316</v>
      </c>
      <c r="M140" s="67">
        <f t="shared" si="45"/>
        <v>49657.976576608446</v>
      </c>
      <c r="N140" s="67">
        <f t="shared" si="45"/>
        <v>58596.412360397961</v>
      </c>
      <c r="O140" s="67">
        <f t="shared" si="45"/>
        <v>67971.838338061629</v>
      </c>
      <c r="P140" s="67">
        <f t="shared" si="45"/>
        <v>78167.614088770861</v>
      </c>
      <c r="Q140" s="67">
        <f t="shared" si="45"/>
        <v>88329.403920311059</v>
      </c>
      <c r="R140" s="67">
        <f t="shared" si="45"/>
        <v>98928.932390748392</v>
      </c>
      <c r="S140" s="67">
        <f t="shared" si="45"/>
        <v>108821.82562982324</v>
      </c>
      <c r="T140" s="67">
        <f t="shared" si="45"/>
        <v>118615.78993650734</v>
      </c>
      <c r="U140" s="67">
        <f t="shared" si="45"/>
        <v>128105.05313142794</v>
      </c>
      <c r="V140" s="67">
        <f t="shared" si="45"/>
        <v>137072.40685062789</v>
      </c>
      <c r="W140" s="67">
        <f t="shared" si="45"/>
        <v>145296.75126166557</v>
      </c>
      <c r="X140" s="67">
        <f t="shared" si="45"/>
        <v>152561.58882474885</v>
      </c>
    </row>
    <row r="141" spans="1:24" ht="15" thickBot="1" x14ac:dyDescent="0.35">
      <c r="A141" s="215" t="s">
        <v>204</v>
      </c>
      <c r="B141" s="164"/>
      <c r="C141" s="18"/>
      <c r="D141" s="230">
        <f t="shared" ref="D141:X141" si="46">IF(D140=0,0,D139/D140-1)</f>
        <v>-5.263980006248048E-2</v>
      </c>
      <c r="E141" s="230">
        <f t="shared" si="46"/>
        <v>-6.2870977819431406E-3</v>
      </c>
      <c r="F141" s="230">
        <f t="shared" si="46"/>
        <v>-5.4275384956693706E-2</v>
      </c>
      <c r="G141" s="230">
        <f t="shared" si="46"/>
        <v>-0.15741690815011089</v>
      </c>
      <c r="H141" s="230">
        <f t="shared" si="46"/>
        <v>-0.28346539915111291</v>
      </c>
      <c r="I141" s="230">
        <f t="shared" si="46"/>
        <v>-0.38362284473267361</v>
      </c>
      <c r="J141" s="230">
        <f t="shared" si="46"/>
        <v>-0.45233158594869827</v>
      </c>
      <c r="K141" s="230">
        <f t="shared" si="46"/>
        <v>-0.50147297575005823</v>
      </c>
      <c r="L141" s="230">
        <f t="shared" si="46"/>
        <v>-0.53113908378029184</v>
      </c>
      <c r="M141" s="230">
        <f t="shared" si="46"/>
        <v>-0.5514742811308595</v>
      </c>
      <c r="N141" s="230">
        <f t="shared" si="46"/>
        <v>-0.55835202259451766</v>
      </c>
      <c r="O141" s="230">
        <f t="shared" si="46"/>
        <v>-0.56080670418340461</v>
      </c>
      <c r="P141" s="230">
        <f t="shared" si="46"/>
        <v>-0.56178777726639861</v>
      </c>
      <c r="Q141" s="230">
        <f t="shared" si="46"/>
        <v>-0.55997312668454402</v>
      </c>
      <c r="R141" s="230">
        <f t="shared" si="46"/>
        <v>-0.55589115451727789</v>
      </c>
      <c r="S141" s="230">
        <f t="shared" si="46"/>
        <v>-0.54814777034625073</v>
      </c>
      <c r="T141" s="230">
        <f t="shared" si="46"/>
        <v>-0.53965290959705137</v>
      </c>
      <c r="U141" s="230">
        <f t="shared" si="46"/>
        <v>-0.52906295273239423</v>
      </c>
      <c r="V141" s="230">
        <f t="shared" si="46"/>
        <v>-0.51488751377432451</v>
      </c>
      <c r="W141" s="230">
        <f t="shared" si="46"/>
        <v>-0.49831975670135409</v>
      </c>
      <c r="X141" s="230">
        <f t="shared" si="46"/>
        <v>-0.47721070930391063</v>
      </c>
    </row>
    <row r="142" spans="1:24" ht="15" thickTop="1" x14ac:dyDescent="0.3"/>
  </sheetData>
  <pageMargins left="0.7" right="0.7" top="0.75" bottom="0.75" header="0.3" footer="0.3"/>
  <drawing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BE4048-55C8-4F9B-9862-DDB5F2E55683}">
  <sheetPr>
    <tabColor rgb="FFFFFFFF"/>
  </sheetPr>
  <dimension ref="A1:J52"/>
  <sheetViews>
    <sheetView showGridLines="0" zoomScaleNormal="100" workbookViewId="0">
      <pane ySplit="2" topLeftCell="A3" activePane="bottomLeft" state="frozen"/>
      <selection pane="bottomLeft" activeCell="H55" sqref="H55"/>
    </sheetView>
  </sheetViews>
  <sheetFormatPr defaultRowHeight="14.4" x14ac:dyDescent="0.3"/>
  <cols>
    <col min="1" max="1" width="44.44140625" customWidth="1"/>
    <col min="2" max="10" width="22.21875" customWidth="1"/>
    <col min="11" max="14" width="15.77734375" customWidth="1"/>
  </cols>
  <sheetData>
    <row r="1" spans="1:10" ht="30" customHeight="1" x14ac:dyDescent="0.3">
      <c r="A1" s="96" t="s">
        <v>883</v>
      </c>
    </row>
    <row r="2" spans="1:10" x14ac:dyDescent="0.3">
      <c r="A2" s="3" t="s">
        <v>2</v>
      </c>
    </row>
    <row r="3" spans="1:10" ht="15" thickBot="1" x14ac:dyDescent="0.35"/>
    <row r="4" spans="1:10" ht="15" thickTop="1" x14ac:dyDescent="0.3">
      <c r="A4" s="119" t="s">
        <v>3</v>
      </c>
      <c r="B4" s="119"/>
      <c r="C4" s="119"/>
      <c r="D4" s="119"/>
      <c r="E4" s="119"/>
      <c r="F4" s="150"/>
      <c r="G4" s="150"/>
      <c r="H4" s="150"/>
      <c r="I4" s="150"/>
      <c r="J4" s="150"/>
    </row>
    <row r="5" spans="1:10" s="82" customFormat="1" ht="3" customHeight="1" x14ac:dyDescent="0.3">
      <c r="A5" s="143"/>
      <c r="B5" s="143"/>
      <c r="C5" s="143"/>
      <c r="D5" s="143"/>
      <c r="E5" s="143"/>
      <c r="F5" s="143"/>
      <c r="G5" s="143"/>
      <c r="H5" s="143"/>
      <c r="I5" s="143"/>
      <c r="J5" s="143"/>
    </row>
    <row r="6" spans="1:10" x14ac:dyDescent="0.3">
      <c r="A6" s="93" t="s">
        <v>729</v>
      </c>
      <c r="B6" s="94" t="s">
        <v>4</v>
      </c>
      <c r="C6" s="94"/>
      <c r="D6" s="94"/>
      <c r="E6" s="94"/>
      <c r="F6" s="114"/>
      <c r="G6" s="114" t="s">
        <v>5</v>
      </c>
      <c r="H6" s="114"/>
      <c r="I6" s="114"/>
      <c r="J6" s="114"/>
    </row>
    <row r="7" spans="1:10" x14ac:dyDescent="0.3">
      <c r="A7" t="s">
        <v>6</v>
      </c>
      <c r="B7" s="310">
        <v>4.3499999999999997E-2</v>
      </c>
      <c r="C7" s="15"/>
      <c r="D7" s="311"/>
      <c r="E7" s="311"/>
      <c r="F7" s="151"/>
      <c r="G7" s="495" t="s">
        <v>7</v>
      </c>
      <c r="H7" s="495"/>
      <c r="I7" s="151"/>
      <c r="J7" s="151"/>
    </row>
    <row r="8" spans="1:10" x14ac:dyDescent="0.3">
      <c r="A8" t="s">
        <v>8</v>
      </c>
      <c r="B8" s="16">
        <v>5.5E-2</v>
      </c>
      <c r="C8" s="15"/>
      <c r="D8" s="311"/>
      <c r="E8" s="311"/>
      <c r="F8" s="151"/>
      <c r="G8" s="495" t="s">
        <v>9</v>
      </c>
      <c r="H8" s="495"/>
      <c r="I8" s="151"/>
      <c r="J8" s="151"/>
    </row>
    <row r="9" spans="1:10" x14ac:dyDescent="0.3">
      <c r="A9" t="s">
        <v>10</v>
      </c>
      <c r="B9" s="16">
        <v>0.21</v>
      </c>
      <c r="C9" s="15"/>
      <c r="D9" s="311"/>
      <c r="E9" s="311"/>
      <c r="F9" s="151"/>
      <c r="G9" s="495" t="s">
        <v>11</v>
      </c>
      <c r="H9" s="495"/>
      <c r="I9" s="151"/>
      <c r="J9" s="151"/>
    </row>
    <row r="10" spans="1:10" ht="15" thickBot="1" x14ac:dyDescent="0.35">
      <c r="A10" s="164" t="s">
        <v>637</v>
      </c>
      <c r="B10" s="17">
        <v>0.01</v>
      </c>
      <c r="C10" s="18"/>
      <c r="D10" s="23"/>
      <c r="E10" s="23"/>
      <c r="F10" s="152"/>
      <c r="G10" s="496" t="s">
        <v>640</v>
      </c>
      <c r="H10" s="496"/>
      <c r="I10" s="152"/>
      <c r="J10" s="152"/>
    </row>
    <row r="11" spans="1:10" ht="15.6" thickTop="1" thickBot="1" x14ac:dyDescent="0.35">
      <c r="A11" s="110"/>
      <c r="B11" s="312"/>
      <c r="C11" s="15"/>
      <c r="D11" s="15"/>
      <c r="E11" s="15"/>
    </row>
    <row r="12" spans="1:10" ht="15" thickTop="1" x14ac:dyDescent="0.3">
      <c r="A12" s="314" t="s">
        <v>884</v>
      </c>
      <c r="B12" s="142"/>
      <c r="C12" s="142"/>
      <c r="D12" s="142"/>
      <c r="E12" s="142"/>
      <c r="F12" s="154"/>
      <c r="G12" s="154"/>
      <c r="H12" s="154"/>
      <c r="I12" s="154"/>
      <c r="J12" s="154"/>
    </row>
    <row r="13" spans="1:10" s="82" customFormat="1" ht="3" customHeight="1" x14ac:dyDescent="0.3">
      <c r="A13" s="143"/>
      <c r="B13" s="143"/>
      <c r="C13" s="143"/>
      <c r="D13" s="143"/>
      <c r="E13" s="143"/>
      <c r="F13" s="143"/>
      <c r="G13" s="143"/>
      <c r="H13" s="143"/>
      <c r="I13" s="143"/>
      <c r="J13" s="143"/>
    </row>
    <row r="14" spans="1:10" x14ac:dyDescent="0.3">
      <c r="A14" s="93" t="s">
        <v>727</v>
      </c>
      <c r="B14" s="313" t="s">
        <v>14</v>
      </c>
      <c r="C14" s="315"/>
      <c r="D14" s="315"/>
      <c r="E14" s="315"/>
      <c r="F14" s="114"/>
      <c r="G14" s="114" t="s">
        <v>15</v>
      </c>
      <c r="H14" s="114"/>
      <c r="I14" s="114"/>
      <c r="J14" s="114"/>
    </row>
    <row r="15" spans="1:10" x14ac:dyDescent="0.3">
      <c r="A15" t="s">
        <v>16</v>
      </c>
      <c r="B15" s="391">
        <f>IF(N('Conn Comps'!X54)&gt;0,'Conn Comps'!X54,0.85)</f>
        <v>0.20833333333333331</v>
      </c>
      <c r="C15" s="311"/>
      <c r="D15" s="311"/>
      <c r="E15" s="311"/>
      <c r="F15" s="151"/>
      <c r="G15" s="495" t="s">
        <v>462</v>
      </c>
      <c r="H15" s="495"/>
      <c r="I15" s="151"/>
      <c r="J15" s="151"/>
    </row>
    <row r="16" spans="1:10" x14ac:dyDescent="0.3">
      <c r="A16" t="s">
        <v>17</v>
      </c>
      <c r="B16" s="391">
        <f>IF(N('Space Comps'!X35)&gt;0,'Space Comps'!X35,1.1)</f>
        <v>0.26644721773217195</v>
      </c>
      <c r="C16" s="311"/>
      <c r="D16" s="311"/>
      <c r="E16" s="311"/>
      <c r="F16" s="151"/>
      <c r="G16" s="495" t="s">
        <v>463</v>
      </c>
      <c r="H16" s="495"/>
      <c r="I16" s="151"/>
      <c r="J16" s="151"/>
    </row>
    <row r="17" spans="1:10" ht="15" thickBot="1" x14ac:dyDescent="0.35">
      <c r="A17" s="164" t="s">
        <v>18</v>
      </c>
      <c r="B17" s="392">
        <f>IF(N('AI Comps'!X43)&gt;0,'AI Comps'!X43,1.35)</f>
        <v>0.9038447507334364</v>
      </c>
      <c r="C17" s="23"/>
      <c r="D17" s="23"/>
      <c r="E17" s="23"/>
      <c r="F17" s="153"/>
      <c r="G17" s="496" t="s">
        <v>464</v>
      </c>
      <c r="H17" s="496"/>
      <c r="I17" s="153"/>
      <c r="J17" s="153"/>
    </row>
    <row r="18" spans="1:10" ht="15.6" thickTop="1" thickBot="1" x14ac:dyDescent="0.35">
      <c r="B18" s="15"/>
      <c r="C18" s="15"/>
      <c r="D18" s="15"/>
      <c r="E18" s="15"/>
    </row>
    <row r="19" spans="1:10" ht="15" thickTop="1" x14ac:dyDescent="0.3">
      <c r="A19" s="119" t="s">
        <v>19</v>
      </c>
      <c r="B19" s="120"/>
      <c r="C19" s="120"/>
      <c r="D19" s="120"/>
      <c r="E19" s="120"/>
      <c r="F19" s="150"/>
      <c r="G19" s="150"/>
      <c r="H19" s="150"/>
      <c r="I19" s="150"/>
      <c r="J19" s="150"/>
    </row>
    <row r="20" spans="1:10" s="82" customFormat="1" ht="3" customHeight="1" x14ac:dyDescent="0.3">
      <c r="A20" s="143"/>
      <c r="B20" s="143"/>
      <c r="C20" s="143"/>
      <c r="D20" s="143"/>
      <c r="E20" s="143"/>
      <c r="F20" s="143"/>
      <c r="G20" s="143"/>
      <c r="H20" s="143"/>
      <c r="I20" s="143"/>
      <c r="J20" s="143"/>
    </row>
    <row r="21" spans="1:10" x14ac:dyDescent="0.3">
      <c r="A21" s="93"/>
      <c r="B21" s="94" t="s">
        <v>20</v>
      </c>
      <c r="C21" s="94" t="s">
        <v>13</v>
      </c>
      <c r="D21" s="94" t="s">
        <v>21</v>
      </c>
      <c r="E21" s="94"/>
      <c r="F21" s="114"/>
      <c r="G21" s="114" t="s">
        <v>22</v>
      </c>
      <c r="H21" s="114"/>
      <c r="I21" s="114"/>
      <c r="J21" s="114"/>
    </row>
    <row r="22" spans="1:10" x14ac:dyDescent="0.3">
      <c r="A22" t="s">
        <v>23</v>
      </c>
      <c r="B22" s="19">
        <v>0.3</v>
      </c>
      <c r="C22" s="19">
        <v>0.45</v>
      </c>
      <c r="D22" s="19">
        <v>0.25</v>
      </c>
      <c r="E22" s="311"/>
      <c r="F22" s="151"/>
      <c r="G22" s="495" t="s">
        <v>24</v>
      </c>
      <c r="H22" s="495"/>
      <c r="I22" s="151"/>
      <c r="J22" s="151"/>
    </row>
    <row r="23" spans="1:10" x14ac:dyDescent="0.3">
      <c r="A23" t="s">
        <v>25</v>
      </c>
      <c r="B23" s="24">
        <f>B15*(1+(1-$B$9)*B22)</f>
        <v>0.25770833333333332</v>
      </c>
      <c r="C23" s="24">
        <f>B16*(1+(1-$B$9)*C22)</f>
        <v>0.36116920363595911</v>
      </c>
      <c r="D23" s="24">
        <f>B17*(1+(1-$B$9)*D22)</f>
        <v>1.0823540890032901</v>
      </c>
      <c r="E23" s="311"/>
      <c r="F23" s="151"/>
      <c r="G23" s="495" t="s">
        <v>26</v>
      </c>
      <c r="H23" s="495"/>
      <c r="I23" s="151"/>
      <c r="J23" s="151"/>
    </row>
    <row r="24" spans="1:10" ht="15" thickBot="1" x14ac:dyDescent="0.35">
      <c r="A24" s="164" t="s">
        <v>27</v>
      </c>
      <c r="B24" s="25">
        <f>$B$7+B23*$B$8+$B$10</f>
        <v>6.7673958333333326E-2</v>
      </c>
      <c r="C24" s="25">
        <f>$B$7+C23*$B$8+$B$10</f>
        <v>7.3364306199977747E-2</v>
      </c>
      <c r="D24" s="25">
        <f>$B$7+D23*$B$8+$B$10</f>
        <v>0.11302947489518095</v>
      </c>
      <c r="E24" s="23"/>
      <c r="F24" s="153"/>
      <c r="G24" s="496" t="s">
        <v>638</v>
      </c>
      <c r="H24" s="496"/>
      <c r="I24" s="153"/>
      <c r="J24" s="153"/>
    </row>
    <row r="25" spans="1:10" ht="15.6" thickTop="1" thickBot="1" x14ac:dyDescent="0.35">
      <c r="B25" s="15"/>
      <c r="C25" s="15"/>
      <c r="D25" s="15"/>
      <c r="E25" s="15"/>
    </row>
    <row r="26" spans="1:10" ht="15" thickTop="1" x14ac:dyDescent="0.3">
      <c r="A26" s="119" t="s">
        <v>28</v>
      </c>
      <c r="B26" s="120"/>
      <c r="C26" s="120"/>
      <c r="D26" s="120"/>
      <c r="E26" s="120"/>
      <c r="F26" s="150"/>
      <c r="G26" s="150"/>
      <c r="H26" s="150"/>
      <c r="I26" s="150"/>
      <c r="J26" s="150"/>
    </row>
    <row r="27" spans="1:10" s="82" customFormat="1" ht="3" customHeight="1" x14ac:dyDescent="0.3">
      <c r="A27" s="143"/>
      <c r="B27" s="143"/>
      <c r="C27" s="143"/>
      <c r="D27" s="143"/>
      <c r="E27" s="143"/>
      <c r="F27" s="143"/>
      <c r="G27" s="143"/>
      <c r="H27" s="143"/>
      <c r="I27" s="143"/>
      <c r="J27" s="143"/>
    </row>
    <row r="28" spans="1:10" x14ac:dyDescent="0.3">
      <c r="A28" s="93"/>
      <c r="B28" s="94" t="s">
        <v>20</v>
      </c>
      <c r="C28" s="94" t="s">
        <v>13</v>
      </c>
      <c r="D28" s="94" t="s">
        <v>21</v>
      </c>
      <c r="E28" s="94"/>
      <c r="F28" s="114"/>
      <c r="G28" s="114" t="s">
        <v>5</v>
      </c>
      <c r="H28" s="114"/>
      <c r="I28" s="114"/>
      <c r="J28" s="114"/>
    </row>
    <row r="29" spans="1:10" x14ac:dyDescent="0.3">
      <c r="A29" t="s">
        <v>29</v>
      </c>
      <c r="B29" s="310">
        <v>6.5000000000000002E-2</v>
      </c>
      <c r="C29" s="310">
        <v>7.4999999999999997E-2</v>
      </c>
      <c r="D29" s="310">
        <v>8.5000000000000006E-2</v>
      </c>
      <c r="E29" s="311"/>
      <c r="F29" s="151"/>
      <c r="G29" s="495" t="s">
        <v>30</v>
      </c>
      <c r="H29" s="495"/>
      <c r="I29" s="151"/>
      <c r="J29" s="151"/>
    </row>
    <row r="30" spans="1:10" ht="15" thickBot="1" x14ac:dyDescent="0.35">
      <c r="A30" s="164" t="s">
        <v>31</v>
      </c>
      <c r="B30" s="25">
        <f>B29*(1-$B$9)</f>
        <v>5.1350000000000007E-2</v>
      </c>
      <c r="C30" s="25">
        <f>C29*(1-$B$9)</f>
        <v>5.9249999999999997E-2</v>
      </c>
      <c r="D30" s="25">
        <f>D29*(1-$B$9)</f>
        <v>6.7150000000000001E-2</v>
      </c>
      <c r="E30" s="23"/>
      <c r="F30" s="153"/>
      <c r="G30" s="496" t="s">
        <v>32</v>
      </c>
      <c r="H30" s="496"/>
      <c r="I30" s="153"/>
      <c r="J30" s="153"/>
    </row>
    <row r="31" spans="1:10" ht="15.6" thickTop="1" thickBot="1" x14ac:dyDescent="0.35">
      <c r="B31" s="15"/>
      <c r="C31" s="15"/>
      <c r="D31" s="15"/>
      <c r="E31" s="15"/>
    </row>
    <row r="32" spans="1:10" ht="15" thickTop="1" x14ac:dyDescent="0.3">
      <c r="A32" s="119" t="s">
        <v>33</v>
      </c>
      <c r="B32" s="120"/>
      <c r="C32" s="120"/>
      <c r="D32" s="120"/>
      <c r="E32" s="120"/>
      <c r="F32" s="150"/>
      <c r="G32" s="150"/>
      <c r="H32" s="150"/>
      <c r="I32" s="150"/>
      <c r="J32" s="150"/>
    </row>
    <row r="33" spans="1:10" s="82" customFormat="1" ht="3" customHeight="1" x14ac:dyDescent="0.3">
      <c r="A33" s="143"/>
      <c r="B33" s="143"/>
      <c r="C33" s="143"/>
      <c r="D33" s="143"/>
      <c r="E33" s="143"/>
      <c r="F33" s="143"/>
      <c r="G33" s="143"/>
      <c r="H33" s="143"/>
      <c r="I33" s="143"/>
      <c r="J33" s="143"/>
    </row>
    <row r="34" spans="1:10" x14ac:dyDescent="0.3">
      <c r="A34" s="93"/>
      <c r="B34" s="297" t="s">
        <v>20</v>
      </c>
      <c r="C34" s="297" t="s">
        <v>13</v>
      </c>
      <c r="D34" s="297" t="s">
        <v>21</v>
      </c>
      <c r="E34" s="94"/>
      <c r="F34" s="114"/>
      <c r="G34" s="114"/>
      <c r="H34" s="114"/>
      <c r="I34" s="114"/>
      <c r="J34" s="114"/>
    </row>
    <row r="35" spans="1:10" x14ac:dyDescent="0.3">
      <c r="A35" t="s">
        <v>34</v>
      </c>
      <c r="B35" s="29">
        <f>1/(1+B22)</f>
        <v>0.76923076923076916</v>
      </c>
      <c r="C35" s="29">
        <f>1/(1+C22)</f>
        <v>0.68965517241379315</v>
      </c>
      <c r="D35" s="29">
        <f>1/(1+D22)</f>
        <v>0.8</v>
      </c>
      <c r="E35" s="316"/>
      <c r="F35" s="151"/>
      <c r="G35" s="495" t="s">
        <v>35</v>
      </c>
      <c r="H35" s="495"/>
      <c r="I35" s="151"/>
      <c r="J35" s="151"/>
    </row>
    <row r="36" spans="1:10" x14ac:dyDescent="0.3">
      <c r="A36" t="s">
        <v>36</v>
      </c>
      <c r="B36" s="29">
        <f>B22/(1+B22)</f>
        <v>0.23076923076923075</v>
      </c>
      <c r="C36" s="29">
        <f>C22/(1+C22)</f>
        <v>0.31034482758620691</v>
      </c>
      <c r="D36" s="29">
        <f>D22/(1+D22)</f>
        <v>0.2</v>
      </c>
      <c r="E36" s="316"/>
      <c r="F36" s="151"/>
      <c r="G36" s="495" t="s">
        <v>37</v>
      </c>
      <c r="H36" s="495"/>
      <c r="I36" s="151"/>
      <c r="J36" s="151"/>
    </row>
    <row r="37" spans="1:10" ht="15" thickBot="1" x14ac:dyDescent="0.35">
      <c r="A37" s="201" t="s">
        <v>744</v>
      </c>
      <c r="B37" s="468">
        <f>B24*B35+B30*B36</f>
        <v>6.3906891025641024E-2</v>
      </c>
      <c r="C37" s="468">
        <f>C24*C35+C30*C36</f>
        <v>6.8984004275846722E-2</v>
      </c>
      <c r="D37" s="468">
        <f>D24*D35+D30*D36</f>
        <v>0.10385357991614476</v>
      </c>
      <c r="E37" s="224"/>
      <c r="F37" s="155"/>
      <c r="G37" s="155" t="s">
        <v>39</v>
      </c>
      <c r="H37" s="155"/>
      <c r="I37" s="155"/>
      <c r="J37" s="155"/>
    </row>
    <row r="38" spans="1:10" ht="15.6" thickTop="1" thickBot="1" x14ac:dyDescent="0.35">
      <c r="B38" s="15"/>
      <c r="C38" s="15"/>
      <c r="D38" s="15"/>
      <c r="E38" s="15"/>
    </row>
    <row r="39" spans="1:10" ht="15" thickTop="1" x14ac:dyDescent="0.3">
      <c r="A39" s="119" t="s">
        <v>40</v>
      </c>
      <c r="B39" s="120"/>
      <c r="C39" s="120"/>
      <c r="D39" s="120"/>
      <c r="E39" s="120"/>
      <c r="F39" s="150"/>
      <c r="G39" s="150"/>
      <c r="H39" s="150"/>
      <c r="I39" s="150"/>
      <c r="J39" s="150"/>
    </row>
    <row r="40" spans="1:10" s="82" customFormat="1" ht="3" customHeight="1" x14ac:dyDescent="0.3">
      <c r="A40" s="143"/>
      <c r="B40" s="143"/>
      <c r="C40" s="143"/>
      <c r="D40" s="143"/>
      <c r="E40" s="143"/>
      <c r="F40" s="143"/>
      <c r="G40" s="143"/>
      <c r="H40" s="143"/>
      <c r="I40" s="143"/>
      <c r="J40" s="143"/>
    </row>
    <row r="41" spans="1:10" x14ac:dyDescent="0.3">
      <c r="A41" s="93" t="s">
        <v>727</v>
      </c>
      <c r="B41" s="94" t="s">
        <v>38</v>
      </c>
      <c r="C41" s="94" t="s">
        <v>468</v>
      </c>
      <c r="D41" s="94" t="s">
        <v>469</v>
      </c>
      <c r="E41" s="94" t="s">
        <v>470</v>
      </c>
      <c r="F41" s="114"/>
      <c r="G41" s="114"/>
      <c r="H41" s="114"/>
      <c r="I41" s="114"/>
      <c r="J41" s="114"/>
    </row>
    <row r="42" spans="1:10" x14ac:dyDescent="0.3">
      <c r="A42" t="s">
        <v>20</v>
      </c>
      <c r="B42" s="393">
        <f>B37</f>
        <v>6.3906891025641024E-2</v>
      </c>
      <c r="C42" s="310">
        <v>0.03</v>
      </c>
      <c r="D42" s="310">
        <v>2.5000000000000001E-2</v>
      </c>
      <c r="E42" s="310">
        <v>3.5000000000000003E-2</v>
      </c>
      <c r="F42" s="156"/>
      <c r="G42" s="156"/>
      <c r="H42" s="156"/>
      <c r="I42" s="156"/>
      <c r="J42" s="156"/>
    </row>
    <row r="43" spans="1:10" x14ac:dyDescent="0.3">
      <c r="A43" t="s">
        <v>13</v>
      </c>
      <c r="B43" s="393">
        <f>C37</f>
        <v>6.8984004275846722E-2</v>
      </c>
      <c r="C43" s="310">
        <v>2.5000000000000001E-2</v>
      </c>
      <c r="D43" s="310">
        <v>0.02</v>
      </c>
      <c r="E43" s="310">
        <v>0.03</v>
      </c>
      <c r="F43" s="156"/>
      <c r="G43" s="156"/>
      <c r="H43" s="156"/>
      <c r="I43" s="156"/>
      <c r="J43" s="156"/>
    </row>
    <row r="44" spans="1:10" ht="15" thickBot="1" x14ac:dyDescent="0.35">
      <c r="A44" s="164" t="s">
        <v>21</v>
      </c>
      <c r="B44" s="25">
        <f>D37</f>
        <v>0.10385357991614476</v>
      </c>
      <c r="C44" s="40">
        <v>3.5000000000000003E-2</v>
      </c>
      <c r="D44" s="40">
        <v>2.5000000000000001E-2</v>
      </c>
      <c r="E44" s="40">
        <v>0.04</v>
      </c>
      <c r="F44" s="157"/>
      <c r="G44" s="157"/>
      <c r="H44" s="157"/>
      <c r="I44" s="157"/>
      <c r="J44" s="157"/>
    </row>
    <row r="45" spans="1:10" ht="15" thickTop="1" x14ac:dyDescent="0.3">
      <c r="B45" s="317"/>
      <c r="C45" s="156"/>
      <c r="D45" s="156"/>
      <c r="E45" s="156"/>
      <c r="F45" s="156"/>
      <c r="G45" s="156"/>
      <c r="H45" s="156"/>
      <c r="I45" s="156"/>
      <c r="J45" s="156"/>
    </row>
    <row r="46" spans="1:10" x14ac:dyDescent="0.3">
      <c r="A46" s="318" t="s">
        <v>668</v>
      </c>
      <c r="B46" s="319"/>
      <c r="C46" s="320"/>
      <c r="D46" s="320"/>
      <c r="E46" s="320"/>
      <c r="F46" s="321"/>
      <c r="G46" s="321"/>
      <c r="H46" s="321"/>
      <c r="I46" s="321"/>
      <c r="J46" s="321"/>
    </row>
    <row r="47" spans="1:10" s="82" customFormat="1" ht="3" customHeight="1" x14ac:dyDescent="0.3">
      <c r="A47" s="143"/>
      <c r="B47" s="143"/>
      <c r="C47" s="143"/>
      <c r="D47" s="143"/>
      <c r="E47" s="143"/>
      <c r="F47" s="143"/>
      <c r="G47" s="143"/>
      <c r="H47" s="143"/>
      <c r="I47" s="143"/>
      <c r="J47" s="143"/>
    </row>
    <row r="48" spans="1:10" x14ac:dyDescent="0.3">
      <c r="A48" s="114" t="s">
        <v>12</v>
      </c>
      <c r="B48" s="115" t="s">
        <v>669</v>
      </c>
      <c r="C48" s="115" t="s">
        <v>670</v>
      </c>
      <c r="D48" s="115" t="s">
        <v>671</v>
      </c>
      <c r="E48" s="115" t="s">
        <v>672</v>
      </c>
      <c r="F48" s="114"/>
      <c r="G48" s="114" t="s">
        <v>5</v>
      </c>
      <c r="H48" s="114"/>
      <c r="I48" s="114"/>
      <c r="J48" s="114"/>
    </row>
    <row r="49" spans="1:10" x14ac:dyDescent="0.3">
      <c r="A49" t="s">
        <v>20</v>
      </c>
      <c r="B49" s="394">
        <f>'Conn DCF'!E77</f>
        <v>7.6352699343723171E-2</v>
      </c>
      <c r="C49" s="394">
        <f>'Conn DCF'!X77</f>
        <v>6.8413494967570168E-2</v>
      </c>
      <c r="D49" s="393">
        <f>B42</f>
        <v>6.3906891025641024E-2</v>
      </c>
      <c r="E49" s="395">
        <f>B49-D49</f>
        <v>1.2445808318082147E-2</v>
      </c>
      <c r="F49" s="151"/>
      <c r="G49" s="495" t="s">
        <v>673</v>
      </c>
      <c r="H49" s="495"/>
      <c r="I49" s="151"/>
      <c r="J49" s="151"/>
    </row>
    <row r="50" spans="1:10" x14ac:dyDescent="0.3">
      <c r="A50" t="s">
        <v>13</v>
      </c>
      <c r="B50" s="394">
        <f>'Space DCF'!E85</f>
        <v>0.12008988818248724</v>
      </c>
      <c r="C50" s="394">
        <f>'Space DCF'!X85</f>
        <v>8.1760475252506862E-2</v>
      </c>
      <c r="D50" s="393">
        <f>B43</f>
        <v>6.8984004275846722E-2</v>
      </c>
      <c r="E50" s="395">
        <f>B50-D50</f>
        <v>5.1105883906640517E-2</v>
      </c>
      <c r="F50" s="151"/>
      <c r="G50" s="495" t="s">
        <v>674</v>
      </c>
      <c r="H50" s="495"/>
      <c r="I50" s="151"/>
      <c r="J50" s="151"/>
    </row>
    <row r="51" spans="1:10" ht="15" thickBot="1" x14ac:dyDescent="0.35">
      <c r="A51" s="164" t="s">
        <v>21</v>
      </c>
      <c r="B51" s="396">
        <f>'AI DCF'!E77</f>
        <v>0.15398860746357007</v>
      </c>
      <c r="C51" s="396">
        <f>'AI DCF'!X77</f>
        <v>0.12056525576528654</v>
      </c>
      <c r="D51" s="25">
        <f>B44</f>
        <v>0.10385357991614476</v>
      </c>
      <c r="E51" s="397">
        <f>B51-D51</f>
        <v>5.0135027547425312E-2</v>
      </c>
      <c r="F51" s="153"/>
      <c r="G51" s="496" t="s">
        <v>675</v>
      </c>
      <c r="H51" s="496"/>
      <c r="I51" s="153"/>
      <c r="J51" s="153"/>
    </row>
    <row r="52" spans="1:10" ht="15" thickTop="1" x14ac:dyDescent="0.3"/>
  </sheetData>
  <sheetProtection algorithmName="SHA-512" hashValue="gYrgO1UsT7PeJIWaxi4DhcCCvbOJJUsfeM7aWwFx95pfrmcsVGgDjIwPmesl4FwMBpeGD+77SoRFyxoT65ha1g==" saltValue="GMUaQKii6dvw9fSMj+hP9w==" spinCount="100000" sheet="1" objects="1" scenarios="1"/>
  <pageMargins left="0.7" right="0.7" top="0.75" bottom="0.75" header="0.3" footer="0.3"/>
  <drawing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579742-A1E5-4035-B98A-C2D8219ECB7B}">
  <sheetPr>
    <tabColor theme="3" tint="0.79998168889431442"/>
  </sheetPr>
  <dimension ref="A1:X58"/>
  <sheetViews>
    <sheetView showGridLines="0" zoomScale="85" zoomScaleNormal="85" workbookViewId="0">
      <pane ySplit="6" topLeftCell="A7" activePane="bottomLeft" state="frozen"/>
      <selection pane="bottomLeft" activeCell="L39" sqref="L39"/>
    </sheetView>
  </sheetViews>
  <sheetFormatPr defaultRowHeight="14.4" x14ac:dyDescent="0.3"/>
  <cols>
    <col min="1" max="1" width="24.44140625" customWidth="1"/>
    <col min="2" max="2" width="16.6640625" customWidth="1"/>
    <col min="3" max="24" width="11.109375" style="15" customWidth="1"/>
  </cols>
  <sheetData>
    <row r="1" spans="1:24" ht="30" customHeight="1" x14ac:dyDescent="0.3">
      <c r="A1" s="105" t="s">
        <v>910</v>
      </c>
    </row>
    <row r="2" spans="1:24" x14ac:dyDescent="0.3">
      <c r="A2" s="81" t="s">
        <v>628</v>
      </c>
    </row>
    <row r="3" spans="1:24" x14ac:dyDescent="0.3">
      <c r="A3" s="81" t="s">
        <v>629</v>
      </c>
    </row>
    <row r="4" spans="1:24" x14ac:dyDescent="0.3">
      <c r="A4" s="81"/>
    </row>
    <row r="5" spans="1:24" x14ac:dyDescent="0.3">
      <c r="A5" s="228" t="s">
        <v>747</v>
      </c>
      <c r="B5" s="228" t="s">
        <v>330</v>
      </c>
      <c r="C5" s="229" t="s">
        <v>320</v>
      </c>
      <c r="D5" s="229" t="s">
        <v>465</v>
      </c>
      <c r="E5" s="229" t="s">
        <v>342</v>
      </c>
      <c r="F5" s="229" t="s">
        <v>343</v>
      </c>
      <c r="G5" s="229" t="s">
        <v>69</v>
      </c>
      <c r="H5" s="229" t="s">
        <v>344</v>
      </c>
      <c r="I5" s="229" t="s">
        <v>345</v>
      </c>
      <c r="J5" s="229" t="s">
        <v>346</v>
      </c>
      <c r="K5" s="229" t="s">
        <v>346</v>
      </c>
      <c r="L5" s="229"/>
      <c r="M5" s="229" t="s">
        <v>340</v>
      </c>
      <c r="N5" s="229" t="s">
        <v>341</v>
      </c>
      <c r="O5" s="229"/>
      <c r="P5" s="229" t="s">
        <v>331</v>
      </c>
      <c r="Q5" s="229" t="s">
        <v>332</v>
      </c>
      <c r="R5" s="229" t="s">
        <v>333</v>
      </c>
      <c r="S5" s="229" t="s">
        <v>334</v>
      </c>
      <c r="T5" s="229" t="s">
        <v>335</v>
      </c>
      <c r="U5" s="229" t="s">
        <v>336</v>
      </c>
      <c r="V5" s="229" t="s">
        <v>337</v>
      </c>
      <c r="W5" s="229" t="s">
        <v>338</v>
      </c>
      <c r="X5" s="229" t="s">
        <v>339</v>
      </c>
    </row>
    <row r="6" spans="1:24" x14ac:dyDescent="0.3">
      <c r="A6" s="228"/>
      <c r="B6" s="228"/>
      <c r="C6" s="229" t="s">
        <v>348</v>
      </c>
      <c r="D6" s="229" t="s">
        <v>350</v>
      </c>
      <c r="E6" s="229" t="s">
        <v>0</v>
      </c>
      <c r="F6" s="229" t="s">
        <v>354</v>
      </c>
      <c r="G6" s="229" t="s">
        <v>354</v>
      </c>
      <c r="H6" s="229" t="s">
        <v>67</v>
      </c>
      <c r="I6" s="229" t="s">
        <v>321</v>
      </c>
      <c r="J6" s="229" t="s">
        <v>67</v>
      </c>
      <c r="K6" s="229" t="s">
        <v>69</v>
      </c>
      <c r="L6" s="229"/>
      <c r="M6" s="229" t="s">
        <v>352</v>
      </c>
      <c r="N6" s="229" t="s">
        <v>353</v>
      </c>
      <c r="O6" s="229"/>
      <c r="P6" s="229" t="s">
        <v>347</v>
      </c>
      <c r="Q6" s="229" t="s">
        <v>348</v>
      </c>
      <c r="R6" s="229"/>
      <c r="S6" s="229" t="s">
        <v>349</v>
      </c>
      <c r="T6" s="229"/>
      <c r="U6" s="229" t="s">
        <v>350</v>
      </c>
      <c r="V6" s="229"/>
      <c r="W6" s="229" t="s">
        <v>351</v>
      </c>
      <c r="X6" s="229" t="s">
        <v>347</v>
      </c>
    </row>
    <row r="7" spans="1:24" ht="3" customHeight="1" x14ac:dyDescent="0.3"/>
    <row r="8" spans="1:24" x14ac:dyDescent="0.3">
      <c r="A8" s="92" t="s">
        <v>885</v>
      </c>
      <c r="B8" s="92"/>
      <c r="C8" s="102"/>
      <c r="D8" s="102"/>
      <c r="E8" s="102"/>
      <c r="F8" s="102"/>
      <c r="G8" s="102"/>
      <c r="H8" s="102"/>
      <c r="I8" s="102"/>
      <c r="J8" s="102"/>
      <c r="K8" s="102"/>
      <c r="L8" s="102"/>
      <c r="M8" s="102"/>
      <c r="N8" s="102"/>
      <c r="O8" s="102"/>
      <c r="P8" s="102"/>
      <c r="Q8" s="102"/>
      <c r="R8" s="102"/>
      <c r="S8" s="102"/>
      <c r="T8" s="102"/>
      <c r="U8" s="102"/>
      <c r="V8" s="102"/>
      <c r="W8" s="102"/>
      <c r="X8" s="102"/>
    </row>
    <row r="9" spans="1:24" x14ac:dyDescent="0.3">
      <c r="A9" t="s">
        <v>355</v>
      </c>
      <c r="B9" t="s">
        <v>356</v>
      </c>
      <c r="C9" s="39">
        <v>3200</v>
      </c>
      <c r="D9" s="39">
        <v>4600</v>
      </c>
      <c r="E9" s="44">
        <v>830</v>
      </c>
      <c r="F9" s="16">
        <v>0.71950000000000003</v>
      </c>
      <c r="G9" s="16">
        <v>0.62</v>
      </c>
      <c r="H9" s="16">
        <v>4.4999999999999998E-2</v>
      </c>
      <c r="I9" s="16">
        <v>0.05</v>
      </c>
      <c r="J9" s="61">
        <f t="shared" ref="J9:J16" si="0">IFERROR(IF(D9=0,"NM",D9/E9),"NM")</f>
        <v>5.5421686746987948</v>
      </c>
      <c r="K9" s="62">
        <f t="shared" ref="K9:K16" si="1">IF(OR(G9&lt;=0,E9=0,D9=0),"NM",IF(D9/(E9*G9)&gt;100,"NM",D9/(E9*G9)))</f>
        <v>8.9389817333851536</v>
      </c>
      <c r="M9" s="19">
        <v>2.5550000000000002</v>
      </c>
      <c r="N9" s="19">
        <v>27</v>
      </c>
      <c r="O9"/>
      <c r="P9" s="19">
        <v>0.6</v>
      </c>
      <c r="Q9" s="44">
        <v>1810</v>
      </c>
      <c r="R9" s="8">
        <f t="shared" ref="R9:R16" si="2">IFERROR(Q9/(Q9+S9+U9),"")</f>
        <v>0.25138888888888888</v>
      </c>
      <c r="S9" s="44">
        <v>0</v>
      </c>
      <c r="T9" s="29">
        <f t="shared" ref="T9:T16" si="3">IFERROR(S9/($Q9+$S9+$U9),"")</f>
        <v>0</v>
      </c>
      <c r="U9" s="44">
        <v>5390</v>
      </c>
      <c r="V9" s="8">
        <f t="shared" ref="V9:V16" si="4">IFERROR(U9/(Q9+S9+U9),"")</f>
        <v>0.74861111111111112</v>
      </c>
      <c r="W9" s="66">
        <v>0.21</v>
      </c>
      <c r="X9" s="24">
        <f t="shared" ref="X9:X16" si="5">IFERROR(P9/(1+(Q9/U9)*(1-W9)+S9/U9),"")</f>
        <v>0.47420050147362858</v>
      </c>
    </row>
    <row r="10" spans="1:24" x14ac:dyDescent="0.3">
      <c r="A10" t="s">
        <v>357</v>
      </c>
      <c r="B10" t="s">
        <v>358</v>
      </c>
      <c r="C10" s="39">
        <v>36100</v>
      </c>
      <c r="D10" s="39">
        <v>61430</v>
      </c>
      <c r="E10" s="44">
        <v>14800</v>
      </c>
      <c r="F10" s="16">
        <v>0.37</v>
      </c>
      <c r="G10" s="16">
        <v>0.37</v>
      </c>
      <c r="H10" s="16">
        <v>0.115</v>
      </c>
      <c r="I10" s="16">
        <v>0.11</v>
      </c>
      <c r="J10" s="61">
        <f t="shared" si="0"/>
        <v>4.150675675675676</v>
      </c>
      <c r="K10" s="62">
        <f t="shared" si="1"/>
        <v>11.218042366691016</v>
      </c>
      <c r="M10" s="19">
        <v>29.2</v>
      </c>
      <c r="N10" s="19">
        <v>40</v>
      </c>
      <c r="O10"/>
      <c r="P10" s="19">
        <v>0.96</v>
      </c>
      <c r="Q10" s="44">
        <v>29240</v>
      </c>
      <c r="R10" s="8">
        <f t="shared" si="2"/>
        <v>0.47130883301096066</v>
      </c>
      <c r="S10" s="44">
        <v>0</v>
      </c>
      <c r="T10" s="29">
        <f t="shared" si="3"/>
        <v>0</v>
      </c>
      <c r="U10" s="44">
        <v>32800</v>
      </c>
      <c r="V10" s="8">
        <f t="shared" si="4"/>
        <v>0.52869116698903929</v>
      </c>
      <c r="W10" s="66">
        <v>0.21</v>
      </c>
      <c r="X10" s="24">
        <f t="shared" si="5"/>
        <v>0.56329562286671098</v>
      </c>
    </row>
    <row r="11" spans="1:24" x14ac:dyDescent="0.3">
      <c r="A11" t="s">
        <v>359</v>
      </c>
      <c r="B11" t="s">
        <v>360</v>
      </c>
      <c r="C11" s="39">
        <v>3000</v>
      </c>
      <c r="D11" s="39">
        <v>3500</v>
      </c>
      <c r="E11" s="44">
        <v>250</v>
      </c>
      <c r="F11" s="16">
        <v>0.6381</v>
      </c>
      <c r="G11" s="16">
        <v>0.4</v>
      </c>
      <c r="H11" s="16">
        <v>0.8</v>
      </c>
      <c r="I11" s="16">
        <v>0.1</v>
      </c>
      <c r="J11" s="61">
        <f t="shared" si="0"/>
        <v>14</v>
      </c>
      <c r="K11" s="62">
        <f t="shared" si="1"/>
        <v>35</v>
      </c>
      <c r="M11" s="24" t="s">
        <v>467</v>
      </c>
      <c r="N11" s="24" t="s">
        <v>467</v>
      </c>
      <c r="O11"/>
      <c r="P11" s="19">
        <v>2.6</v>
      </c>
      <c r="Q11" s="44">
        <v>546</v>
      </c>
      <c r="R11" s="8">
        <f t="shared" si="2"/>
        <v>4.4953070969866622E-2</v>
      </c>
      <c r="S11" s="44">
        <v>0</v>
      </c>
      <c r="T11" s="29">
        <f t="shared" si="3"/>
        <v>0</v>
      </c>
      <c r="U11" s="44">
        <v>11600</v>
      </c>
      <c r="V11" s="8">
        <f t="shared" si="4"/>
        <v>0.95504692903013333</v>
      </c>
      <c r="W11" s="66">
        <v>0.21</v>
      </c>
      <c r="X11" s="24">
        <f t="shared" si="5"/>
        <v>2.5067864427403763</v>
      </c>
    </row>
    <row r="12" spans="1:24" x14ac:dyDescent="0.3">
      <c r="A12" t="s">
        <v>361</v>
      </c>
      <c r="B12" t="s">
        <v>362</v>
      </c>
      <c r="C12" s="39">
        <v>15600</v>
      </c>
      <c r="D12" s="39">
        <v>15100</v>
      </c>
      <c r="E12" s="44">
        <v>71</v>
      </c>
      <c r="F12" s="16">
        <v>0.44819999999999999</v>
      </c>
      <c r="G12" s="16">
        <v>-2</v>
      </c>
      <c r="H12" s="16">
        <v>5</v>
      </c>
      <c r="I12" s="16">
        <v>0.15</v>
      </c>
      <c r="J12" s="61">
        <f t="shared" si="0"/>
        <v>212.67605633802816</v>
      </c>
      <c r="K12" s="62" t="str">
        <f t="shared" si="1"/>
        <v>NM</v>
      </c>
      <c r="M12" s="24" t="s">
        <v>467</v>
      </c>
      <c r="N12" s="24" t="s">
        <v>467</v>
      </c>
      <c r="O12"/>
      <c r="P12" s="19">
        <v>2.6</v>
      </c>
      <c r="Q12" s="44">
        <v>2990</v>
      </c>
      <c r="R12" s="8">
        <f t="shared" si="2"/>
        <v>9.6607431340872379E-2</v>
      </c>
      <c r="S12" s="44">
        <v>0</v>
      </c>
      <c r="T12" s="29">
        <f t="shared" si="3"/>
        <v>0</v>
      </c>
      <c r="U12" s="44">
        <v>27960</v>
      </c>
      <c r="V12" s="8">
        <f t="shared" si="4"/>
        <v>0.90339256865912765</v>
      </c>
      <c r="W12" s="66">
        <v>0.21</v>
      </c>
      <c r="X12" s="24">
        <f t="shared" si="5"/>
        <v>2.3974592788758033</v>
      </c>
    </row>
    <row r="13" spans="1:24" x14ac:dyDescent="0.3">
      <c r="A13" t="s">
        <v>363</v>
      </c>
      <c r="B13" t="s">
        <v>364</v>
      </c>
      <c r="C13" s="39">
        <v>6640</v>
      </c>
      <c r="D13" s="39">
        <v>12000</v>
      </c>
      <c r="E13" s="44">
        <v>4500</v>
      </c>
      <c r="F13" s="16">
        <v>0.33200000000000002</v>
      </c>
      <c r="G13" s="16">
        <v>0.3</v>
      </c>
      <c r="H13" s="16">
        <v>0.19900000000000001</v>
      </c>
      <c r="I13" s="16">
        <v>0.08</v>
      </c>
      <c r="J13" s="61">
        <f t="shared" si="0"/>
        <v>2.6666666666666665</v>
      </c>
      <c r="K13" s="62">
        <f t="shared" si="1"/>
        <v>8.8888888888888893</v>
      </c>
      <c r="M13" s="24" t="s">
        <v>467</v>
      </c>
      <c r="N13" s="24" t="s">
        <v>467</v>
      </c>
      <c r="O13"/>
      <c r="P13" s="19">
        <v>1.37</v>
      </c>
      <c r="Q13" s="44">
        <v>7080</v>
      </c>
      <c r="R13" s="8">
        <f t="shared" si="2"/>
        <v>0.43839009287925695</v>
      </c>
      <c r="S13" s="44">
        <v>0</v>
      </c>
      <c r="T13" s="29">
        <f t="shared" si="3"/>
        <v>0</v>
      </c>
      <c r="U13" s="44">
        <v>9070</v>
      </c>
      <c r="V13" s="8">
        <f t="shared" si="4"/>
        <v>0.56160990712074299</v>
      </c>
      <c r="W13" s="66">
        <v>0.21</v>
      </c>
      <c r="X13" s="24">
        <f t="shared" si="5"/>
        <v>0.84742075399639916</v>
      </c>
    </row>
    <row r="14" spans="1:24" x14ac:dyDescent="0.3">
      <c r="A14" t="s">
        <v>365</v>
      </c>
      <c r="B14" t="s">
        <v>366</v>
      </c>
      <c r="C14" s="39">
        <v>6300</v>
      </c>
      <c r="D14" s="39">
        <v>12560</v>
      </c>
      <c r="E14" s="44">
        <v>2850</v>
      </c>
      <c r="F14" s="16">
        <v>0.6</v>
      </c>
      <c r="G14" s="16">
        <v>0.43</v>
      </c>
      <c r="H14" s="16">
        <v>0.5</v>
      </c>
      <c r="I14" s="16">
        <v>0.05</v>
      </c>
      <c r="J14" s="61">
        <f t="shared" si="0"/>
        <v>4.4070175438596495</v>
      </c>
      <c r="K14" s="62">
        <f t="shared" si="1"/>
        <v>10.248878008975929</v>
      </c>
      <c r="M14" s="24" t="s">
        <v>467</v>
      </c>
      <c r="N14" s="24" t="s">
        <v>467</v>
      </c>
      <c r="O14"/>
      <c r="P14" s="19">
        <v>0.51</v>
      </c>
      <c r="Q14" s="44">
        <v>3400</v>
      </c>
      <c r="R14" s="8">
        <f t="shared" si="2"/>
        <v>0.57627118644067798</v>
      </c>
      <c r="S14" s="44">
        <v>0</v>
      </c>
      <c r="T14" s="29">
        <f t="shared" si="3"/>
        <v>0</v>
      </c>
      <c r="U14" s="44">
        <v>2500</v>
      </c>
      <c r="V14" s="8">
        <f t="shared" si="4"/>
        <v>0.42372881355932202</v>
      </c>
      <c r="W14" s="66">
        <v>0.21</v>
      </c>
      <c r="X14" s="24">
        <f t="shared" si="5"/>
        <v>0.2458542229078288</v>
      </c>
    </row>
    <row r="15" spans="1:24" x14ac:dyDescent="0.3">
      <c r="A15" t="s">
        <v>367</v>
      </c>
      <c r="B15" t="s">
        <v>368</v>
      </c>
      <c r="C15" s="39">
        <v>3840</v>
      </c>
      <c r="D15" s="39">
        <v>4810</v>
      </c>
      <c r="E15" s="44">
        <v>1230</v>
      </c>
      <c r="F15" s="16">
        <v>0.5</v>
      </c>
      <c r="G15" s="16">
        <v>0.3</v>
      </c>
      <c r="H15" s="16">
        <v>0.45</v>
      </c>
      <c r="I15" s="16">
        <v>0.08</v>
      </c>
      <c r="J15" s="61">
        <f t="shared" si="0"/>
        <v>3.910569105691057</v>
      </c>
      <c r="K15" s="62">
        <f t="shared" si="1"/>
        <v>13.035230352303524</v>
      </c>
      <c r="M15" s="24" t="s">
        <v>467</v>
      </c>
      <c r="N15" s="24" t="s">
        <v>467</v>
      </c>
      <c r="O15"/>
      <c r="P15" s="19">
        <v>0.9</v>
      </c>
      <c r="Q15" s="44">
        <v>7300</v>
      </c>
      <c r="R15" s="8">
        <f t="shared" si="2"/>
        <v>0.72277227722772275</v>
      </c>
      <c r="S15" s="44">
        <v>0</v>
      </c>
      <c r="T15" s="29">
        <f t="shared" si="3"/>
        <v>0</v>
      </c>
      <c r="U15" s="44">
        <v>2800</v>
      </c>
      <c r="V15" s="8">
        <f t="shared" si="4"/>
        <v>0.27722772277227725</v>
      </c>
      <c r="W15" s="66">
        <v>0.25</v>
      </c>
      <c r="X15" s="24">
        <f t="shared" si="5"/>
        <v>0.30453172205438067</v>
      </c>
    </row>
    <row r="16" spans="1:24" x14ac:dyDescent="0.3">
      <c r="A16" t="s">
        <v>369</v>
      </c>
      <c r="B16" t="s">
        <v>370</v>
      </c>
      <c r="C16" s="39">
        <v>2460</v>
      </c>
      <c r="D16" s="39">
        <v>5500</v>
      </c>
      <c r="E16" s="44">
        <v>279</v>
      </c>
      <c r="F16" s="16">
        <v>0.65</v>
      </c>
      <c r="G16" s="16">
        <v>0.65</v>
      </c>
      <c r="H16" s="16">
        <v>0.35</v>
      </c>
      <c r="I16" s="16">
        <v>0.05</v>
      </c>
      <c r="J16" s="61">
        <f t="shared" si="0"/>
        <v>19.713261648745519</v>
      </c>
      <c r="K16" s="62">
        <f t="shared" si="1"/>
        <v>30.328094844223877</v>
      </c>
      <c r="M16" s="24" t="s">
        <v>467</v>
      </c>
      <c r="N16" s="24" t="s">
        <v>467</v>
      </c>
      <c r="O16"/>
      <c r="P16" s="19">
        <v>2</v>
      </c>
      <c r="Q16" s="44">
        <v>4200</v>
      </c>
      <c r="R16" s="8">
        <f t="shared" si="2"/>
        <v>0.87318087318087323</v>
      </c>
      <c r="S16" s="44">
        <v>0</v>
      </c>
      <c r="T16" s="29">
        <f t="shared" si="3"/>
        <v>0</v>
      </c>
      <c r="U16" s="44">
        <v>610</v>
      </c>
      <c r="V16" s="8">
        <f t="shared" si="4"/>
        <v>0.12681912681912683</v>
      </c>
      <c r="W16" s="66">
        <v>0.26500000000000001</v>
      </c>
      <c r="X16" s="24">
        <f t="shared" si="5"/>
        <v>0.32999729510413855</v>
      </c>
    </row>
    <row r="17" spans="1:24" x14ac:dyDescent="0.3">
      <c r="F17"/>
      <c r="J17"/>
      <c r="M17" s="20"/>
      <c r="N17" s="20"/>
      <c r="O17"/>
    </row>
    <row r="18" spans="1:24" x14ac:dyDescent="0.3">
      <c r="A18" s="1" t="s">
        <v>371</v>
      </c>
      <c r="C18" s="67">
        <f t="shared" ref="C18:I18" si="6">IFERROR(MIN(C9:C16),"")</f>
        <v>2460</v>
      </c>
      <c r="D18" s="67">
        <f t="shared" si="6"/>
        <v>3500</v>
      </c>
      <c r="E18" s="64">
        <f t="shared" si="6"/>
        <v>71</v>
      </c>
      <c r="F18" s="441">
        <f t="shared" si="6"/>
        <v>0.33200000000000002</v>
      </c>
      <c r="G18" s="29">
        <f t="shared" si="6"/>
        <v>-2</v>
      </c>
      <c r="H18" s="29">
        <f t="shared" si="6"/>
        <v>4.4999999999999998E-2</v>
      </c>
      <c r="I18" s="29">
        <f t="shared" si="6"/>
        <v>0.05</v>
      </c>
      <c r="J18" s="61">
        <f>IFERROR(_xlfn.AGGREGATE(5,6,J9:J16),"")</f>
        <v>2.6666666666666665</v>
      </c>
      <c r="K18" s="62">
        <f>IFERROR(MIN(K9:K16),"")</f>
        <v>8.8888888888888893</v>
      </c>
      <c r="M18" s="24">
        <f>IFERROR(IF(COUNTA(M9:M16)=0,"",MIN(M9:M16)),"")</f>
        <v>2.5550000000000002</v>
      </c>
      <c r="N18" s="24">
        <f>IFERROR(IF(COUNTA(N9:N16)=0,"",MIN(N9:N16)),"")</f>
        <v>27</v>
      </c>
      <c r="O18"/>
      <c r="P18" s="24">
        <f t="shared" ref="P18:X18" si="7">IFERROR(MIN(P9:P16),"")</f>
        <v>0.51</v>
      </c>
      <c r="Q18" s="64">
        <f t="shared" si="7"/>
        <v>546</v>
      </c>
      <c r="R18" s="29">
        <f t="shared" si="7"/>
        <v>4.4953070969866622E-2</v>
      </c>
      <c r="S18" s="64">
        <f t="shared" si="7"/>
        <v>0</v>
      </c>
      <c r="T18" s="29">
        <f t="shared" si="7"/>
        <v>0</v>
      </c>
      <c r="U18" s="64">
        <f t="shared" si="7"/>
        <v>610</v>
      </c>
      <c r="V18" s="29">
        <f t="shared" si="7"/>
        <v>0.12681912681912683</v>
      </c>
      <c r="W18" s="29">
        <f t="shared" si="7"/>
        <v>0.21</v>
      </c>
      <c r="X18" s="24">
        <f t="shared" si="7"/>
        <v>0.2458542229078288</v>
      </c>
    </row>
    <row r="19" spans="1:24" x14ac:dyDescent="0.3">
      <c r="A19" s="1" t="s">
        <v>372</v>
      </c>
      <c r="C19" s="67">
        <f t="shared" ref="C19:J19" si="8">IFERROR(QUARTILE(C9:C16,1),"")</f>
        <v>3150</v>
      </c>
      <c r="D19" s="67">
        <f t="shared" si="8"/>
        <v>4757.5</v>
      </c>
      <c r="E19" s="64">
        <f t="shared" si="8"/>
        <v>271.75</v>
      </c>
      <c r="F19" s="441">
        <f t="shared" si="8"/>
        <v>0.42864999999999998</v>
      </c>
      <c r="G19" s="29">
        <f t="shared" si="8"/>
        <v>0.3</v>
      </c>
      <c r="H19" s="29">
        <f t="shared" si="8"/>
        <v>0.17799999999999999</v>
      </c>
      <c r="I19" s="29">
        <f t="shared" si="8"/>
        <v>0.05</v>
      </c>
      <c r="J19" s="62">
        <f t="shared" si="8"/>
        <v>4.0906490331795213</v>
      </c>
      <c r="K19" s="62">
        <f>QUARTILE((K9,K10,K11,K13,K14,K15,K16),1)</f>
        <v>9.5939298711805421</v>
      </c>
      <c r="M19" s="24">
        <f>IFERROR(QUARTILE(M9:M16,1),"")</f>
        <v>9.2162500000000005</v>
      </c>
      <c r="N19" s="24">
        <f>IFERROR(QUARTILE(N9:N16,1),"")</f>
        <v>30.25</v>
      </c>
      <c r="O19"/>
      <c r="P19" s="24">
        <f t="shared" ref="P19:X19" si="9">IFERROR(QUARTILE(P9:P16,1),"")</f>
        <v>0.82499999999999996</v>
      </c>
      <c r="Q19" s="64">
        <f t="shared" si="9"/>
        <v>2695</v>
      </c>
      <c r="R19" s="29">
        <f t="shared" si="9"/>
        <v>0.21269352450188475</v>
      </c>
      <c r="S19" s="64">
        <f t="shared" si="9"/>
        <v>0</v>
      </c>
      <c r="T19" s="29">
        <f t="shared" si="9"/>
        <v>0</v>
      </c>
      <c r="U19" s="64">
        <f t="shared" si="9"/>
        <v>2725</v>
      </c>
      <c r="V19" s="29">
        <f t="shared" si="9"/>
        <v>0.38710354086256082</v>
      </c>
      <c r="W19" s="29">
        <f t="shared" si="9"/>
        <v>0.21</v>
      </c>
      <c r="X19" s="24">
        <f t="shared" si="9"/>
        <v>0.32363090184169907</v>
      </c>
    </row>
    <row r="20" spans="1:24" x14ac:dyDescent="0.3">
      <c r="A20" s="1" t="s">
        <v>373</v>
      </c>
      <c r="C20" s="67">
        <f t="shared" ref="C20:I20" si="10">IFERROR(MEDIAN(C9:C16),"")</f>
        <v>5070</v>
      </c>
      <c r="D20" s="67">
        <f t="shared" si="10"/>
        <v>8750</v>
      </c>
      <c r="E20" s="64">
        <f t="shared" si="10"/>
        <v>1030</v>
      </c>
      <c r="F20" s="441">
        <f t="shared" si="10"/>
        <v>0.55000000000000004</v>
      </c>
      <c r="G20" s="29">
        <f t="shared" si="10"/>
        <v>0.38500000000000001</v>
      </c>
      <c r="H20" s="29">
        <f t="shared" si="10"/>
        <v>0.4</v>
      </c>
      <c r="I20" s="29">
        <f t="shared" si="10"/>
        <v>0.08</v>
      </c>
      <c r="J20" s="62">
        <f>IFERROR(QUARTILE(J9:J16,2),"")</f>
        <v>4.9745931092792226</v>
      </c>
      <c r="K20" s="62">
        <f>QUARTILE((K9,K10,K11,K13,K14,K15,K16),2)</f>
        <v>11.218042366691016</v>
      </c>
      <c r="M20" s="24">
        <f>IFERROR(MEDIAN(M9:M16),"")</f>
        <v>15.8775</v>
      </c>
      <c r="N20" s="24">
        <f>IFERROR(MEDIAN(N9:N16),"")</f>
        <v>33.5</v>
      </c>
      <c r="O20"/>
      <c r="P20" s="24">
        <f t="shared" ref="P20:X20" si="11">IFERROR(MEDIAN(P9:P16),"")</f>
        <v>1.165</v>
      </c>
      <c r="Q20" s="64">
        <f t="shared" si="11"/>
        <v>3800</v>
      </c>
      <c r="R20" s="29">
        <f t="shared" si="11"/>
        <v>0.45484946294510881</v>
      </c>
      <c r="S20" s="64">
        <f t="shared" si="11"/>
        <v>0</v>
      </c>
      <c r="T20" s="29">
        <f t="shared" si="11"/>
        <v>0</v>
      </c>
      <c r="U20" s="64">
        <f t="shared" si="11"/>
        <v>7230</v>
      </c>
      <c r="V20" s="29">
        <f t="shared" si="11"/>
        <v>0.54515053705489114</v>
      </c>
      <c r="W20" s="29">
        <f t="shared" si="11"/>
        <v>0.21</v>
      </c>
      <c r="X20" s="24">
        <f t="shared" si="11"/>
        <v>0.51874806217016978</v>
      </c>
    </row>
    <row r="21" spans="1:24" x14ac:dyDescent="0.3">
      <c r="A21" s="1" t="s">
        <v>374</v>
      </c>
      <c r="C21" s="67">
        <f t="shared" ref="C21:I21" si="12">IFERROR(AVERAGE(C9:C16),"")</f>
        <v>9642.5</v>
      </c>
      <c r="D21" s="67">
        <f t="shared" si="12"/>
        <v>14937.5</v>
      </c>
      <c r="E21" s="64">
        <f t="shared" si="12"/>
        <v>3101.25</v>
      </c>
      <c r="F21" s="441">
        <f t="shared" si="12"/>
        <v>0.53222500000000006</v>
      </c>
      <c r="G21" s="29">
        <f t="shared" si="12"/>
        <v>0.13375000000000001</v>
      </c>
      <c r="H21" s="29">
        <f t="shared" si="12"/>
        <v>0.93237499999999995</v>
      </c>
      <c r="I21" s="29">
        <f t="shared" si="12"/>
        <v>8.3750000000000005E-2</v>
      </c>
      <c r="J21" s="62">
        <f>IFERROR(_xlfn.AGGREGATE(1,6,J9:J16),"")</f>
        <v>33.383301956670685</v>
      </c>
      <c r="K21" s="62">
        <f>IFERROR(AVERAGE(K9:K16),"")</f>
        <v>16.808302313495485</v>
      </c>
      <c r="M21" s="24">
        <f>IFERROR(AVERAGE(M9:M16),"")</f>
        <v>15.8775</v>
      </c>
      <c r="N21" s="24">
        <f>IFERROR(AVERAGE(N9:N16),"")</f>
        <v>33.5</v>
      </c>
      <c r="O21"/>
      <c r="P21" s="24">
        <f t="shared" ref="P21:X21" si="13">IFERROR(AVERAGE(P9:P16),"")</f>
        <v>1.4424999999999999</v>
      </c>
      <c r="Q21" s="64">
        <f t="shared" si="13"/>
        <v>7070.75</v>
      </c>
      <c r="R21" s="29">
        <f t="shared" si="13"/>
        <v>0.43435908174238991</v>
      </c>
      <c r="S21" s="64">
        <f t="shared" si="13"/>
        <v>0</v>
      </c>
      <c r="T21" s="29">
        <f t="shared" si="13"/>
        <v>0</v>
      </c>
      <c r="U21" s="64">
        <f t="shared" si="13"/>
        <v>11591.25</v>
      </c>
      <c r="V21" s="29">
        <f t="shared" si="13"/>
        <v>0.56564091825761009</v>
      </c>
      <c r="W21" s="29">
        <f t="shared" si="13"/>
        <v>0.22187499999999999</v>
      </c>
      <c r="X21" s="24">
        <f t="shared" si="13"/>
        <v>0.95869323000240825</v>
      </c>
    </row>
    <row r="22" spans="1:24" x14ac:dyDescent="0.3">
      <c r="A22" s="1" t="s">
        <v>375</v>
      </c>
      <c r="C22" s="67">
        <f t="shared" ref="C22:J22" si="14">IFERROR(QUARTILE(C9:C16,3),"")</f>
        <v>8880</v>
      </c>
      <c r="D22" s="67">
        <f t="shared" si="14"/>
        <v>13195</v>
      </c>
      <c r="E22" s="64">
        <f t="shared" si="14"/>
        <v>3262.5</v>
      </c>
      <c r="F22" s="441">
        <f t="shared" si="14"/>
        <v>0.64107500000000006</v>
      </c>
      <c r="G22" s="29">
        <f t="shared" si="14"/>
        <v>0.47749999999999998</v>
      </c>
      <c r="H22" s="29">
        <f t="shared" si="14"/>
        <v>0.57499999999999996</v>
      </c>
      <c r="I22" s="29">
        <f t="shared" si="14"/>
        <v>0.10250000000000001</v>
      </c>
      <c r="J22" s="62">
        <f t="shared" si="14"/>
        <v>15.428315412186379</v>
      </c>
      <c r="K22" s="62">
        <f>QUARTILE((K9,K10,K11,K13,K14,K15,K16),3)</f>
        <v>21.681662598263699</v>
      </c>
      <c r="M22" s="24">
        <f>IFERROR(QUARTILE(M9:M16,3),"")</f>
        <v>22.53875</v>
      </c>
      <c r="N22" s="24">
        <f>IFERROR(QUARTILE(N9:N16,3),"")</f>
        <v>36.75</v>
      </c>
      <c r="O22"/>
      <c r="P22" s="24">
        <f t="shared" ref="P22:X22" si="15">IFERROR(QUARTILE(P9:P16,3),"")</f>
        <v>2.15</v>
      </c>
      <c r="Q22" s="64">
        <f t="shared" si="15"/>
        <v>7135</v>
      </c>
      <c r="R22" s="29">
        <f t="shared" si="15"/>
        <v>0.61289645913743918</v>
      </c>
      <c r="S22" s="64">
        <f t="shared" si="15"/>
        <v>0</v>
      </c>
      <c r="T22" s="29">
        <f t="shared" si="15"/>
        <v>0</v>
      </c>
      <c r="U22" s="64">
        <f t="shared" si="15"/>
        <v>15690</v>
      </c>
      <c r="V22" s="29">
        <f t="shared" si="15"/>
        <v>0.78730647549811528</v>
      </c>
      <c r="W22" s="29">
        <f t="shared" si="15"/>
        <v>0.22</v>
      </c>
      <c r="X22" s="24">
        <f t="shared" si="15"/>
        <v>1.2349303852162503</v>
      </c>
    </row>
    <row r="23" spans="1:24" ht="15" thickBot="1" x14ac:dyDescent="0.35">
      <c r="A23" s="169" t="s">
        <v>376</v>
      </c>
      <c r="B23" s="164"/>
      <c r="C23" s="227">
        <f t="shared" ref="C23:I23" si="16">IFERROR(MAX(C9:C16),"")</f>
        <v>36100</v>
      </c>
      <c r="D23" s="227">
        <f t="shared" si="16"/>
        <v>61430</v>
      </c>
      <c r="E23" s="226">
        <f t="shared" si="16"/>
        <v>14800</v>
      </c>
      <c r="F23" s="442">
        <f t="shared" si="16"/>
        <v>0.71950000000000003</v>
      </c>
      <c r="G23" s="230">
        <f t="shared" si="16"/>
        <v>0.65</v>
      </c>
      <c r="H23" s="230">
        <f t="shared" si="16"/>
        <v>5</v>
      </c>
      <c r="I23" s="230">
        <f t="shared" si="16"/>
        <v>0.15</v>
      </c>
      <c r="J23" s="225">
        <f>IFERROR(_xlfn.AGGREGATE(4,6,J9:J16),"")</f>
        <v>212.67605633802816</v>
      </c>
      <c r="K23" s="225">
        <f>IFERROR(MAX(K9:K16),"")</f>
        <v>35</v>
      </c>
      <c r="L23" s="18"/>
      <c r="M23" s="26">
        <f>IFERROR(IF(COUNTA(M9:M16)=0,"",MAX(M9:M16)),"")</f>
        <v>29.2</v>
      </c>
      <c r="N23" s="26">
        <f>IFERROR(IF(COUNTA(N9:N16)=0,"",MAX(N9:N16)),"")</f>
        <v>40</v>
      </c>
      <c r="O23" s="164"/>
      <c r="P23" s="26">
        <f t="shared" ref="P23:X23" si="17">IFERROR(MAX(P9:P16),"")</f>
        <v>2.6</v>
      </c>
      <c r="Q23" s="226">
        <f t="shared" si="17"/>
        <v>29240</v>
      </c>
      <c r="R23" s="230">
        <f t="shared" si="17"/>
        <v>0.87318087318087323</v>
      </c>
      <c r="S23" s="226">
        <f t="shared" si="17"/>
        <v>0</v>
      </c>
      <c r="T23" s="230">
        <f t="shared" si="17"/>
        <v>0</v>
      </c>
      <c r="U23" s="226">
        <f t="shared" si="17"/>
        <v>32800</v>
      </c>
      <c r="V23" s="230">
        <f t="shared" si="17"/>
        <v>0.95504692903013333</v>
      </c>
      <c r="W23" s="230">
        <f t="shared" si="17"/>
        <v>0.26500000000000001</v>
      </c>
      <c r="X23" s="26">
        <f t="shared" si="17"/>
        <v>2.5067864427403763</v>
      </c>
    </row>
    <row r="24" spans="1:24" ht="15" thickTop="1" x14ac:dyDescent="0.3">
      <c r="F24"/>
      <c r="J24"/>
      <c r="O24"/>
    </row>
    <row r="25" spans="1:24" x14ac:dyDescent="0.3">
      <c r="A25" s="92" t="s">
        <v>886</v>
      </c>
      <c r="B25" s="92"/>
      <c r="C25" s="102"/>
      <c r="D25" s="102"/>
      <c r="E25" s="102"/>
      <c r="F25" s="102"/>
      <c r="G25" s="102"/>
      <c r="H25" s="102"/>
      <c r="I25" s="102"/>
      <c r="J25" s="102"/>
      <c r="K25" s="102"/>
      <c r="L25" s="102"/>
      <c r="M25" s="102"/>
      <c r="N25" s="102"/>
      <c r="O25" s="102"/>
      <c r="P25" s="102"/>
      <c r="Q25" s="102"/>
      <c r="R25" s="102"/>
      <c r="S25" s="102"/>
      <c r="T25" s="102"/>
      <c r="U25" s="102"/>
      <c r="V25" s="102"/>
      <c r="W25" s="102"/>
      <c r="X25" s="102"/>
    </row>
    <row r="26" spans="1:24" x14ac:dyDescent="0.3">
      <c r="A26" t="s">
        <v>377</v>
      </c>
      <c r="B26" t="s">
        <v>378</v>
      </c>
      <c r="C26" s="39">
        <v>116130</v>
      </c>
      <c r="D26" s="39">
        <v>137956</v>
      </c>
      <c r="E26" s="44">
        <v>23300</v>
      </c>
      <c r="F26" s="7">
        <v>0.5</v>
      </c>
      <c r="G26" s="16">
        <v>0.38</v>
      </c>
      <c r="H26" s="16">
        <v>0.22</v>
      </c>
      <c r="I26" s="16">
        <v>0.22</v>
      </c>
      <c r="J26" s="61">
        <f t="shared" ref="J26:J33" si="18">IF(OR(D26="",D26=0,E26="",E26=0),"NM",D26/E26)</f>
        <v>5.9208583690987124</v>
      </c>
      <c r="K26" s="62">
        <f t="shared" ref="K26:K33" si="19">IF(OR(G26&lt;=0,E26=0,D26=0),"NM",IF(D26/(E26*G26)&gt;100,"NM",D26/(E26*G26)))</f>
        <v>15.581206234470296</v>
      </c>
      <c r="M26" s="19">
        <v>478</v>
      </c>
      <c r="N26" s="19">
        <v>3</v>
      </c>
      <c r="O26"/>
      <c r="P26" s="13">
        <v>0.5</v>
      </c>
      <c r="Q26" s="44">
        <v>14000</v>
      </c>
      <c r="R26" s="8">
        <f t="shared" ref="R26:R33" si="20">IFERROR(Q26/(Q26+S26+U26),"")</f>
        <v>0.11070694290684802</v>
      </c>
      <c r="S26" s="44">
        <v>0</v>
      </c>
      <c r="T26" s="29">
        <f t="shared" ref="T26:T33" si="21">IFERROR(S26/(Q26+S26+U26),"")</f>
        <v>0</v>
      </c>
      <c r="U26" s="44">
        <v>112460</v>
      </c>
      <c r="V26" s="8">
        <f t="shared" ref="V26:V33" si="22">IFERROR(U26/(Q26+S26+U26),"")</f>
        <v>0.88929305709315198</v>
      </c>
      <c r="W26" s="66">
        <v>0.25</v>
      </c>
      <c r="X26" s="24">
        <f t="shared" ref="X26:X33" si="23">IFERROR(P26/(1+(Q26/U26)*(1-W26)+S26/U26),"")</f>
        <v>0.45730318802862718</v>
      </c>
    </row>
    <row r="27" spans="1:24" x14ac:dyDescent="0.3">
      <c r="A27" t="s">
        <v>379</v>
      </c>
      <c r="B27" t="s">
        <v>380</v>
      </c>
      <c r="C27" s="39">
        <v>21828</v>
      </c>
      <c r="D27" s="39">
        <v>24074</v>
      </c>
      <c r="E27" s="44">
        <v>10010</v>
      </c>
      <c r="F27" s="7">
        <v>0.45</v>
      </c>
      <c r="G27" s="16">
        <v>0.44</v>
      </c>
      <c r="H27" s="16">
        <v>0.19</v>
      </c>
      <c r="I27" s="16">
        <v>0.08</v>
      </c>
      <c r="J27" s="61">
        <f t="shared" si="18"/>
        <v>2.4049950049950048</v>
      </c>
      <c r="K27" s="62">
        <f t="shared" si="19"/>
        <v>5.4658977386250118</v>
      </c>
      <c r="M27" s="19">
        <v>307</v>
      </c>
      <c r="N27" s="19">
        <v>3.5</v>
      </c>
      <c r="O27"/>
      <c r="P27" s="13">
        <v>0.97</v>
      </c>
      <c r="Q27" s="44">
        <v>8100</v>
      </c>
      <c r="R27" s="8">
        <f t="shared" si="20"/>
        <v>0.29454545454545455</v>
      </c>
      <c r="S27" s="44">
        <v>0</v>
      </c>
      <c r="T27" s="29">
        <f t="shared" si="21"/>
        <v>0</v>
      </c>
      <c r="U27" s="44">
        <v>19400</v>
      </c>
      <c r="V27" s="8">
        <f t="shared" si="22"/>
        <v>0.70545454545454545</v>
      </c>
      <c r="W27" s="66">
        <v>0.28000000000000003</v>
      </c>
      <c r="X27" s="24">
        <f t="shared" si="23"/>
        <v>0.74579898541534562</v>
      </c>
    </row>
    <row r="28" spans="1:24" x14ac:dyDescent="0.3">
      <c r="A28" t="s">
        <v>381</v>
      </c>
      <c r="B28" t="s">
        <v>382</v>
      </c>
      <c r="C28" s="39">
        <v>17080</v>
      </c>
      <c r="D28" s="39">
        <v>20380</v>
      </c>
      <c r="E28" s="44">
        <v>8860</v>
      </c>
      <c r="F28" s="7">
        <v>0.55000000000000004</v>
      </c>
      <c r="G28" s="16">
        <v>0.4</v>
      </c>
      <c r="H28" s="16">
        <v>0.18</v>
      </c>
      <c r="I28" s="16">
        <v>0.12</v>
      </c>
      <c r="J28" s="61">
        <f t="shared" si="18"/>
        <v>2.3002257336343117</v>
      </c>
      <c r="K28" s="62">
        <f t="shared" si="19"/>
        <v>5.7505643340857784</v>
      </c>
      <c r="M28" s="19">
        <v>83</v>
      </c>
      <c r="N28" s="19">
        <v>7</v>
      </c>
      <c r="O28"/>
      <c r="P28" s="13">
        <v>0.42</v>
      </c>
      <c r="Q28" s="44">
        <v>4400</v>
      </c>
      <c r="R28" s="8">
        <f t="shared" si="20"/>
        <v>0.19634091923248551</v>
      </c>
      <c r="S28" s="44">
        <v>0</v>
      </c>
      <c r="T28" s="29">
        <f t="shared" si="21"/>
        <v>0</v>
      </c>
      <c r="U28" s="44">
        <v>18010</v>
      </c>
      <c r="V28" s="8">
        <f t="shared" si="22"/>
        <v>0.80365908076751447</v>
      </c>
      <c r="W28" s="66">
        <v>0.28000000000000003</v>
      </c>
      <c r="X28" s="24">
        <f t="shared" si="23"/>
        <v>0.3571725375389555</v>
      </c>
    </row>
    <row r="29" spans="1:24" x14ac:dyDescent="0.3">
      <c r="A29" t="s">
        <v>383</v>
      </c>
      <c r="B29" t="s">
        <v>384</v>
      </c>
      <c r="C29" s="39">
        <v>15293</v>
      </c>
      <c r="D29" s="39">
        <v>36374</v>
      </c>
      <c r="E29" s="44">
        <v>4000</v>
      </c>
      <c r="F29" s="7">
        <v>0.3</v>
      </c>
      <c r="G29" s="16">
        <v>0.27</v>
      </c>
      <c r="H29" s="16">
        <v>0.25</v>
      </c>
      <c r="I29" s="16">
        <v>0.05</v>
      </c>
      <c r="J29" s="61">
        <f t="shared" si="18"/>
        <v>9.0935000000000006</v>
      </c>
      <c r="K29" s="62">
        <f t="shared" si="19"/>
        <v>33.67962962962963</v>
      </c>
      <c r="M29" s="19">
        <v>198</v>
      </c>
      <c r="N29" s="19">
        <v>2</v>
      </c>
      <c r="O29"/>
      <c r="P29" s="13">
        <v>1.1000000000000001</v>
      </c>
      <c r="Q29" s="44">
        <v>23000</v>
      </c>
      <c r="R29" s="8">
        <f t="shared" si="20"/>
        <v>0.71875</v>
      </c>
      <c r="S29" s="44">
        <v>0</v>
      </c>
      <c r="T29" s="29">
        <f t="shared" si="21"/>
        <v>0</v>
      </c>
      <c r="U29" s="44">
        <v>9000</v>
      </c>
      <c r="V29" s="8">
        <f t="shared" si="22"/>
        <v>0.28125</v>
      </c>
      <c r="W29" s="66">
        <v>0.25</v>
      </c>
      <c r="X29" s="24">
        <f t="shared" si="23"/>
        <v>0.37714285714285717</v>
      </c>
    </row>
    <row r="30" spans="1:24" x14ac:dyDescent="0.3">
      <c r="A30" t="s">
        <v>385</v>
      </c>
      <c r="B30" t="s">
        <v>386</v>
      </c>
      <c r="C30" s="39">
        <v>3630</v>
      </c>
      <c r="D30" s="39">
        <v>5130</v>
      </c>
      <c r="E30" s="44">
        <v>4400</v>
      </c>
      <c r="F30" s="7">
        <v>0.88</v>
      </c>
      <c r="G30" s="16">
        <v>0.43</v>
      </c>
      <c r="H30" s="16">
        <v>0.2</v>
      </c>
      <c r="I30" s="16">
        <v>0.14000000000000001</v>
      </c>
      <c r="J30" s="61">
        <f t="shared" si="18"/>
        <v>1.165909090909091</v>
      </c>
      <c r="K30" s="62">
        <f t="shared" si="19"/>
        <v>2.7114164904862581</v>
      </c>
      <c r="M30" s="13">
        <v>150.5</v>
      </c>
      <c r="N30" s="13">
        <v>2.2999999999999998</v>
      </c>
      <c r="O30"/>
      <c r="P30" s="13">
        <v>1.61</v>
      </c>
      <c r="Q30" s="44">
        <v>5150</v>
      </c>
      <c r="R30" s="8">
        <f t="shared" si="20"/>
        <v>0.56593406593406592</v>
      </c>
      <c r="S30" s="44">
        <v>0</v>
      </c>
      <c r="T30" s="29">
        <f t="shared" si="21"/>
        <v>0</v>
      </c>
      <c r="U30" s="44">
        <v>3950</v>
      </c>
      <c r="V30" s="8">
        <f t="shared" si="22"/>
        <v>0.43406593406593408</v>
      </c>
      <c r="W30" s="66">
        <v>0.2</v>
      </c>
      <c r="X30" s="24">
        <f t="shared" si="23"/>
        <v>0.78804213135068146</v>
      </c>
    </row>
    <row r="31" spans="1:24" x14ac:dyDescent="0.3">
      <c r="A31" t="s">
        <v>387</v>
      </c>
      <c r="B31" t="s">
        <v>388</v>
      </c>
      <c r="C31" s="39">
        <v>7612</v>
      </c>
      <c r="D31" s="39">
        <v>9717</v>
      </c>
      <c r="E31" s="44">
        <v>5500</v>
      </c>
      <c r="F31" s="7">
        <v>0.55000000000000004</v>
      </c>
      <c r="G31" s="16">
        <v>0.34</v>
      </c>
      <c r="H31" s="16">
        <v>0.16</v>
      </c>
      <c r="I31" s="16">
        <v>0.08</v>
      </c>
      <c r="J31" s="61">
        <f t="shared" si="18"/>
        <v>1.7667272727272727</v>
      </c>
      <c r="K31" s="62">
        <f t="shared" si="19"/>
        <v>5.1962566844919778</v>
      </c>
      <c r="M31" s="19">
        <v>51.2</v>
      </c>
      <c r="N31" s="19">
        <v>12</v>
      </c>
      <c r="O31"/>
      <c r="P31" s="13">
        <v>0.65</v>
      </c>
      <c r="Q31" s="44">
        <v>3500</v>
      </c>
      <c r="R31" s="8">
        <f t="shared" si="20"/>
        <v>0.24475524475524477</v>
      </c>
      <c r="S31" s="44">
        <v>0</v>
      </c>
      <c r="T31" s="29">
        <f t="shared" si="21"/>
        <v>0</v>
      </c>
      <c r="U31" s="44">
        <v>10800</v>
      </c>
      <c r="V31" s="8">
        <f t="shared" si="22"/>
        <v>0.75524475524475521</v>
      </c>
      <c r="W31" s="66">
        <v>0.15</v>
      </c>
      <c r="X31" s="24">
        <f t="shared" si="23"/>
        <v>0.50961887477313972</v>
      </c>
    </row>
    <row r="32" spans="1:24" x14ac:dyDescent="0.3">
      <c r="A32" t="s">
        <v>389</v>
      </c>
      <c r="B32" t="s">
        <v>390</v>
      </c>
      <c r="C32" s="39">
        <v>9815</v>
      </c>
      <c r="D32" s="39">
        <v>11440</v>
      </c>
      <c r="E32" s="44">
        <v>3080</v>
      </c>
      <c r="F32" s="7">
        <v>0.6</v>
      </c>
      <c r="G32" s="16">
        <v>0.44</v>
      </c>
      <c r="H32" s="16">
        <v>0.21</v>
      </c>
      <c r="I32" s="16">
        <v>0.11</v>
      </c>
      <c r="J32" s="61">
        <f t="shared" si="18"/>
        <v>3.7142857142857144</v>
      </c>
      <c r="K32" s="62">
        <f t="shared" si="19"/>
        <v>8.4415584415584419</v>
      </c>
      <c r="M32" s="19">
        <v>46</v>
      </c>
      <c r="N32" s="19">
        <v>3</v>
      </c>
      <c r="O32"/>
      <c r="P32" s="13">
        <v>0.5</v>
      </c>
      <c r="Q32" s="44">
        <v>1200</v>
      </c>
      <c r="R32" s="8">
        <f t="shared" si="20"/>
        <v>0.11650485436893204</v>
      </c>
      <c r="S32" s="44">
        <v>0</v>
      </c>
      <c r="T32" s="29">
        <f t="shared" si="21"/>
        <v>0</v>
      </c>
      <c r="U32" s="44">
        <v>9100</v>
      </c>
      <c r="V32" s="8">
        <f t="shared" si="22"/>
        <v>0.88349514563106801</v>
      </c>
      <c r="W32" s="66">
        <v>0.3</v>
      </c>
      <c r="X32" s="24">
        <f t="shared" si="23"/>
        <v>0.45774647887323949</v>
      </c>
    </row>
    <row r="33" spans="1:24" x14ac:dyDescent="0.3">
      <c r="A33" t="s">
        <v>391</v>
      </c>
      <c r="B33" t="s">
        <v>392</v>
      </c>
      <c r="C33" s="39">
        <v>3255</v>
      </c>
      <c r="D33" s="39">
        <v>4037</v>
      </c>
      <c r="E33" s="44">
        <v>1500</v>
      </c>
      <c r="F33" s="7">
        <v>0.52</v>
      </c>
      <c r="G33" s="16">
        <v>0.3</v>
      </c>
      <c r="H33" s="16">
        <v>0.22</v>
      </c>
      <c r="I33" s="16">
        <v>0.1</v>
      </c>
      <c r="J33" s="61">
        <f t="shared" si="18"/>
        <v>2.6913333333333331</v>
      </c>
      <c r="K33" s="62">
        <f t="shared" si="19"/>
        <v>8.9711111111111119</v>
      </c>
      <c r="M33" s="19">
        <v>94.5</v>
      </c>
      <c r="N33" s="19">
        <v>1.5</v>
      </c>
      <c r="O33"/>
      <c r="P33" s="13">
        <v>1</v>
      </c>
      <c r="Q33" s="44">
        <v>1800</v>
      </c>
      <c r="R33" s="8">
        <f t="shared" si="20"/>
        <v>0.36</v>
      </c>
      <c r="S33" s="44">
        <v>0</v>
      </c>
      <c r="T33" s="29">
        <f t="shared" si="21"/>
        <v>0</v>
      </c>
      <c r="U33" s="44">
        <v>3200</v>
      </c>
      <c r="V33" s="8">
        <f t="shared" si="22"/>
        <v>0.64</v>
      </c>
      <c r="W33" s="66">
        <v>0.22</v>
      </c>
      <c r="X33" s="24">
        <f t="shared" si="23"/>
        <v>0.69504778453518679</v>
      </c>
    </row>
    <row r="34" spans="1:24" x14ac:dyDescent="0.3">
      <c r="F34"/>
      <c r="J34"/>
      <c r="M34" s="20"/>
      <c r="N34" s="20"/>
      <c r="O34"/>
    </row>
    <row r="35" spans="1:24" x14ac:dyDescent="0.3">
      <c r="A35" s="1" t="s">
        <v>371</v>
      </c>
      <c r="C35" s="67">
        <f>IFERROR(IF(COUNTA(C26:C33)=0,"",MIN(C26:C33)),"")</f>
        <v>3255</v>
      </c>
      <c r="D35" s="67">
        <f>IFERROR(IF(COUNTA(D26:D33)=0,"",MIN(D26:D33)),"")</f>
        <v>4037</v>
      </c>
      <c r="E35" s="64">
        <f>IFERROR(MIN(E26:E33),"")</f>
        <v>1500</v>
      </c>
      <c r="F35" s="441">
        <f>MIN(F26:F33)</f>
        <v>0.3</v>
      </c>
      <c r="G35" s="29">
        <f>IFERROR(MIN(G26:G33),"")</f>
        <v>0.27</v>
      </c>
      <c r="H35" s="29">
        <f>IFERROR(MIN(H26:H33),"")</f>
        <v>0.16</v>
      </c>
      <c r="I35" s="29">
        <f>IFERROR(IF(COUNTA(I26:I33)=0,"",MIN(I26:I33)),"")</f>
        <v>0.05</v>
      </c>
      <c r="J35" s="62">
        <f>IFERROR(IF(COUNTA(D26:D33)=0,"",_xlfn.AGGREGATE(5,6,J26:J33)),"")</f>
        <v>1.165909090909091</v>
      </c>
      <c r="K35" s="62">
        <f>IFERROR(IF(COUNTA(G26:G33)=0,"",_xlfn.AGGREGATE(5,6,K26:K33)),"")</f>
        <v>2.7114164904862581</v>
      </c>
      <c r="M35" s="24">
        <f>IFERROR(IF(COUNTA(M26:M33)=0,"",MIN(M26:M33)),"")</f>
        <v>46</v>
      </c>
      <c r="N35" s="24">
        <f>IFERROR(IF(COUNTA(N26:N33)=0,"",MIN(N26:N33)),"")</f>
        <v>1.5</v>
      </c>
      <c r="O35"/>
      <c r="P35" s="24">
        <f>IFERROR(MIN(P26:P33),"")</f>
        <v>0.42</v>
      </c>
      <c r="Q35" s="64">
        <f>MIN(Q26:Q33)</f>
        <v>1200</v>
      </c>
      <c r="R35" s="29">
        <f>IFERROR(MIN(R26:R33),"")</f>
        <v>0.11070694290684802</v>
      </c>
      <c r="S35" s="64">
        <f>MIN(S26:S33)</f>
        <v>0</v>
      </c>
      <c r="T35" s="29">
        <f>IFERROR(MIN(T26:T33),"")</f>
        <v>0</v>
      </c>
      <c r="U35" s="64">
        <f>MIN(U26:U33)</f>
        <v>3200</v>
      </c>
      <c r="V35" s="29">
        <f>IFERROR(MIN(V26:V33),"")</f>
        <v>0.28125</v>
      </c>
      <c r="W35" s="29">
        <f>IFERROR(MIN(W26:W33),"")</f>
        <v>0.15</v>
      </c>
      <c r="X35" s="24">
        <f>IFERROR(MIN(X26:X33),"")</f>
        <v>0.3571725375389555</v>
      </c>
    </row>
    <row r="36" spans="1:24" x14ac:dyDescent="0.3">
      <c r="A36" s="1" t="s">
        <v>372</v>
      </c>
      <c r="C36" s="67">
        <f>IFERROR(IF(COUNTA(C26:C33)=0,"",QUARTILE(C26:C33,1)),"")</f>
        <v>6616.5</v>
      </c>
      <c r="D36" s="67">
        <f>IFERROR(IF(COUNTA(D26:D33)=0,"",QUARTILE(D26:D33,1)),"")</f>
        <v>8570.25</v>
      </c>
      <c r="E36" s="64">
        <f>IFERROR(QUARTILE(E26:E33,1),"")</f>
        <v>3770</v>
      </c>
      <c r="F36" s="441">
        <f>PERCENTILE(F26:F33,0.25)</f>
        <v>0.48749999999999999</v>
      </c>
      <c r="G36" s="29">
        <f>IFERROR(QUARTILE(G26:G33,1),"")</f>
        <v>0.33</v>
      </c>
      <c r="H36" s="29">
        <f>IFERROR(QUARTILE(H26:H33,1),"")</f>
        <v>0.1875</v>
      </c>
      <c r="I36" s="29">
        <f>IFERROR(IF(COUNTA(I26:I33)=0,"",QUARTILE(I26:I33,1)),"")</f>
        <v>0.08</v>
      </c>
      <c r="J36" s="62">
        <f>QUARTILE(J26:J33,1)</f>
        <v>2.1668511184075521</v>
      </c>
      <c r="K36" s="62">
        <f>QUARTILE(K26:K33,1)</f>
        <v>5.3984874750917538</v>
      </c>
      <c r="M36" s="24">
        <f t="shared" ref="M36:N36" si="24">QUARTILE(M26:M33,1)</f>
        <v>75.05</v>
      </c>
      <c r="N36" s="24">
        <f t="shared" si="24"/>
        <v>2.2249999999999996</v>
      </c>
      <c r="O36"/>
      <c r="P36" s="24">
        <f>IFERROR(QUARTILE(P26:P33,1),"")</f>
        <v>0.5</v>
      </c>
      <c r="Q36" s="64">
        <f>PERCENTILE(Q26:Q33,0.25)</f>
        <v>3075</v>
      </c>
      <c r="R36" s="29">
        <f>IFERROR(QUARTILE(R26:R33,1),"")</f>
        <v>0.17638190301659715</v>
      </c>
      <c r="S36" s="64">
        <f>PERCENTILE(S26:S33,0.25)</f>
        <v>0</v>
      </c>
      <c r="T36" s="29">
        <f>IFERROR(QUARTILE(T26:T33,1),"")</f>
        <v>0</v>
      </c>
      <c r="U36" s="64">
        <f>PERCENTILE(U26:U33,0.25)</f>
        <v>7737.5</v>
      </c>
      <c r="V36" s="29">
        <f>IFERROR(QUARTILE(V26:V33,1),"")</f>
        <v>0.58851648351648356</v>
      </c>
      <c r="W36" s="29">
        <f>IFERROR(QUARTILE(W26:W33,1),"")</f>
        <v>0.215</v>
      </c>
      <c r="X36" s="24">
        <f>IFERROR(QUARTILE(X26:X33,1),"")</f>
        <v>0.43726310530718471</v>
      </c>
    </row>
    <row r="37" spans="1:24" x14ac:dyDescent="0.3">
      <c r="A37" s="1" t="s">
        <v>373</v>
      </c>
      <c r="C37" s="67">
        <f>IFERROR(IF(COUNTA(C26:C33)=0,"",MEDIAN(C26:C33)),"")</f>
        <v>12554</v>
      </c>
      <c r="D37" s="67">
        <f>IFERROR(IF(COUNTA(D26:D33)=0,"",MEDIAN(D26:D33)),"")</f>
        <v>15910</v>
      </c>
      <c r="E37" s="64">
        <f>IFERROR(MEDIAN(E26:E33),"")</f>
        <v>4950</v>
      </c>
      <c r="F37" s="441">
        <f>MEDIAN(F26:F33)</f>
        <v>0.53500000000000003</v>
      </c>
      <c r="G37" s="29">
        <f>IFERROR(MEDIAN(G26:G33),"")</f>
        <v>0.39</v>
      </c>
      <c r="H37" s="29">
        <f>IFERROR(MEDIAN(H26:H33),"")</f>
        <v>0.20500000000000002</v>
      </c>
      <c r="I37" s="29">
        <f>IFERROR(IF(COUNTA(I26:I33)=0,"",MEDIAN(I26:I33)),"")</f>
        <v>0.10500000000000001</v>
      </c>
      <c r="J37" s="62">
        <f>QUARTILE(J26:J33,2)</f>
        <v>2.5481641691641688</v>
      </c>
      <c r="K37" s="62">
        <f>QUARTILE(K26:K33,2)</f>
        <v>7.0960613878221102</v>
      </c>
      <c r="M37" s="24">
        <f t="shared" ref="M37:N37" si="25">QUARTILE(M26:M33,2)</f>
        <v>122.5</v>
      </c>
      <c r="N37" s="24">
        <f t="shared" si="25"/>
        <v>3</v>
      </c>
      <c r="O37"/>
      <c r="P37" s="24">
        <f>IFERROR(MEDIAN(P26:P33),"")</f>
        <v>0.81</v>
      </c>
      <c r="Q37" s="64">
        <f>MEDIAN(Q26:Q33)</f>
        <v>4775</v>
      </c>
      <c r="R37" s="29">
        <f>IFERROR(MEDIAN(R26:R33),"")</f>
        <v>0.26965034965034967</v>
      </c>
      <c r="S37" s="64">
        <f>MEDIAN(S26:S33)</f>
        <v>0</v>
      </c>
      <c r="T37" s="29">
        <f>IFERROR(MEDIAN(T26:T33),"")</f>
        <v>0</v>
      </c>
      <c r="U37" s="64">
        <f>MEDIAN(U26:U33)</f>
        <v>9950</v>
      </c>
      <c r="V37" s="29">
        <f>IFERROR(MEDIAN(V26:V33),"")</f>
        <v>0.73034965034965027</v>
      </c>
      <c r="W37" s="29">
        <f>IFERROR(MEDIAN(W26:W33),"")</f>
        <v>0.25</v>
      </c>
      <c r="X37" s="24">
        <f>IFERROR(MEDIAN(X26:X33),"")</f>
        <v>0.48368267682318961</v>
      </c>
    </row>
    <row r="38" spans="1:24" x14ac:dyDescent="0.3">
      <c r="A38" s="1" t="s">
        <v>374</v>
      </c>
      <c r="C38" s="67">
        <f>IFERROR(IF(COUNTA(C26:C33)=0,"",AVERAGE(C26:C33)),"")</f>
        <v>24330.375</v>
      </c>
      <c r="D38" s="67">
        <f>IFERROR(IF(COUNTA(D26:D33)=0,"",AVERAGE(D26:D33)),"")</f>
        <v>31138.5</v>
      </c>
      <c r="E38" s="64">
        <f>IFERROR(AVERAGE(E26:E33),"")</f>
        <v>7581.25</v>
      </c>
      <c r="F38" s="441">
        <f>AVERAGE(F26:F33)</f>
        <v>0.54375000000000007</v>
      </c>
      <c r="G38" s="29">
        <f>IFERROR(AVERAGE(G26:G33),"")</f>
        <v>0.375</v>
      </c>
      <c r="H38" s="29">
        <f>IFERROR(AVERAGE(H26:H33),"")</f>
        <v>0.20374999999999999</v>
      </c>
      <c r="I38" s="29">
        <f>IFERROR(IF(COUNTA(I26:I33)=0,"",AVERAGE(I26:I33)),"")</f>
        <v>0.11249999999999999</v>
      </c>
      <c r="J38" s="62">
        <f>IFERROR(IF(COUNTA(D26:D33)=0,"",_xlfn.AGGREGATE(1,6,J26:J33)),"")</f>
        <v>3.6322293148729301</v>
      </c>
      <c r="K38" s="62">
        <f>IFERROR(IF(COUNTA(G26:G33)=0,"",_xlfn.AGGREGATE(1,6,K26:K33)),"")</f>
        <v>10.724705083057314</v>
      </c>
      <c r="M38" s="24">
        <f t="shared" ref="M38:N38" si="26">IFERROR(IF(COUNTA(I26:I33)=0,"",_xlfn.AGGREGATE(1,6,M26:M33)),"")</f>
        <v>176.02500000000001</v>
      </c>
      <c r="N38" s="24">
        <f t="shared" si="26"/>
        <v>4.2874999999999996</v>
      </c>
      <c r="O38"/>
      <c r="P38" s="24">
        <f>IFERROR(AVERAGE(P26:P33),"")</f>
        <v>0.84375000000000011</v>
      </c>
      <c r="Q38" s="64">
        <f>AVERAGE(Q26:Q33)</f>
        <v>7643.75</v>
      </c>
      <c r="R38" s="29">
        <f>IFERROR(AVERAGE(R26:R33),"")</f>
        <v>0.32594218521787882</v>
      </c>
      <c r="S38" s="64">
        <f>AVERAGE(S26:S33)</f>
        <v>0</v>
      </c>
      <c r="T38" s="29">
        <f>IFERROR(AVERAGE(T26:T33),"")</f>
        <v>0</v>
      </c>
      <c r="U38" s="64">
        <f>AVERAGE(U26:U33)</f>
        <v>23240</v>
      </c>
      <c r="V38" s="29">
        <f>IFERROR(AVERAGE(V26:V33),"")</f>
        <v>0.67405781478212112</v>
      </c>
      <c r="W38" s="29">
        <f>IFERROR(AVERAGE(W26:W33),"")</f>
        <v>0.24124999999999999</v>
      </c>
      <c r="X38" s="24">
        <f>IFERROR(AVERAGE(X26:X33),"")</f>
        <v>0.54848410470725417</v>
      </c>
    </row>
    <row r="39" spans="1:24" x14ac:dyDescent="0.3">
      <c r="A39" s="1" t="s">
        <v>375</v>
      </c>
      <c r="C39" s="67">
        <f>IFERROR(IF(COUNTA(C26:C33)=0,"",QUARTILE(C26:C33,3)),"")</f>
        <v>18267</v>
      </c>
      <c r="D39" s="67">
        <f>IFERROR(IF(COUNTA(D26:D33)=0,"",QUARTILE(D26:D33,3)),"")</f>
        <v>27149</v>
      </c>
      <c r="E39" s="64">
        <f>IFERROR(QUARTILE(E26:E33,3),"")</f>
        <v>9147.5</v>
      </c>
      <c r="F39" s="441">
        <f>PERCENTILE(F26:F33,0.75)</f>
        <v>0.5625</v>
      </c>
      <c r="G39" s="29">
        <f>IFERROR(QUARTILE(G26:G33,3),"")</f>
        <v>0.4325</v>
      </c>
      <c r="H39" s="29">
        <f>IFERROR(QUARTILE(H26:H33,3),"")</f>
        <v>0.22</v>
      </c>
      <c r="I39" s="29">
        <f>IFERROR(IF(COUNTA(I26:I33)=0,"",QUARTILE(I26:I33,3)),"")</f>
        <v>0.125</v>
      </c>
      <c r="J39" s="62">
        <f>QUARTILE(J26:J33,3)</f>
        <v>4.2659288779889639</v>
      </c>
      <c r="K39" s="62">
        <f>QUARTILE(K26:K33,3)</f>
        <v>10.623634891950907</v>
      </c>
      <c r="M39" s="24">
        <f t="shared" ref="M39:N39" si="27">QUARTILE(M26:M33,3)</f>
        <v>225.25</v>
      </c>
      <c r="N39" s="24">
        <f t="shared" si="27"/>
        <v>4.375</v>
      </c>
      <c r="O39"/>
      <c r="P39" s="24">
        <f>IFERROR(QUARTILE(P26:P33,3),"")</f>
        <v>1.0249999999999999</v>
      </c>
      <c r="Q39" s="64">
        <f>PERCENTILE(Q26:Q33,0.75)</f>
        <v>9575</v>
      </c>
      <c r="R39" s="29">
        <f>IFERROR(QUARTILE(R26:R33,3),"")</f>
        <v>0.41148351648351644</v>
      </c>
      <c r="S39" s="64">
        <f>PERCENTILE(S26:S33,0.75)</f>
        <v>0</v>
      </c>
      <c r="T39" s="29">
        <f>IFERROR(QUARTILE(T26:T33,3),"")</f>
        <v>0</v>
      </c>
      <c r="U39" s="64">
        <f>PERCENTILE(U26:U33,0.75)</f>
        <v>18357.5</v>
      </c>
      <c r="V39" s="29">
        <f>IFERROR(QUARTILE(V26:V33,3),"")</f>
        <v>0.82361809698340283</v>
      </c>
      <c r="W39" s="29">
        <f>IFERROR(QUARTILE(W26:W33,3),"")</f>
        <v>0.28000000000000003</v>
      </c>
      <c r="X39" s="24">
        <f>IFERROR(QUARTILE(X26:X33,3),"")</f>
        <v>0.70773558475522647</v>
      </c>
    </row>
    <row r="40" spans="1:24" ht="15" thickBot="1" x14ac:dyDescent="0.35">
      <c r="A40" s="169" t="s">
        <v>376</v>
      </c>
      <c r="B40" s="164"/>
      <c r="C40" s="227">
        <f>IFERROR(IF(COUNTA(C26:C33)=0,"",MAX(C26:C33)),"")</f>
        <v>116130</v>
      </c>
      <c r="D40" s="227">
        <f>IFERROR(IF(COUNTA(D26:D33)=0,"",MAX(D26:D33)),"")</f>
        <v>137956</v>
      </c>
      <c r="E40" s="226">
        <f>IFERROR(MAX(E26:E33),"")</f>
        <v>23300</v>
      </c>
      <c r="F40" s="442">
        <f>MAX(F26:F33)</f>
        <v>0.88</v>
      </c>
      <c r="G40" s="230">
        <f>IFERROR(MAX(G26:G33),"")</f>
        <v>0.44</v>
      </c>
      <c r="H40" s="230">
        <f>IFERROR(MAX(H26:H33),"")</f>
        <v>0.25</v>
      </c>
      <c r="I40" s="230">
        <f>IFERROR(IF(COUNTA(I26:I33)=0,"",MAX(I26:I33)),"")</f>
        <v>0.22</v>
      </c>
      <c r="J40" s="225">
        <f>IFERROR(IF(COUNTA(D26:D33)=0,"",_xlfn.AGGREGATE(4,6,J26:J33)),"")</f>
        <v>9.0935000000000006</v>
      </c>
      <c r="K40" s="225">
        <f>IFERROR(IF(COUNTA(G26:G33)=0,"",_xlfn.AGGREGATE(4,6,K26:K33)),"")</f>
        <v>33.67962962962963</v>
      </c>
      <c r="L40" s="18"/>
      <c r="M40" s="26">
        <f>IFERROR(IF(COUNTA(M26:M33)=0,"",MAX(M26:M33)),"")</f>
        <v>478</v>
      </c>
      <c r="N40" s="26">
        <f>IFERROR(IF(COUNTA(N26:N33)=0,"",MAX(N26:N33)),"")</f>
        <v>12</v>
      </c>
      <c r="O40" s="164"/>
      <c r="P40" s="26">
        <f>IFERROR(MAX(P26:P33),"")</f>
        <v>1.61</v>
      </c>
      <c r="Q40" s="226">
        <f>MAX(Q26:Q33)</f>
        <v>23000</v>
      </c>
      <c r="R40" s="230">
        <f>IFERROR(MAX(R26:R33),"")</f>
        <v>0.71875</v>
      </c>
      <c r="S40" s="226">
        <f>MAX(S26:S33)</f>
        <v>0</v>
      </c>
      <c r="T40" s="230">
        <f>IFERROR(MAX(T26:T33),"")</f>
        <v>0</v>
      </c>
      <c r="U40" s="226">
        <f>MAX(U26:U33)</f>
        <v>112460</v>
      </c>
      <c r="V40" s="230">
        <f>IFERROR(MAX(V26:V33),"")</f>
        <v>0.88929305709315198</v>
      </c>
      <c r="W40" s="230">
        <f>IFERROR(MAX(W26:W33),"")</f>
        <v>0.3</v>
      </c>
      <c r="X40" s="26">
        <f>IFERROR(MAX(X26:X33),"")</f>
        <v>0.78804213135068146</v>
      </c>
    </row>
    <row r="41" spans="1:24" ht="15" thickTop="1" x14ac:dyDescent="0.3">
      <c r="F41"/>
      <c r="J41"/>
      <c r="O41"/>
    </row>
    <row r="42" spans="1:24" x14ac:dyDescent="0.3">
      <c r="A42" s="92" t="s">
        <v>887</v>
      </c>
      <c r="B42" s="92"/>
      <c r="C42" s="102"/>
      <c r="D42" s="102"/>
      <c r="E42" s="102"/>
      <c r="F42" s="102"/>
      <c r="G42" s="102"/>
      <c r="H42" s="102"/>
      <c r="I42" s="102"/>
      <c r="J42" s="102"/>
      <c r="K42" s="102"/>
      <c r="L42" s="102"/>
      <c r="M42" s="102"/>
      <c r="N42" s="102"/>
      <c r="O42" s="102"/>
      <c r="P42" s="102"/>
      <c r="Q42" s="102"/>
      <c r="R42" s="102"/>
      <c r="S42" s="102"/>
      <c r="T42" s="102"/>
      <c r="U42" s="102"/>
      <c r="V42" s="102"/>
      <c r="W42" s="102"/>
      <c r="X42" s="102"/>
    </row>
    <row r="43" spans="1:24" x14ac:dyDescent="0.3">
      <c r="A43" t="s">
        <v>393</v>
      </c>
      <c r="B43" t="s">
        <v>394</v>
      </c>
      <c r="C43" s="39">
        <v>76000</v>
      </c>
      <c r="D43" s="39">
        <v>121230</v>
      </c>
      <c r="E43" s="44">
        <v>45430</v>
      </c>
      <c r="F43" s="7">
        <v>0.434</v>
      </c>
      <c r="G43" s="16">
        <v>0.39729999999999999</v>
      </c>
      <c r="H43" s="16">
        <v>0.155</v>
      </c>
      <c r="I43" s="16">
        <v>7.0000000000000007E-2</v>
      </c>
      <c r="J43" s="61">
        <f t="shared" ref="J43:J50" si="28">IF(OR(D43="",D43=0,E43="",E43=0),"NM",D43/E43)</f>
        <v>2.6685009905348887</v>
      </c>
      <c r="K43" s="62">
        <f t="shared" ref="K43:K50" si="29">IF(OR(G43&lt;=0,E43=0,D43=0),"NM",IF(D43/(E43*G43)&gt;100,"NM",D43/(E43*G43)))</f>
        <v>6.7165894551595491</v>
      </c>
      <c r="M43" s="19">
        <v>329</v>
      </c>
      <c r="N43" s="19">
        <v>11</v>
      </c>
      <c r="O43"/>
      <c r="P43" s="19">
        <v>0.28000000000000003</v>
      </c>
      <c r="Q43" s="44">
        <v>119500</v>
      </c>
      <c r="R43" s="8">
        <f t="shared" ref="R43:R50" si="30">IFERROR(Q43/(Q43+S43+U43),"")</f>
        <v>0.82698961937716264</v>
      </c>
      <c r="S43" s="44">
        <v>0</v>
      </c>
      <c r="T43" s="29">
        <f t="shared" ref="T43:T50" si="31">IFERROR(S43/(Q43+S43+U43),"")</f>
        <v>0</v>
      </c>
      <c r="U43" s="44">
        <v>25000</v>
      </c>
      <c r="V43" s="8">
        <f t="shared" ref="V43:V50" si="32">IFERROR(U43/(Q43+S43+U43),"")</f>
        <v>0.17301038062283736</v>
      </c>
      <c r="W43" s="66">
        <v>0.28000000000000003</v>
      </c>
      <c r="X43" s="24">
        <f t="shared" ref="X43:X50" si="33">IFERROR(P43/(1+(Q43/U43)*(1-W43)+S43/U43),"")</f>
        <v>6.3040345821325658E-2</v>
      </c>
    </row>
    <row r="44" spans="1:24" x14ac:dyDescent="0.3">
      <c r="A44" t="s">
        <v>395</v>
      </c>
      <c r="B44" t="s">
        <v>396</v>
      </c>
      <c r="C44" s="39">
        <v>224000</v>
      </c>
      <c r="D44" s="39">
        <v>186000</v>
      </c>
      <c r="E44" s="44">
        <v>144000</v>
      </c>
      <c r="F44" s="7">
        <v>0.28399999999999997</v>
      </c>
      <c r="G44" s="16">
        <v>0.35</v>
      </c>
      <c r="H44" s="16">
        <v>0.16</v>
      </c>
      <c r="I44" s="16">
        <v>0.03</v>
      </c>
      <c r="J44" s="61">
        <f t="shared" si="28"/>
        <v>1.2916666666666667</v>
      </c>
      <c r="K44" s="62">
        <f t="shared" si="29"/>
        <v>3.6904761904761907</v>
      </c>
      <c r="M44" s="19">
        <v>1009</v>
      </c>
      <c r="N44" s="19">
        <v>6.7</v>
      </c>
      <c r="O44"/>
      <c r="P44" s="19">
        <v>0.23</v>
      </c>
      <c r="Q44" s="44">
        <v>0</v>
      </c>
      <c r="R44" s="8">
        <f t="shared" si="30"/>
        <v>0</v>
      </c>
      <c r="S44" s="44">
        <v>0</v>
      </c>
      <c r="T44" s="29">
        <f t="shared" si="31"/>
        <v>0</v>
      </c>
      <c r="U44" s="44">
        <v>82000</v>
      </c>
      <c r="V44" s="8">
        <f t="shared" si="32"/>
        <v>1</v>
      </c>
      <c r="W44" s="66">
        <v>0.3</v>
      </c>
      <c r="X44" s="24">
        <f t="shared" si="33"/>
        <v>0.23</v>
      </c>
    </row>
    <row r="45" spans="1:24" x14ac:dyDescent="0.3">
      <c r="A45" t="s">
        <v>397</v>
      </c>
      <c r="B45" t="s">
        <v>398</v>
      </c>
      <c r="C45" s="39">
        <v>202950</v>
      </c>
      <c r="D45" s="39">
        <v>321560</v>
      </c>
      <c r="E45" s="44">
        <v>90530</v>
      </c>
      <c r="F45" s="7">
        <v>0.63800000000000001</v>
      </c>
      <c r="G45" s="16">
        <v>0.38</v>
      </c>
      <c r="H45" s="16">
        <v>0.13</v>
      </c>
      <c r="I45" s="16">
        <v>0.1</v>
      </c>
      <c r="J45" s="61">
        <f t="shared" si="28"/>
        <v>3.551971722081078</v>
      </c>
      <c r="K45" s="62">
        <f t="shared" si="29"/>
        <v>9.3472940054765203</v>
      </c>
      <c r="M45" s="19">
        <v>142.4</v>
      </c>
      <c r="N45" s="19">
        <v>48</v>
      </c>
      <c r="O45"/>
      <c r="P45" s="19">
        <v>0.32</v>
      </c>
      <c r="Q45" s="44">
        <v>86000</v>
      </c>
      <c r="R45" s="8">
        <f t="shared" si="30"/>
        <v>0.29122925838130714</v>
      </c>
      <c r="S45" s="44">
        <v>0</v>
      </c>
      <c r="T45" s="29">
        <f t="shared" si="31"/>
        <v>0</v>
      </c>
      <c r="U45" s="44">
        <v>209300</v>
      </c>
      <c r="V45" s="8">
        <f t="shared" si="32"/>
        <v>0.7087707416186928</v>
      </c>
      <c r="W45" s="66">
        <v>0.21</v>
      </c>
      <c r="X45" s="24">
        <f t="shared" si="33"/>
        <v>0.24158130139950945</v>
      </c>
    </row>
    <row r="46" spans="1:24" x14ac:dyDescent="0.3">
      <c r="A46" t="s">
        <v>399</v>
      </c>
      <c r="B46" t="s">
        <v>400</v>
      </c>
      <c r="C46" s="39">
        <v>80000</v>
      </c>
      <c r="D46" s="39">
        <v>110000</v>
      </c>
      <c r="E46" s="44">
        <v>43000</v>
      </c>
      <c r="F46" s="7">
        <v>0.55000000000000004</v>
      </c>
      <c r="G46" s="16">
        <v>0.28499999999999998</v>
      </c>
      <c r="H46" s="16">
        <v>0.22</v>
      </c>
      <c r="I46" s="16">
        <v>0.02</v>
      </c>
      <c r="J46" s="61">
        <f t="shared" si="28"/>
        <v>2.558139534883721</v>
      </c>
      <c r="K46" s="62">
        <f t="shared" si="29"/>
        <v>8.975928192574461</v>
      </c>
      <c r="M46" s="19">
        <v>335</v>
      </c>
      <c r="N46" s="19">
        <v>5.5</v>
      </c>
      <c r="O46"/>
      <c r="P46" s="19">
        <v>0.5</v>
      </c>
      <c r="Q46" s="44">
        <v>97310</v>
      </c>
      <c r="R46" s="8">
        <f t="shared" si="30"/>
        <v>0.80950004159387734</v>
      </c>
      <c r="S46" s="44">
        <v>0</v>
      </c>
      <c r="T46" s="29">
        <f t="shared" si="31"/>
        <v>0</v>
      </c>
      <c r="U46" s="44">
        <v>22900</v>
      </c>
      <c r="V46" s="8">
        <f t="shared" si="32"/>
        <v>0.19049995840612263</v>
      </c>
      <c r="W46" s="66">
        <v>0.25</v>
      </c>
      <c r="X46" s="24">
        <f t="shared" si="33"/>
        <v>0.1194169947592105</v>
      </c>
    </row>
    <row r="47" spans="1:24" x14ac:dyDescent="0.3">
      <c r="A47" t="s">
        <v>401</v>
      </c>
      <c r="B47" t="s">
        <v>402</v>
      </c>
      <c r="C47" s="39">
        <v>27710</v>
      </c>
      <c r="D47" s="39">
        <v>124500</v>
      </c>
      <c r="E47" s="44">
        <v>54636</v>
      </c>
      <c r="F47" s="7">
        <v>0.55300000000000005</v>
      </c>
      <c r="G47" s="16">
        <v>0.4</v>
      </c>
      <c r="H47" s="16">
        <v>0.18</v>
      </c>
      <c r="I47" s="16">
        <v>-0.01</v>
      </c>
      <c r="J47" s="61">
        <f t="shared" si="28"/>
        <v>2.2787173292334724</v>
      </c>
      <c r="K47" s="62">
        <f t="shared" si="29"/>
        <v>5.6967933230836811</v>
      </c>
      <c r="M47" s="19">
        <v>32</v>
      </c>
      <c r="N47" s="19">
        <v>114</v>
      </c>
      <c r="O47"/>
      <c r="P47" s="19">
        <v>1.05</v>
      </c>
      <c r="Q47" s="44">
        <v>97310</v>
      </c>
      <c r="R47" s="8">
        <f t="shared" si="30"/>
        <v>0.80950004159387734</v>
      </c>
      <c r="S47" s="44">
        <v>0</v>
      </c>
      <c r="T47" s="29">
        <f t="shared" si="31"/>
        <v>0</v>
      </c>
      <c r="U47" s="44">
        <v>22900</v>
      </c>
      <c r="V47" s="8">
        <f t="shared" si="32"/>
        <v>0.19049995840612263</v>
      </c>
      <c r="W47" s="66">
        <v>0.21</v>
      </c>
      <c r="X47" s="24">
        <f t="shared" si="33"/>
        <v>0.24099247405910706</v>
      </c>
    </row>
    <row r="48" spans="1:24" x14ac:dyDescent="0.3">
      <c r="A48" t="s">
        <v>403</v>
      </c>
      <c r="B48" t="s">
        <v>404</v>
      </c>
      <c r="C48" s="39">
        <v>28000</v>
      </c>
      <c r="D48" s="39">
        <v>63000</v>
      </c>
      <c r="E48" s="44">
        <v>49000</v>
      </c>
      <c r="F48" s="7">
        <v>0.44</v>
      </c>
      <c r="G48" s="16">
        <v>0.32</v>
      </c>
      <c r="H48" s="16">
        <v>0.15</v>
      </c>
      <c r="I48" s="16">
        <v>0.05</v>
      </c>
      <c r="J48" s="61">
        <f t="shared" si="28"/>
        <v>1.2857142857142858</v>
      </c>
      <c r="K48" s="62">
        <f t="shared" si="29"/>
        <v>4.0178571428571432</v>
      </c>
      <c r="M48" s="19">
        <v>44</v>
      </c>
      <c r="N48" s="19">
        <v>41</v>
      </c>
      <c r="O48"/>
      <c r="P48" s="19">
        <v>0.35</v>
      </c>
      <c r="Q48" s="44">
        <v>35000</v>
      </c>
      <c r="R48" s="8">
        <f t="shared" si="30"/>
        <v>0.55555555555555558</v>
      </c>
      <c r="S48" s="44">
        <v>0</v>
      </c>
      <c r="T48" s="29">
        <f t="shared" si="31"/>
        <v>0</v>
      </c>
      <c r="U48" s="44">
        <v>28000</v>
      </c>
      <c r="V48" s="8">
        <f t="shared" si="32"/>
        <v>0.44444444444444442</v>
      </c>
      <c r="W48" s="66">
        <v>0.3</v>
      </c>
      <c r="X48" s="24">
        <f t="shared" si="33"/>
        <v>0.18666666666666665</v>
      </c>
    </row>
    <row r="49" spans="1:24" x14ac:dyDescent="0.3">
      <c r="A49" t="s">
        <v>405</v>
      </c>
      <c r="B49" t="s">
        <v>406</v>
      </c>
      <c r="C49" s="39">
        <v>34460</v>
      </c>
      <c r="D49" s="39">
        <v>98000</v>
      </c>
      <c r="E49" s="44">
        <v>45500</v>
      </c>
      <c r="F49" s="7">
        <v>0.33</v>
      </c>
      <c r="G49" s="16">
        <v>0.35</v>
      </c>
      <c r="H49" s="16">
        <v>0.12</v>
      </c>
      <c r="I49" s="16">
        <v>0.03</v>
      </c>
      <c r="J49" s="61">
        <f t="shared" si="28"/>
        <v>2.1538461538461537</v>
      </c>
      <c r="K49" s="62">
        <f t="shared" si="29"/>
        <v>6.1538461538461542</v>
      </c>
      <c r="M49" s="19">
        <v>270</v>
      </c>
      <c r="N49" s="19">
        <v>5</v>
      </c>
      <c r="O49"/>
      <c r="P49" s="19">
        <v>0.34</v>
      </c>
      <c r="Q49" s="44">
        <v>63250</v>
      </c>
      <c r="R49" s="8">
        <f t="shared" si="30"/>
        <v>0.64732371302834923</v>
      </c>
      <c r="S49" s="44">
        <v>0</v>
      </c>
      <c r="T49" s="29">
        <f t="shared" si="31"/>
        <v>0</v>
      </c>
      <c r="U49" s="44">
        <v>34460</v>
      </c>
      <c r="V49" s="8">
        <f t="shared" si="32"/>
        <v>0.35267628697165082</v>
      </c>
      <c r="W49" s="66">
        <v>0.19</v>
      </c>
      <c r="X49" s="24">
        <f t="shared" si="33"/>
        <v>0.13672608454648888</v>
      </c>
    </row>
    <row r="50" spans="1:24" x14ac:dyDescent="0.3">
      <c r="A50" t="s">
        <v>407</v>
      </c>
      <c r="B50" t="s">
        <v>408</v>
      </c>
      <c r="C50" s="39">
        <v>56000</v>
      </c>
      <c r="D50" s="39">
        <v>74000</v>
      </c>
      <c r="E50" s="44">
        <v>42000</v>
      </c>
      <c r="F50" s="7">
        <v>0.45</v>
      </c>
      <c r="G50" s="16">
        <v>0.33</v>
      </c>
      <c r="H50" s="16">
        <v>0.18</v>
      </c>
      <c r="I50" s="16">
        <v>0.04</v>
      </c>
      <c r="J50" s="61">
        <f t="shared" si="28"/>
        <v>1.7619047619047619</v>
      </c>
      <c r="K50" s="62">
        <f t="shared" si="29"/>
        <v>5.3391053391053394</v>
      </c>
      <c r="M50" s="19">
        <v>55</v>
      </c>
      <c r="N50" s="19">
        <v>54</v>
      </c>
      <c r="O50"/>
      <c r="P50" s="19">
        <v>0.4</v>
      </c>
      <c r="Q50" s="44">
        <v>18000</v>
      </c>
      <c r="R50" s="8">
        <f t="shared" si="30"/>
        <v>0.24324324324324326</v>
      </c>
      <c r="S50" s="44">
        <v>0</v>
      </c>
      <c r="T50" s="29">
        <f t="shared" si="31"/>
        <v>0</v>
      </c>
      <c r="U50" s="44">
        <v>56000</v>
      </c>
      <c r="V50" s="8">
        <f t="shared" si="32"/>
        <v>0.7567567567567568</v>
      </c>
      <c r="W50" s="66">
        <v>0.3</v>
      </c>
      <c r="X50" s="24">
        <f t="shared" si="33"/>
        <v>0.32653061224489793</v>
      </c>
    </row>
    <row r="51" spans="1:24" x14ac:dyDescent="0.3">
      <c r="F51"/>
      <c r="J51"/>
      <c r="M51" s="20"/>
      <c r="N51" s="20"/>
      <c r="O51"/>
    </row>
    <row r="52" spans="1:24" x14ac:dyDescent="0.3">
      <c r="A52" s="1" t="s">
        <v>371</v>
      </c>
      <c r="C52" s="67">
        <f>IFERROR(MIN(C43:C50),"")</f>
        <v>27710</v>
      </c>
      <c r="D52" s="67">
        <f>IFERROR(MIN(D43:D50),"")</f>
        <v>63000</v>
      </c>
      <c r="E52" s="64">
        <f>IFERROR(MIN(E43:E50),"")</f>
        <v>42000</v>
      </c>
      <c r="F52" s="29">
        <f>MIN(F43:F50)</f>
        <v>0.28399999999999997</v>
      </c>
      <c r="G52" s="29">
        <f>IFERROR(MIN(G43:G50),"")</f>
        <v>0.28499999999999998</v>
      </c>
      <c r="H52" s="29">
        <f>IFERROR(MIN(H43:H50),"")</f>
        <v>0.12</v>
      </c>
      <c r="I52" s="29">
        <f>IFERROR(MIN(I43:I50),"")</f>
        <v>-0.01</v>
      </c>
      <c r="J52" s="62">
        <f>IFERROR(_xlfn.AGGREGATE(5,5,J43:J50),"NM")</f>
        <v>1.2857142857142858</v>
      </c>
      <c r="K52" s="62">
        <f>IFERROR(MIN(K43:K50),"")</f>
        <v>3.6904761904761907</v>
      </c>
      <c r="M52" s="24">
        <f>IFERROR(IF(COUNTA(M43:M50)=0,"",MIN(M43:M50)),"")</f>
        <v>32</v>
      </c>
      <c r="N52" s="24">
        <f>IFERROR(IF(COUNTA(N43:N50)=0,"",MIN(N43:N50)),"")</f>
        <v>5</v>
      </c>
      <c r="O52"/>
      <c r="P52" s="24">
        <f>IFERROR(MIN(P43:P50),"")</f>
        <v>0.23</v>
      </c>
      <c r="Q52" s="64">
        <f>MIN(Q43:Q50)</f>
        <v>0</v>
      </c>
      <c r="R52" s="29">
        <f>IFERROR(MIN(R43:R50),"")</f>
        <v>0</v>
      </c>
      <c r="S52" s="64">
        <f>MIN(S43:S50)</f>
        <v>0</v>
      </c>
      <c r="T52" s="29">
        <f>IFERROR(MIN(T43:T50),"")</f>
        <v>0</v>
      </c>
      <c r="U52" s="64">
        <f>MIN(U43:U50)</f>
        <v>22900</v>
      </c>
      <c r="V52" s="29">
        <f>IFERROR(MIN(V43:V50),"")</f>
        <v>0.17301038062283736</v>
      </c>
      <c r="W52" s="29">
        <f>IFERROR(MIN(W43:W50),"")</f>
        <v>0.19</v>
      </c>
      <c r="X52" s="24">
        <f>IFERROR(MIN(X43:X50),"")</f>
        <v>6.3040345821325658E-2</v>
      </c>
    </row>
    <row r="53" spans="1:24" x14ac:dyDescent="0.3">
      <c r="A53" s="1" t="s">
        <v>372</v>
      </c>
      <c r="C53" s="67">
        <f>IFERROR(QUARTILE(C43:C50,1),"")</f>
        <v>32845</v>
      </c>
      <c r="D53" s="67">
        <f>IFERROR(QUARTILE(D43:D50,1),"")</f>
        <v>92000</v>
      </c>
      <c r="E53" s="64">
        <f>IFERROR(QUARTILE(E43:E50,1),"")</f>
        <v>44822.5</v>
      </c>
      <c r="F53" s="29">
        <f>PERCENTILE(F43:F50,0.25)</f>
        <v>0.40800000000000003</v>
      </c>
      <c r="G53" s="29">
        <f>IFERROR(QUARTILE(G43:G50,1),"")</f>
        <v>0.32750000000000001</v>
      </c>
      <c r="H53" s="29">
        <f>IFERROR(QUARTILE(H43:H50,1),"")</f>
        <v>0.14499999999999999</v>
      </c>
      <c r="I53" s="29">
        <f>IFERROR(QUARTILE(I43:I50,1),"")</f>
        <v>2.75E-2</v>
      </c>
      <c r="J53" s="62">
        <f>IFERROR(PERCENTILE(J43:J50,0.25),"NM")</f>
        <v>1.6443452380952381</v>
      </c>
      <c r="K53" s="62">
        <f>IFERROR(QUARTILE(K43:K50,1),"")</f>
        <v>5.0087932900432905</v>
      </c>
      <c r="M53" s="24">
        <f>IFERROR(QUARTILE(M43:M50,1),"")</f>
        <v>52.25</v>
      </c>
      <c r="N53" s="24">
        <f>IFERROR(QUARTILE(N43:N50,1),"")</f>
        <v>6.4</v>
      </c>
      <c r="P53" s="24">
        <f>IFERROR(QUARTILE(P43:P50,1),"")</f>
        <v>0.31</v>
      </c>
      <c r="Q53" s="64">
        <f>PERCENTILE(Q43:Q50,0.25)</f>
        <v>30750</v>
      </c>
      <c r="R53" s="29">
        <f>IFERROR(QUARTILE(R43:R50,1),"")</f>
        <v>0.2792327545967912</v>
      </c>
      <c r="S53" s="64">
        <f>PERCENTILE(S43:S50,0.25)</f>
        <v>0</v>
      </c>
      <c r="T53" s="29">
        <f>IFERROR(QUARTILE(T43:T50,1),"")</f>
        <v>0</v>
      </c>
      <c r="U53" s="64">
        <f>PERCENTILE(U43:U50,0.25)</f>
        <v>24475</v>
      </c>
      <c r="V53" s="29">
        <f>IFERROR(QUARTILE(V43:V50,1),"")</f>
        <v>0.19049995840612263</v>
      </c>
      <c r="W53" s="29">
        <f>IFERROR(QUARTILE(W43:W50,1),"")</f>
        <v>0.21</v>
      </c>
      <c r="X53" s="24">
        <f>IFERROR(QUARTILE(X43:X50,1),"")</f>
        <v>0.13239881209966928</v>
      </c>
    </row>
    <row r="54" spans="1:24" x14ac:dyDescent="0.3">
      <c r="A54" s="1" t="s">
        <v>373</v>
      </c>
      <c r="C54" s="67">
        <f>IFERROR(MEDIAN(C43:C50),"")</f>
        <v>66000</v>
      </c>
      <c r="D54" s="67">
        <f>IFERROR(MEDIAN(D43:D50),"")</f>
        <v>115615</v>
      </c>
      <c r="E54" s="64">
        <f>IFERROR(MEDIAN(E43:E50),"")</f>
        <v>47250</v>
      </c>
      <c r="F54" s="29">
        <f>MEDIAN(F43:F50)</f>
        <v>0.44500000000000001</v>
      </c>
      <c r="G54" s="29">
        <f>IFERROR(MEDIAN(G43:G50),"")</f>
        <v>0.35</v>
      </c>
      <c r="H54" s="29">
        <f>IFERROR(MEDIAN(H43:H50),"")</f>
        <v>0.1575</v>
      </c>
      <c r="I54" s="29">
        <f>IFERROR(MEDIAN(I43:I50),"")</f>
        <v>3.5000000000000003E-2</v>
      </c>
      <c r="J54" s="62">
        <f>IFERROR(PERCENTILE(J43:J50,0.5),"NM")</f>
        <v>2.2162817415398131</v>
      </c>
      <c r="K54" s="62">
        <f>IFERROR(MEDIAN(K43:K50),"")</f>
        <v>5.9253197384649177</v>
      </c>
      <c r="M54" s="24">
        <f>IFERROR(MEDIAN(M43:M50),"")</f>
        <v>206.2</v>
      </c>
      <c r="N54" s="24">
        <f>IFERROR(MEDIAN(N43:N50),"")</f>
        <v>26</v>
      </c>
      <c r="P54" s="24">
        <f>IFERROR(MEDIAN(P43:P50),"")</f>
        <v>0.34499999999999997</v>
      </c>
      <c r="Q54" s="64">
        <f>MEDIAN(Q43:Q50)</f>
        <v>74625</v>
      </c>
      <c r="R54" s="29">
        <f>IFERROR(MEDIAN(R43:R50),"")</f>
        <v>0.60143963429195235</v>
      </c>
      <c r="S54" s="64">
        <f>MEDIAN(S43:S50)</f>
        <v>0</v>
      </c>
      <c r="T54" s="29">
        <f>IFERROR(MEDIAN(T43:T50),"")</f>
        <v>0</v>
      </c>
      <c r="U54" s="64">
        <f>MEDIAN(U43:U50)</f>
        <v>31230</v>
      </c>
      <c r="V54" s="29">
        <f>IFERROR(MEDIAN(V43:V50),"")</f>
        <v>0.39856036570804765</v>
      </c>
      <c r="W54" s="29">
        <f>IFERROR(MEDIAN(W43:W50),"")</f>
        <v>0.26500000000000001</v>
      </c>
      <c r="X54" s="24">
        <f>IFERROR(MEDIAN(X43:X50),"")</f>
        <v>0.20833333333333331</v>
      </c>
    </row>
    <row r="55" spans="1:24" x14ac:dyDescent="0.3">
      <c r="A55" s="1" t="s">
        <v>374</v>
      </c>
      <c r="C55" s="67">
        <f>IFERROR(AVERAGE(C43:C50),"")</f>
        <v>91140</v>
      </c>
      <c r="D55" s="67">
        <f>IFERROR(AVERAGE(D43:D50),"")</f>
        <v>137286.25</v>
      </c>
      <c r="E55" s="64">
        <f>IFERROR(AVERAGE(E43:E50),"")</f>
        <v>64262</v>
      </c>
      <c r="F55" s="29">
        <f>AVERAGE(F43:F50)</f>
        <v>0.45987500000000003</v>
      </c>
      <c r="G55" s="29">
        <f>IFERROR(AVERAGE(G43:G50),"")</f>
        <v>0.3515375</v>
      </c>
      <c r="H55" s="29">
        <f>IFERROR(AVERAGE(H43:H50),"")</f>
        <v>0.16187499999999999</v>
      </c>
      <c r="I55" s="29">
        <f>IFERROR(AVERAGE(I43:I50),"")</f>
        <v>4.1250000000000002E-2</v>
      </c>
      <c r="J55" s="62">
        <f>IFERROR(_xlfn.AGGREGATE(1,5,J43:J50),"NM")</f>
        <v>2.1938076806081286</v>
      </c>
      <c r="K55" s="62">
        <f>IFERROR(AVERAGE(K43:K50),"")</f>
        <v>6.2422362253223795</v>
      </c>
      <c r="M55" s="24">
        <f>IFERROR(AVERAGE(M43:M50),"")</f>
        <v>277.05</v>
      </c>
      <c r="N55" s="24">
        <f>IFERROR(AVERAGE(N43:N50),"")</f>
        <v>35.65</v>
      </c>
      <c r="P55" s="24">
        <f>IFERROR(AVERAGE(P43:P50),"")</f>
        <v>0.43374999999999997</v>
      </c>
      <c r="Q55" s="64">
        <f>AVERAGE(Q43:Q50)</f>
        <v>64546.25</v>
      </c>
      <c r="R55" s="29">
        <f>IFERROR(AVERAGE(R43:R50),"")</f>
        <v>0.5229176840966715</v>
      </c>
      <c r="S55" s="64">
        <f>AVERAGE(S43:S50)</f>
        <v>0</v>
      </c>
      <c r="T55" s="29">
        <f>IFERROR(AVERAGE(T43:T50),"")</f>
        <v>0</v>
      </c>
      <c r="U55" s="64">
        <f>AVERAGE(U43:U50)</f>
        <v>60070</v>
      </c>
      <c r="V55" s="29">
        <f>IFERROR(AVERAGE(V43:V50),"")</f>
        <v>0.47708231590332839</v>
      </c>
      <c r="W55" s="29">
        <f>IFERROR(AVERAGE(W43:W50),"")</f>
        <v>0.255</v>
      </c>
      <c r="X55" s="24">
        <f>IFERROR(AVERAGE(X43:X50),"")</f>
        <v>0.19311930993715076</v>
      </c>
    </row>
    <row r="56" spans="1:24" x14ac:dyDescent="0.3">
      <c r="A56" s="1" t="s">
        <v>375</v>
      </c>
      <c r="C56" s="67">
        <f>IFERROR(QUARTILE(C43:C50,3),"")</f>
        <v>110737.5</v>
      </c>
      <c r="D56" s="67">
        <f>IFERROR(QUARTILE(D43:D50,3),"")</f>
        <v>139875</v>
      </c>
      <c r="E56" s="64">
        <f>IFERROR(QUARTILE(E43:E50,3),"")</f>
        <v>63609.5</v>
      </c>
      <c r="F56" s="29">
        <f>PERCENTILE(F43:F50,0.75)</f>
        <v>0.55075000000000007</v>
      </c>
      <c r="G56" s="29">
        <f>IFERROR(QUARTILE(G43:G50,3),"")</f>
        <v>0.38432500000000003</v>
      </c>
      <c r="H56" s="29">
        <f>IFERROR(QUARTILE(H43:H50,3),"")</f>
        <v>0.18</v>
      </c>
      <c r="I56" s="29">
        <f>IFERROR(QUARTILE(I43:I50,3),"")</f>
        <v>5.5000000000000007E-2</v>
      </c>
      <c r="J56" s="62">
        <f>IFERROR(PERCENTILE(J43:J50,0.75),"NM")</f>
        <v>2.5857298987965129</v>
      </c>
      <c r="K56" s="62">
        <f>IFERROR(QUARTILE(K43:K50,3),"")</f>
        <v>7.2814241395132768</v>
      </c>
      <c r="M56" s="24">
        <f>IFERROR(QUARTILE(M43:M50,3),"")</f>
        <v>330.5</v>
      </c>
      <c r="N56" s="24">
        <f>IFERROR(QUARTILE(N43:N50,3),"")</f>
        <v>49.5</v>
      </c>
      <c r="P56" s="24">
        <f>IFERROR(QUARTILE(P43:P50,3),"")</f>
        <v>0.42500000000000004</v>
      </c>
      <c r="Q56" s="64">
        <f>PERCENTILE(Q43:Q50,0.75)</f>
        <v>97310</v>
      </c>
      <c r="R56" s="29">
        <f>IFERROR(QUARTILE(R43:R50,3),"")</f>
        <v>0.80950004159387734</v>
      </c>
      <c r="S56" s="64">
        <f>PERCENTILE(S43:S50,0.75)</f>
        <v>0</v>
      </c>
      <c r="T56" s="29">
        <f>IFERROR(QUARTILE(T43:T50,3),"")</f>
        <v>0</v>
      </c>
      <c r="U56" s="64">
        <f>PERCENTILE(U43:U50,0.75)</f>
        <v>62500</v>
      </c>
      <c r="V56" s="29">
        <f>IFERROR(QUARTILE(V43:V50,3),"")</f>
        <v>0.7207672454032088</v>
      </c>
      <c r="W56" s="29">
        <f>IFERROR(QUARTILE(W43:W50,3),"")</f>
        <v>0.3</v>
      </c>
      <c r="X56" s="24">
        <f>IFERROR(QUARTILE(X43:X50,3),"")</f>
        <v>0.24113968089420768</v>
      </c>
    </row>
    <row r="57" spans="1:24" ht="15" thickBot="1" x14ac:dyDescent="0.35">
      <c r="A57" s="169" t="s">
        <v>376</v>
      </c>
      <c r="B57" s="164"/>
      <c r="C57" s="227">
        <f>IFERROR(MAX(C43:C50),"")</f>
        <v>224000</v>
      </c>
      <c r="D57" s="227">
        <f>IFERROR(MAX(D43:D50),"")</f>
        <v>321560</v>
      </c>
      <c r="E57" s="226">
        <f>IFERROR(MAX(E43:E50),"")</f>
        <v>144000</v>
      </c>
      <c r="F57" s="230">
        <f>MAX(F43:F50)</f>
        <v>0.63800000000000001</v>
      </c>
      <c r="G57" s="230">
        <f>IFERROR(MAX(G43:G50),"")</f>
        <v>0.4</v>
      </c>
      <c r="H57" s="230">
        <f>IFERROR(MAX(H43:H50),"")</f>
        <v>0.22</v>
      </c>
      <c r="I57" s="230">
        <f>IFERROR(MAX(I43:I50),"")</f>
        <v>0.1</v>
      </c>
      <c r="J57" s="225">
        <f>IFERROR(_xlfn.AGGREGATE(4,5,J43:J50),"NM")</f>
        <v>3.551971722081078</v>
      </c>
      <c r="K57" s="225">
        <f>IFERROR(MAX(K43:K50),"")</f>
        <v>9.3472940054765203</v>
      </c>
      <c r="L57" s="18"/>
      <c r="M57" s="26">
        <f>IFERROR(IF(COUNTA(M43:M50)=0,"",MAX(M43:M50)),"")</f>
        <v>1009</v>
      </c>
      <c r="N57" s="26">
        <f>IFERROR(IF(COUNTA(N43:N50)=0,"",MAX(N43:N50)),"")</f>
        <v>114</v>
      </c>
      <c r="O57" s="18"/>
      <c r="P57" s="26">
        <f>IFERROR(MAX(P43:P50),"")</f>
        <v>1.05</v>
      </c>
      <c r="Q57" s="226">
        <f>MAX(Q43:Q50)</f>
        <v>119500</v>
      </c>
      <c r="R57" s="230">
        <f>IFERROR(MAX(R43:R50),"")</f>
        <v>0.82698961937716264</v>
      </c>
      <c r="S57" s="226">
        <f>MAX(S43:S50)</f>
        <v>0</v>
      </c>
      <c r="T57" s="230">
        <f>IFERROR(MAX(T43:T50),"")</f>
        <v>0</v>
      </c>
      <c r="U57" s="226">
        <f>MAX(U43:U50)</f>
        <v>209300</v>
      </c>
      <c r="V57" s="230">
        <f>IFERROR(MAX(V43:V50),"")</f>
        <v>1</v>
      </c>
      <c r="W57" s="230">
        <f>IFERROR(MAX(W43:W50),"")</f>
        <v>0.3</v>
      </c>
      <c r="X57" s="26">
        <f>IFERROR(MAX(X43:X50),"")</f>
        <v>0.32653061224489793</v>
      </c>
    </row>
    <row r="58" spans="1:24" ht="15" thickTop="1" x14ac:dyDescent="0.3"/>
  </sheetData>
  <sheetProtection algorithmName="SHA-512" hashValue="t/2q7Ln4sqqtZJY6fQ8JZZl+C15aPUL7+0bJ8kSQtzWTYnAjdWG+xMqth8n5PIapj/E0PdEmpk1iRyEfRTQO4A==" saltValue="y/SodAoNau5/y/DXL/4FRg==" spinCount="100000" sheet="1" objects="1" scenarios="1"/>
  <pageMargins left="0.7" right="0.7" top="0.75" bottom="0.75" header="0.3" footer="0.3"/>
  <ignoredErrors>
    <ignoredError sqref="F52:F57 Q35:Q40 S35:S40 U35:U40 U52:U57 S52:S57 Q52:Q57 J52:J57 J18 R35:R40 R52:R57 T52:T57 J21 J23 T35:T40 F35:F40" formula="1"/>
  </ignoredErrors>
  <drawing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4B37D1-6AC0-4E7C-A9E5-3D8DBF073F3E}">
  <sheetPr>
    <tabColor theme="3" tint="0.79998168889431442"/>
  </sheetPr>
  <dimension ref="A1:X39"/>
  <sheetViews>
    <sheetView showGridLines="0" zoomScale="85" zoomScaleNormal="85" workbookViewId="0">
      <pane ySplit="3" topLeftCell="A4" activePane="bottomLeft" state="frozen"/>
      <selection activeCell="X57" sqref="X57"/>
      <selection pane="bottomLeft" activeCell="M31" sqref="M31"/>
    </sheetView>
  </sheetViews>
  <sheetFormatPr defaultRowHeight="14.4" x14ac:dyDescent="0.3"/>
  <cols>
    <col min="1" max="1" width="24.44140625" customWidth="1"/>
    <col min="2" max="2" width="16.6640625" customWidth="1"/>
    <col min="3" max="24" width="11.109375" customWidth="1"/>
  </cols>
  <sheetData>
    <row r="1" spans="1:24" ht="30" customHeight="1" x14ac:dyDescent="0.3">
      <c r="A1" s="105" t="s">
        <v>911</v>
      </c>
    </row>
    <row r="2" spans="1:24" x14ac:dyDescent="0.3">
      <c r="A2" s="81" t="s">
        <v>630</v>
      </c>
      <c r="B2" s="65"/>
      <c r="C2" s="65"/>
      <c r="D2" s="65"/>
      <c r="E2" s="65"/>
      <c r="F2" s="65"/>
      <c r="G2" s="65"/>
      <c r="H2" s="65"/>
    </row>
    <row r="3" spans="1:24" x14ac:dyDescent="0.3">
      <c r="A3" s="81" t="s">
        <v>631</v>
      </c>
      <c r="B3" s="65"/>
      <c r="C3" s="65"/>
      <c r="D3" s="65"/>
      <c r="E3" s="65"/>
      <c r="F3" s="65"/>
      <c r="G3" s="65"/>
      <c r="H3" s="65"/>
    </row>
    <row r="4" spans="1:24" x14ac:dyDescent="0.3">
      <c r="A4" s="81"/>
      <c r="B4" s="65"/>
      <c r="C4" s="65"/>
      <c r="D4" s="65"/>
      <c r="E4" s="65"/>
      <c r="F4" s="65"/>
      <c r="G4" s="65"/>
      <c r="H4" s="65"/>
    </row>
    <row r="5" spans="1:24" x14ac:dyDescent="0.3">
      <c r="A5" s="228" t="s">
        <v>747</v>
      </c>
      <c r="B5" s="228" t="s">
        <v>330</v>
      </c>
      <c r="C5" s="229" t="s">
        <v>320</v>
      </c>
      <c r="D5" s="229" t="s">
        <v>465</v>
      </c>
      <c r="E5" s="229" t="s">
        <v>342</v>
      </c>
      <c r="F5" s="229" t="s">
        <v>343</v>
      </c>
      <c r="G5" s="229" t="s">
        <v>69</v>
      </c>
      <c r="H5" s="229" t="s">
        <v>344</v>
      </c>
      <c r="I5" s="229" t="s">
        <v>345</v>
      </c>
      <c r="J5" s="229" t="s">
        <v>346</v>
      </c>
      <c r="K5" s="229" t="s">
        <v>346</v>
      </c>
      <c r="L5" s="229"/>
      <c r="M5" s="229" t="s">
        <v>409</v>
      </c>
      <c r="N5" s="229" t="s">
        <v>471</v>
      </c>
      <c r="O5" s="229"/>
      <c r="P5" s="229" t="s">
        <v>331</v>
      </c>
      <c r="Q5" s="229" t="s">
        <v>332</v>
      </c>
      <c r="R5" s="229" t="s">
        <v>333</v>
      </c>
      <c r="S5" s="229" t="s">
        <v>334</v>
      </c>
      <c r="T5" s="229" t="s">
        <v>335</v>
      </c>
      <c r="U5" s="229" t="s">
        <v>336</v>
      </c>
      <c r="V5" s="229" t="s">
        <v>337</v>
      </c>
      <c r="W5" s="229" t="s">
        <v>338</v>
      </c>
      <c r="X5" s="229" t="s">
        <v>339</v>
      </c>
    </row>
    <row r="6" spans="1:24" x14ac:dyDescent="0.3">
      <c r="A6" s="228"/>
      <c r="B6" s="228"/>
      <c r="C6" s="229" t="s">
        <v>348</v>
      </c>
      <c r="D6" s="229" t="s">
        <v>350</v>
      </c>
      <c r="E6" s="229" t="s">
        <v>0</v>
      </c>
      <c r="F6" s="229" t="s">
        <v>354</v>
      </c>
      <c r="G6" s="229" t="s">
        <v>354</v>
      </c>
      <c r="H6" s="229" t="s">
        <v>67</v>
      </c>
      <c r="I6" s="229" t="s">
        <v>321</v>
      </c>
      <c r="J6" s="229" t="s">
        <v>67</v>
      </c>
      <c r="K6" s="229" t="s">
        <v>69</v>
      </c>
      <c r="L6" s="229"/>
      <c r="M6" s="229" t="s">
        <v>348</v>
      </c>
      <c r="N6" s="229" t="s">
        <v>472</v>
      </c>
      <c r="O6" s="229"/>
      <c r="P6" s="229" t="s">
        <v>347</v>
      </c>
      <c r="Q6" s="229" t="s">
        <v>348</v>
      </c>
      <c r="R6" s="229"/>
      <c r="S6" s="229" t="s">
        <v>349</v>
      </c>
      <c r="T6" s="229"/>
      <c r="U6" s="229" t="s">
        <v>350</v>
      </c>
      <c r="V6" s="229"/>
      <c r="W6" s="229" t="s">
        <v>351</v>
      </c>
      <c r="X6" s="229" t="s">
        <v>347</v>
      </c>
    </row>
    <row r="7" spans="1:24" ht="3" customHeight="1" x14ac:dyDescent="0.3"/>
    <row r="8" spans="1:24" x14ac:dyDescent="0.3">
      <c r="A8" s="92" t="s">
        <v>888</v>
      </c>
      <c r="B8" s="92"/>
      <c r="C8" s="92"/>
      <c r="D8" s="92"/>
      <c r="E8" s="92"/>
      <c r="F8" s="92"/>
      <c r="G8" s="92"/>
      <c r="H8" s="92"/>
      <c r="I8" s="92"/>
      <c r="J8" s="92"/>
      <c r="K8" s="92"/>
      <c r="L8" s="92"/>
      <c r="M8" s="92"/>
      <c r="N8" s="92"/>
      <c r="O8" s="92"/>
      <c r="P8" s="92"/>
      <c r="Q8" s="92"/>
      <c r="R8" s="92"/>
      <c r="S8" s="92"/>
      <c r="T8" s="92"/>
      <c r="U8" s="92"/>
      <c r="V8" s="92"/>
      <c r="W8" s="92"/>
      <c r="X8" s="92"/>
    </row>
    <row r="9" spans="1:24" x14ac:dyDescent="0.3">
      <c r="A9" t="s">
        <v>410</v>
      </c>
      <c r="B9" t="s">
        <v>411</v>
      </c>
      <c r="C9" s="39">
        <v>74950</v>
      </c>
      <c r="D9" s="39">
        <v>73700</v>
      </c>
      <c r="E9" s="39">
        <v>602</v>
      </c>
      <c r="F9" s="7">
        <v>0.317</v>
      </c>
      <c r="G9" s="16">
        <v>-0.15</v>
      </c>
      <c r="H9" s="16">
        <v>0.25600000000000001</v>
      </c>
      <c r="I9" s="16">
        <v>0.38</v>
      </c>
      <c r="J9" s="61">
        <f t="shared" ref="J9:J17" si="0">IFERROR(D9/E9,"NM")</f>
        <v>122.42524916943522</v>
      </c>
      <c r="K9" s="62" t="str">
        <f t="shared" ref="K9:K17" si="1">IF(OR(G9&lt;=0,E9=0,D9=0),"NM",IF(D9/(E9*G9)&gt;100,"NM",D9/(E9*G9)))</f>
        <v>NM</v>
      </c>
      <c r="L9" s="15"/>
      <c r="M9" s="39">
        <v>2200</v>
      </c>
      <c r="N9" s="62">
        <f t="shared" ref="N9:N17" si="2">IFERROR(M9/E9,"NM")</f>
        <v>3.654485049833887</v>
      </c>
      <c r="P9" s="19">
        <v>2.31</v>
      </c>
      <c r="Q9" s="39">
        <v>139</v>
      </c>
      <c r="R9" s="29">
        <f t="shared" ref="R9:R17" si="3">IFERROR(Q9/(Q9+S9+U9),"")</f>
        <v>2.1766704771449602E-3</v>
      </c>
      <c r="S9" s="39">
        <v>0</v>
      </c>
      <c r="T9" s="29">
        <f t="shared" ref="T9:T17" si="4">IFERROR(S9/(Q9+S9+U9),"")</f>
        <v>0</v>
      </c>
      <c r="U9" s="39">
        <v>63720</v>
      </c>
      <c r="V9" s="29">
        <f t="shared" ref="V9:V17" si="5">IFERROR(U9/(Q9+S9+U9),"")</f>
        <v>0.99782332952285502</v>
      </c>
      <c r="W9" s="66">
        <v>0.21</v>
      </c>
      <c r="X9" s="24">
        <f t="shared" ref="X9:X17" si="6">IFERROR(P9/(1+(Q9/U9)*(1-W9)+S9/U9),"")</f>
        <v>2.3060259775174012</v>
      </c>
    </row>
    <row r="10" spans="1:24" x14ac:dyDescent="0.3">
      <c r="A10" t="s">
        <v>412</v>
      </c>
      <c r="B10" t="s">
        <v>413</v>
      </c>
      <c r="C10" s="39">
        <v>9410</v>
      </c>
      <c r="D10" s="39">
        <v>9650</v>
      </c>
      <c r="E10" s="39">
        <v>821</v>
      </c>
      <c r="F10" s="16">
        <v>0.25</v>
      </c>
      <c r="G10" s="16">
        <v>0.1</v>
      </c>
      <c r="H10" s="16">
        <v>3.4000000000000002E-2</v>
      </c>
      <c r="I10" s="16">
        <v>0.3</v>
      </c>
      <c r="J10" s="61">
        <f t="shared" si="0"/>
        <v>11.753958587088915</v>
      </c>
      <c r="K10" s="62" t="str">
        <f t="shared" si="1"/>
        <v>NM</v>
      </c>
      <c r="L10" s="15"/>
      <c r="M10" s="39">
        <v>1100</v>
      </c>
      <c r="N10" s="62">
        <f t="shared" si="2"/>
        <v>1.3398294762484775</v>
      </c>
      <c r="P10" s="19">
        <v>1.4</v>
      </c>
      <c r="Q10" s="39">
        <v>826</v>
      </c>
      <c r="R10" s="29">
        <f t="shared" si="3"/>
        <v>8.0695584212583035E-2</v>
      </c>
      <c r="S10" s="39">
        <v>0</v>
      </c>
      <c r="T10" s="29">
        <f t="shared" si="4"/>
        <v>0</v>
      </c>
      <c r="U10" s="39">
        <v>9410</v>
      </c>
      <c r="V10" s="29">
        <f t="shared" si="5"/>
        <v>0.91930441578741695</v>
      </c>
      <c r="W10" s="66">
        <v>0.21</v>
      </c>
      <c r="X10" s="24">
        <f t="shared" si="6"/>
        <v>1.3092121869826105</v>
      </c>
    </row>
    <row r="11" spans="1:24" x14ac:dyDescent="0.3">
      <c r="A11" t="s">
        <v>414</v>
      </c>
      <c r="B11" t="s">
        <v>415</v>
      </c>
      <c r="C11" s="39">
        <v>10970</v>
      </c>
      <c r="D11" s="39">
        <v>10860</v>
      </c>
      <c r="E11" s="39">
        <v>1350</v>
      </c>
      <c r="F11" s="16">
        <v>0.28000000000000003</v>
      </c>
      <c r="G11" s="16">
        <v>0.08</v>
      </c>
      <c r="H11" s="16">
        <v>0.04</v>
      </c>
      <c r="I11" s="16">
        <v>0.19</v>
      </c>
      <c r="J11" s="61">
        <f t="shared" si="0"/>
        <v>8.0444444444444443</v>
      </c>
      <c r="K11" s="62" t="str">
        <f t="shared" si="1"/>
        <v>NM</v>
      </c>
      <c r="L11" s="15"/>
      <c r="M11" s="39">
        <v>2000</v>
      </c>
      <c r="N11" s="62">
        <f t="shared" si="2"/>
        <v>1.4814814814814814</v>
      </c>
      <c r="P11" s="19">
        <v>1.1499999999999999</v>
      </c>
      <c r="Q11" s="39">
        <v>280</v>
      </c>
      <c r="R11" s="29">
        <f t="shared" si="3"/>
        <v>2.4888888888888887E-2</v>
      </c>
      <c r="S11" s="39">
        <v>0</v>
      </c>
      <c r="T11" s="29">
        <f t="shared" si="4"/>
        <v>0</v>
      </c>
      <c r="U11" s="39">
        <v>10970</v>
      </c>
      <c r="V11" s="29">
        <f t="shared" si="5"/>
        <v>0.97511111111111115</v>
      </c>
      <c r="W11" s="66">
        <v>0.21</v>
      </c>
      <c r="X11" s="24">
        <f t="shared" si="6"/>
        <v>1.1272696404317679</v>
      </c>
    </row>
    <row r="12" spans="1:24" x14ac:dyDescent="0.3">
      <c r="A12" t="s">
        <v>416</v>
      </c>
      <c r="B12" t="s">
        <v>417</v>
      </c>
      <c r="C12" s="39">
        <v>4000</v>
      </c>
      <c r="D12" s="39">
        <v>4080</v>
      </c>
      <c r="E12" s="39">
        <v>469</v>
      </c>
      <c r="F12" s="16">
        <v>9.1999999999999998E-2</v>
      </c>
      <c r="G12" s="16">
        <v>-0.1</v>
      </c>
      <c r="H12" s="16">
        <v>6.2E-2</v>
      </c>
      <c r="I12" s="16">
        <v>0.41</v>
      </c>
      <c r="J12" s="61">
        <f t="shared" si="0"/>
        <v>8.6993603411513867</v>
      </c>
      <c r="K12" s="62" t="str">
        <f t="shared" si="1"/>
        <v>NM</v>
      </c>
      <c r="L12" s="15"/>
      <c r="M12" s="39">
        <v>498</v>
      </c>
      <c r="N12" s="62">
        <f t="shared" si="2"/>
        <v>1.0618336886993602</v>
      </c>
      <c r="P12" s="19">
        <v>2.5</v>
      </c>
      <c r="Q12" s="39">
        <v>80</v>
      </c>
      <c r="R12" s="29">
        <f t="shared" si="3"/>
        <v>1.9607843137254902E-2</v>
      </c>
      <c r="S12" s="39">
        <v>0</v>
      </c>
      <c r="T12" s="29">
        <f t="shared" si="4"/>
        <v>0</v>
      </c>
      <c r="U12" s="39">
        <v>4000</v>
      </c>
      <c r="V12" s="29">
        <f t="shared" si="5"/>
        <v>0.98039215686274506</v>
      </c>
      <c r="W12" s="66">
        <v>0.21</v>
      </c>
      <c r="X12" s="24">
        <f t="shared" si="6"/>
        <v>2.4611143925969676</v>
      </c>
    </row>
    <row r="13" spans="1:24" x14ac:dyDescent="0.3">
      <c r="A13" t="s">
        <v>418</v>
      </c>
      <c r="B13" t="s">
        <v>419</v>
      </c>
      <c r="C13" s="39">
        <v>5390</v>
      </c>
      <c r="D13" s="39">
        <v>5230</v>
      </c>
      <c r="E13" s="39">
        <v>1250</v>
      </c>
      <c r="F13" s="16">
        <v>0.28699999999999998</v>
      </c>
      <c r="G13" s="16">
        <v>0.18</v>
      </c>
      <c r="H13" s="16">
        <v>0.16300000000000001</v>
      </c>
      <c r="I13" s="16">
        <v>0.3</v>
      </c>
      <c r="J13" s="61">
        <f t="shared" si="0"/>
        <v>4.1840000000000002</v>
      </c>
      <c r="K13" s="62">
        <f t="shared" si="1"/>
        <v>23.244444444444444</v>
      </c>
      <c r="L13" s="15"/>
      <c r="M13" s="39">
        <v>1500</v>
      </c>
      <c r="N13" s="62">
        <f t="shared" si="2"/>
        <v>1.2</v>
      </c>
      <c r="P13" s="19">
        <v>0.12</v>
      </c>
      <c r="Q13" s="39">
        <v>273</v>
      </c>
      <c r="R13" s="29">
        <f t="shared" si="3"/>
        <v>4.8207663782447466E-2</v>
      </c>
      <c r="S13" s="39">
        <v>0</v>
      </c>
      <c r="T13" s="29">
        <f t="shared" si="4"/>
        <v>0</v>
      </c>
      <c r="U13" s="39">
        <v>5390</v>
      </c>
      <c r="V13" s="29">
        <f t="shared" si="5"/>
        <v>0.95179233621755255</v>
      </c>
      <c r="W13" s="66">
        <v>0.26500000000000001</v>
      </c>
      <c r="X13" s="24">
        <f t="shared" si="6"/>
        <v>0.11569306279854508</v>
      </c>
    </row>
    <row r="14" spans="1:24" x14ac:dyDescent="0.3">
      <c r="A14" t="s">
        <v>420</v>
      </c>
      <c r="B14" t="s">
        <v>421</v>
      </c>
      <c r="C14" s="39">
        <v>3950</v>
      </c>
      <c r="D14" s="39">
        <v>4150</v>
      </c>
      <c r="E14" s="39">
        <v>420</v>
      </c>
      <c r="F14" s="16">
        <v>0.19</v>
      </c>
      <c r="G14" s="16">
        <v>-0.1</v>
      </c>
      <c r="H14" s="16">
        <v>0.05</v>
      </c>
      <c r="I14" s="16">
        <v>0.48</v>
      </c>
      <c r="J14" s="61">
        <f t="shared" si="0"/>
        <v>9.8809523809523814</v>
      </c>
      <c r="K14" s="62" t="str">
        <f t="shared" si="1"/>
        <v>NM</v>
      </c>
      <c r="L14" s="15"/>
      <c r="M14" s="39">
        <v>450</v>
      </c>
      <c r="N14" s="62">
        <f t="shared" si="2"/>
        <v>1.0714285714285714</v>
      </c>
      <c r="P14" s="19">
        <v>2</v>
      </c>
      <c r="Q14" s="39">
        <v>200</v>
      </c>
      <c r="R14" s="29">
        <f t="shared" si="3"/>
        <v>4.8192771084337352E-2</v>
      </c>
      <c r="S14" s="39">
        <v>0</v>
      </c>
      <c r="T14" s="29">
        <f t="shared" si="4"/>
        <v>0</v>
      </c>
      <c r="U14" s="39">
        <v>3950</v>
      </c>
      <c r="V14" s="29">
        <f t="shared" si="5"/>
        <v>0.95180722891566261</v>
      </c>
      <c r="W14" s="66">
        <v>0.21</v>
      </c>
      <c r="X14" s="24">
        <f t="shared" si="6"/>
        <v>1.9230769230769229</v>
      </c>
    </row>
    <row r="15" spans="1:24" x14ac:dyDescent="0.3">
      <c r="A15" t="s">
        <v>422</v>
      </c>
      <c r="B15" t="s">
        <v>423</v>
      </c>
      <c r="C15" s="39">
        <v>2500</v>
      </c>
      <c r="D15" s="39">
        <v>2300</v>
      </c>
      <c r="E15" s="39">
        <v>230</v>
      </c>
      <c r="F15" s="16">
        <v>0.18</v>
      </c>
      <c r="G15" s="16">
        <v>-0.2</v>
      </c>
      <c r="H15" s="16">
        <v>0.5</v>
      </c>
      <c r="I15" s="16">
        <v>0.5</v>
      </c>
      <c r="J15" s="61">
        <f t="shared" si="0"/>
        <v>10</v>
      </c>
      <c r="K15" s="62" t="str">
        <f t="shared" si="1"/>
        <v>NM</v>
      </c>
      <c r="L15" s="15"/>
      <c r="M15" s="39">
        <v>1100</v>
      </c>
      <c r="N15" s="62">
        <f t="shared" si="2"/>
        <v>4.7826086956521738</v>
      </c>
      <c r="P15" s="19">
        <v>1.47</v>
      </c>
      <c r="Q15" s="39">
        <v>336</v>
      </c>
      <c r="R15" s="29">
        <f t="shared" si="3"/>
        <v>6.1617458279845959E-2</v>
      </c>
      <c r="S15" s="39">
        <v>7</v>
      </c>
      <c r="T15" s="29">
        <f t="shared" si="4"/>
        <v>1.2836970474967907E-3</v>
      </c>
      <c r="U15" s="39">
        <v>5110</v>
      </c>
      <c r="V15" s="29">
        <f t="shared" si="5"/>
        <v>0.93709884467265725</v>
      </c>
      <c r="W15" s="66">
        <v>0.21</v>
      </c>
      <c r="X15" s="24">
        <f t="shared" si="6"/>
        <v>1.3955938199032409</v>
      </c>
    </row>
    <row r="16" spans="1:24" x14ac:dyDescent="0.3">
      <c r="A16" t="s">
        <v>424</v>
      </c>
      <c r="B16" t="s">
        <v>425</v>
      </c>
      <c r="C16" s="39">
        <v>6000</v>
      </c>
      <c r="D16" s="39">
        <v>5500</v>
      </c>
      <c r="E16" s="39">
        <v>185</v>
      </c>
      <c r="F16" s="16">
        <v>0.248</v>
      </c>
      <c r="G16" s="16">
        <v>-0.3</v>
      </c>
      <c r="H16" s="16">
        <v>0.25</v>
      </c>
      <c r="I16" s="16">
        <v>0.55000000000000004</v>
      </c>
      <c r="J16" s="61">
        <f t="shared" si="0"/>
        <v>29.72972972972973</v>
      </c>
      <c r="K16" s="62" t="str">
        <f t="shared" si="1"/>
        <v>NM</v>
      </c>
      <c r="L16" s="15"/>
      <c r="M16" s="39">
        <v>1300</v>
      </c>
      <c r="N16" s="62">
        <f t="shared" si="2"/>
        <v>7.0270270270270272</v>
      </c>
      <c r="P16" s="19">
        <v>3</v>
      </c>
      <c r="Q16" s="39">
        <v>53</v>
      </c>
      <c r="R16" s="29">
        <f t="shared" si="3"/>
        <v>8.7559887659012063E-3</v>
      </c>
      <c r="S16" s="39">
        <v>0</v>
      </c>
      <c r="T16" s="29">
        <f t="shared" si="4"/>
        <v>0</v>
      </c>
      <c r="U16" s="39">
        <v>6000</v>
      </c>
      <c r="V16" s="29">
        <f t="shared" si="5"/>
        <v>0.99124401123409878</v>
      </c>
      <c r="W16" s="66">
        <v>0.21</v>
      </c>
      <c r="X16" s="24">
        <f t="shared" si="6"/>
        <v>2.9792100789987206</v>
      </c>
    </row>
    <row r="17" spans="1:24" x14ac:dyDescent="0.3">
      <c r="A17" t="s">
        <v>426</v>
      </c>
      <c r="B17" t="s">
        <v>427</v>
      </c>
      <c r="C17" s="39">
        <v>2800</v>
      </c>
      <c r="D17" s="39">
        <v>2850</v>
      </c>
      <c r="E17" s="39">
        <v>166</v>
      </c>
      <c r="F17" s="16">
        <v>0.17899999999999999</v>
      </c>
      <c r="G17" s="16">
        <v>-0.25</v>
      </c>
      <c r="H17" s="16">
        <v>0.36599999999999999</v>
      </c>
      <c r="I17" s="16">
        <v>0.4</v>
      </c>
      <c r="J17" s="61">
        <f t="shared" si="0"/>
        <v>17.168674698795179</v>
      </c>
      <c r="K17" s="62" t="str">
        <f t="shared" si="1"/>
        <v>NM</v>
      </c>
      <c r="L17" s="15"/>
      <c r="M17" s="39">
        <v>275</v>
      </c>
      <c r="N17" s="62">
        <f t="shared" si="2"/>
        <v>1.6566265060240963</v>
      </c>
      <c r="P17" s="19">
        <v>2.5</v>
      </c>
      <c r="Q17" s="39">
        <v>50</v>
      </c>
      <c r="R17" s="29">
        <f t="shared" si="3"/>
        <v>1.7543859649122806E-2</v>
      </c>
      <c r="S17" s="39">
        <v>0</v>
      </c>
      <c r="T17" s="29">
        <f t="shared" si="4"/>
        <v>0</v>
      </c>
      <c r="U17" s="39">
        <v>2800</v>
      </c>
      <c r="V17" s="29">
        <f t="shared" si="5"/>
        <v>0.98245614035087714</v>
      </c>
      <c r="W17" s="66">
        <v>0.21</v>
      </c>
      <c r="X17" s="24">
        <f t="shared" si="6"/>
        <v>2.4652227504842403</v>
      </c>
    </row>
    <row r="18" spans="1:24" x14ac:dyDescent="0.3">
      <c r="C18" s="38"/>
      <c r="D18" s="38"/>
      <c r="E18" s="38"/>
      <c r="G18" s="21"/>
      <c r="H18" s="21"/>
      <c r="I18" s="21"/>
      <c r="K18" s="54"/>
      <c r="L18" s="15"/>
      <c r="M18" s="38"/>
      <c r="N18" s="54"/>
      <c r="O18" s="15"/>
      <c r="P18" s="20"/>
      <c r="Q18" s="38"/>
      <c r="R18" s="21"/>
      <c r="S18" s="38"/>
      <c r="T18" s="21"/>
      <c r="U18" s="38"/>
      <c r="V18" s="21"/>
      <c r="W18" s="15"/>
      <c r="X18" s="20"/>
    </row>
    <row r="19" spans="1:24" x14ac:dyDescent="0.3">
      <c r="A19" s="1" t="s">
        <v>371</v>
      </c>
      <c r="C19" s="67">
        <f t="shared" ref="C19:J19" si="7">IFERROR(MIN(C9:C17),"")</f>
        <v>2500</v>
      </c>
      <c r="D19" s="67">
        <f t="shared" si="7"/>
        <v>2300</v>
      </c>
      <c r="E19" s="67">
        <f t="shared" si="7"/>
        <v>166</v>
      </c>
      <c r="F19" s="443">
        <f t="shared" si="7"/>
        <v>9.1999999999999998E-2</v>
      </c>
      <c r="G19" s="29">
        <f t="shared" si="7"/>
        <v>-0.3</v>
      </c>
      <c r="H19" s="29">
        <f t="shared" si="7"/>
        <v>3.4000000000000002E-2</v>
      </c>
      <c r="I19" s="29">
        <f t="shared" si="7"/>
        <v>0.19</v>
      </c>
      <c r="J19" s="412">
        <f t="shared" si="7"/>
        <v>4.1840000000000002</v>
      </c>
      <c r="K19" s="62">
        <f>IFERROR(_xlfn.AGGREGATE(15,6,K9:K17,1),"NM")</f>
        <v>23.244444444444444</v>
      </c>
      <c r="L19" s="15"/>
      <c r="M19" s="67">
        <f>IFERROR(MIN(M9:M17),"")</f>
        <v>275</v>
      </c>
      <c r="N19" s="62">
        <f>IFERROR(MIN(N9:N17),"")</f>
        <v>1.0618336886993602</v>
      </c>
      <c r="O19" s="15"/>
      <c r="P19" s="24">
        <f t="shared" ref="P19:X19" si="8">IFERROR(MIN(P9:P17),"")</f>
        <v>0.12</v>
      </c>
      <c r="Q19" s="67">
        <f t="shared" si="8"/>
        <v>50</v>
      </c>
      <c r="R19" s="29">
        <f t="shared" si="8"/>
        <v>2.1766704771449602E-3</v>
      </c>
      <c r="S19" s="67">
        <f t="shared" si="8"/>
        <v>0</v>
      </c>
      <c r="T19" s="29">
        <f t="shared" si="8"/>
        <v>0</v>
      </c>
      <c r="U19" s="67">
        <f t="shared" si="8"/>
        <v>2800</v>
      </c>
      <c r="V19" s="29">
        <f t="shared" si="8"/>
        <v>0.91930441578741695</v>
      </c>
      <c r="W19" s="444">
        <f t="shared" si="8"/>
        <v>0.21</v>
      </c>
      <c r="X19" s="24">
        <f t="shared" si="8"/>
        <v>0.11569306279854508</v>
      </c>
    </row>
    <row r="20" spans="1:24" x14ac:dyDescent="0.3">
      <c r="A20" s="1" t="s">
        <v>372</v>
      </c>
      <c r="C20" s="67">
        <f t="shared" ref="C20:J20" si="9">IFERROR(QUARTILE(C9:C17,1),"")</f>
        <v>3950</v>
      </c>
      <c r="D20" s="67">
        <f t="shared" si="9"/>
        <v>4080</v>
      </c>
      <c r="E20" s="67">
        <f t="shared" si="9"/>
        <v>230</v>
      </c>
      <c r="F20" s="443">
        <f t="shared" si="9"/>
        <v>0.18</v>
      </c>
      <c r="G20" s="29">
        <f t="shared" si="9"/>
        <v>-0.2</v>
      </c>
      <c r="H20" s="29">
        <f t="shared" si="9"/>
        <v>0.05</v>
      </c>
      <c r="I20" s="29">
        <f t="shared" si="9"/>
        <v>0.3</v>
      </c>
      <c r="J20" s="412">
        <f t="shared" si="9"/>
        <v>8.6993603411513867</v>
      </c>
      <c r="K20" s="62">
        <f>IFERROR(_xlfn.AGGREGATE(16,6,K9:K17,0.25),"NM")</f>
        <v>23.244444444444444</v>
      </c>
      <c r="L20" s="15"/>
      <c r="M20" s="67">
        <f>IFERROR(QUARTILE(M9:M17,1),"")</f>
        <v>498</v>
      </c>
      <c r="N20" s="62">
        <f>IFERROR(QUARTILE(N9:N17,1),"")</f>
        <v>1.2</v>
      </c>
      <c r="O20" s="15"/>
      <c r="P20" s="24">
        <f t="shared" ref="P20:X20" si="10">IFERROR(QUARTILE(P9:P17,1),"")</f>
        <v>1.4</v>
      </c>
      <c r="Q20" s="67">
        <f t="shared" si="10"/>
        <v>80</v>
      </c>
      <c r="R20" s="29">
        <f t="shared" si="10"/>
        <v>1.7543859649122806E-2</v>
      </c>
      <c r="S20" s="67">
        <f t="shared" si="10"/>
        <v>0</v>
      </c>
      <c r="T20" s="29">
        <f t="shared" si="10"/>
        <v>0</v>
      </c>
      <c r="U20" s="67">
        <f t="shared" si="10"/>
        <v>4000</v>
      </c>
      <c r="V20" s="29">
        <f t="shared" si="10"/>
        <v>0.95179233621755255</v>
      </c>
      <c r="W20" s="444">
        <f t="shared" si="10"/>
        <v>0.21</v>
      </c>
      <c r="X20" s="24">
        <f t="shared" si="10"/>
        <v>1.3092121869826105</v>
      </c>
    </row>
    <row r="21" spans="1:24" x14ac:dyDescent="0.3">
      <c r="A21" s="1" t="s">
        <v>373</v>
      </c>
      <c r="C21" s="67">
        <f t="shared" ref="C21:J21" si="11">IFERROR(MEDIAN(C9:C17),"")</f>
        <v>5390</v>
      </c>
      <c r="D21" s="67">
        <f t="shared" si="11"/>
        <v>5230</v>
      </c>
      <c r="E21" s="67">
        <f t="shared" si="11"/>
        <v>469</v>
      </c>
      <c r="F21" s="443">
        <f t="shared" si="11"/>
        <v>0.248</v>
      </c>
      <c r="G21" s="29">
        <f t="shared" si="11"/>
        <v>-0.1</v>
      </c>
      <c r="H21" s="29">
        <f t="shared" si="11"/>
        <v>0.16300000000000001</v>
      </c>
      <c r="I21" s="29">
        <f t="shared" si="11"/>
        <v>0.4</v>
      </c>
      <c r="J21" s="412">
        <f t="shared" si="11"/>
        <v>10</v>
      </c>
      <c r="K21" s="62">
        <f>IFERROR(_xlfn.AGGREGATE(16,6,K9:K17,0.5),"NM")</f>
        <v>23.244444444444444</v>
      </c>
      <c r="L21" s="15"/>
      <c r="M21" s="67">
        <f>IFERROR(MEDIAN(M9:M17),"")</f>
        <v>1100</v>
      </c>
      <c r="N21" s="62">
        <f>IFERROR(MEDIAN(N9:N17),"")</f>
        <v>1.4814814814814814</v>
      </c>
      <c r="O21" s="15"/>
      <c r="P21" s="24">
        <f t="shared" ref="P21:X21" si="12">IFERROR(MEDIAN(P9:P17),"")</f>
        <v>2</v>
      </c>
      <c r="Q21" s="67">
        <f t="shared" si="12"/>
        <v>200</v>
      </c>
      <c r="R21" s="29">
        <f t="shared" si="12"/>
        <v>2.4888888888888887E-2</v>
      </c>
      <c r="S21" s="67">
        <f t="shared" si="12"/>
        <v>0</v>
      </c>
      <c r="T21" s="29">
        <f t="shared" si="12"/>
        <v>0</v>
      </c>
      <c r="U21" s="67">
        <f t="shared" si="12"/>
        <v>5390</v>
      </c>
      <c r="V21" s="29">
        <f t="shared" si="12"/>
        <v>0.97511111111111115</v>
      </c>
      <c r="W21" s="444">
        <f t="shared" si="12"/>
        <v>0.21</v>
      </c>
      <c r="X21" s="24">
        <f t="shared" si="12"/>
        <v>1.9230769230769229</v>
      </c>
    </row>
    <row r="22" spans="1:24" x14ac:dyDescent="0.3">
      <c r="A22" s="1" t="s">
        <v>374</v>
      </c>
      <c r="C22" s="67">
        <f t="shared" ref="C22:J22" si="13">IFERROR(AVERAGE(C9:C17),"")</f>
        <v>13330</v>
      </c>
      <c r="D22" s="67">
        <f t="shared" si="13"/>
        <v>13146.666666666666</v>
      </c>
      <c r="E22" s="67">
        <f t="shared" si="13"/>
        <v>610.33333333333337</v>
      </c>
      <c r="F22" s="443">
        <f t="shared" si="13"/>
        <v>0.22477777777777774</v>
      </c>
      <c r="G22" s="29">
        <f t="shared" si="13"/>
        <v>-8.2222222222222224E-2</v>
      </c>
      <c r="H22" s="29">
        <f t="shared" si="13"/>
        <v>0.19122222222222224</v>
      </c>
      <c r="I22" s="29">
        <f t="shared" si="13"/>
        <v>0.3899999999999999</v>
      </c>
      <c r="J22" s="412">
        <f t="shared" si="13"/>
        <v>24.654041039066364</v>
      </c>
      <c r="K22" s="62">
        <f>IFERROR(_xlfn.AGGREGATE(1,6,K9:K17),"NM")</f>
        <v>23.244444444444444</v>
      </c>
      <c r="L22" s="15"/>
      <c r="M22" s="67">
        <f>IFERROR(AVERAGE(M9:M17),"")</f>
        <v>1158.1111111111111</v>
      </c>
      <c r="N22" s="62">
        <f>IFERROR(AVERAGE(N9:N17),"")</f>
        <v>2.5861467218216752</v>
      </c>
      <c r="O22" s="15"/>
      <c r="P22" s="24">
        <f t="shared" ref="P22:X22" si="14">IFERROR(AVERAGE(P9:P17),"")</f>
        <v>1.8277777777777782</v>
      </c>
      <c r="Q22" s="67">
        <f t="shared" si="14"/>
        <v>248.55555555555554</v>
      </c>
      <c r="R22" s="29">
        <f t="shared" si="14"/>
        <v>3.4631858697502946E-2</v>
      </c>
      <c r="S22" s="67">
        <f t="shared" si="14"/>
        <v>0.77777777777777779</v>
      </c>
      <c r="T22" s="29">
        <f t="shared" si="14"/>
        <v>1.4263300527742119E-4</v>
      </c>
      <c r="U22" s="67">
        <f t="shared" si="14"/>
        <v>12372.222222222223</v>
      </c>
      <c r="V22" s="29">
        <f t="shared" si="14"/>
        <v>0.96522550829721965</v>
      </c>
      <c r="W22" s="444">
        <f t="shared" si="14"/>
        <v>0.21611111111111109</v>
      </c>
      <c r="X22" s="24">
        <f t="shared" si="14"/>
        <v>1.7869354258656018</v>
      </c>
    </row>
    <row r="23" spans="1:24" x14ac:dyDescent="0.3">
      <c r="A23" s="1" t="s">
        <v>375</v>
      </c>
      <c r="C23" s="67">
        <f t="shared" ref="C23:J23" si="15">IFERROR(QUARTILE(C9:C17,3),"")</f>
        <v>9410</v>
      </c>
      <c r="D23" s="67">
        <f t="shared" si="15"/>
        <v>9650</v>
      </c>
      <c r="E23" s="67">
        <f t="shared" si="15"/>
        <v>821</v>
      </c>
      <c r="F23" s="443">
        <f t="shared" si="15"/>
        <v>0.28000000000000003</v>
      </c>
      <c r="G23" s="29">
        <f t="shared" si="15"/>
        <v>0.08</v>
      </c>
      <c r="H23" s="29">
        <f t="shared" si="15"/>
        <v>0.25600000000000001</v>
      </c>
      <c r="I23" s="29">
        <f t="shared" si="15"/>
        <v>0.48</v>
      </c>
      <c r="J23" s="412">
        <f t="shared" si="15"/>
        <v>17.168674698795179</v>
      </c>
      <c r="K23" s="62">
        <f>IFERROR(_xlfn.AGGREGATE(16,6,K9:K17,0.75),"NM")</f>
        <v>23.244444444444444</v>
      </c>
      <c r="L23" s="15"/>
      <c r="M23" s="67">
        <f>IFERROR(QUARTILE(M9:M17,3),"")</f>
        <v>1500</v>
      </c>
      <c r="N23" s="62">
        <f>IFERROR(QUARTILE(N9:N17,3),"")</f>
        <v>3.654485049833887</v>
      </c>
      <c r="O23" s="15"/>
      <c r="P23" s="24">
        <f t="shared" ref="P23:X23" si="16">IFERROR(QUARTILE(P9:P17,3),"")</f>
        <v>2.5</v>
      </c>
      <c r="Q23" s="67">
        <f t="shared" si="16"/>
        <v>280</v>
      </c>
      <c r="R23" s="29">
        <f t="shared" si="16"/>
        <v>4.8207663782447466E-2</v>
      </c>
      <c r="S23" s="67">
        <f t="shared" si="16"/>
        <v>0</v>
      </c>
      <c r="T23" s="29">
        <f t="shared" si="16"/>
        <v>0</v>
      </c>
      <c r="U23" s="67">
        <f t="shared" si="16"/>
        <v>9410</v>
      </c>
      <c r="V23" s="29">
        <f t="shared" si="16"/>
        <v>0.98245614035087714</v>
      </c>
      <c r="W23" s="444">
        <f t="shared" si="16"/>
        <v>0.21</v>
      </c>
      <c r="X23" s="24">
        <f t="shared" si="16"/>
        <v>2.4611143925969676</v>
      </c>
    </row>
    <row r="24" spans="1:24" ht="15" thickBot="1" x14ac:dyDescent="0.35">
      <c r="A24" s="169" t="s">
        <v>376</v>
      </c>
      <c r="B24" s="164"/>
      <c r="C24" s="227">
        <f t="shared" ref="C24:J24" si="17">IFERROR(MAX(C9:C17),"")</f>
        <v>74950</v>
      </c>
      <c r="D24" s="227">
        <f t="shared" si="17"/>
        <v>73700</v>
      </c>
      <c r="E24" s="227">
        <f t="shared" si="17"/>
        <v>1350</v>
      </c>
      <c r="F24" s="445">
        <f t="shared" si="17"/>
        <v>0.317</v>
      </c>
      <c r="G24" s="230">
        <f t="shared" si="17"/>
        <v>0.18</v>
      </c>
      <c r="H24" s="230">
        <f t="shared" si="17"/>
        <v>0.5</v>
      </c>
      <c r="I24" s="230">
        <f t="shared" si="17"/>
        <v>0.55000000000000004</v>
      </c>
      <c r="J24" s="446">
        <f t="shared" si="17"/>
        <v>122.42524916943522</v>
      </c>
      <c r="K24" s="225">
        <f>IFERROR(_xlfn.AGGREGATE(14,6,K9:K17,1),"NM")</f>
        <v>23.244444444444444</v>
      </c>
      <c r="L24" s="18"/>
      <c r="M24" s="227">
        <f>IFERROR(MAX(M9:M17),"")</f>
        <v>2200</v>
      </c>
      <c r="N24" s="225">
        <f>IFERROR(MAX(N9:N17),"")</f>
        <v>7.0270270270270272</v>
      </c>
      <c r="O24" s="18"/>
      <c r="P24" s="26">
        <f t="shared" ref="P24:X24" si="18">IFERROR(MAX(P9:P17),"")</f>
        <v>3</v>
      </c>
      <c r="Q24" s="227">
        <f t="shared" si="18"/>
        <v>826</v>
      </c>
      <c r="R24" s="230">
        <f t="shared" si="18"/>
        <v>8.0695584212583035E-2</v>
      </c>
      <c r="S24" s="227">
        <f t="shared" si="18"/>
        <v>7</v>
      </c>
      <c r="T24" s="230">
        <f t="shared" si="18"/>
        <v>1.2836970474967907E-3</v>
      </c>
      <c r="U24" s="227">
        <f t="shared" si="18"/>
        <v>63720</v>
      </c>
      <c r="V24" s="230">
        <f t="shared" si="18"/>
        <v>0.99782332952285502</v>
      </c>
      <c r="W24" s="447">
        <f t="shared" si="18"/>
        <v>0.26500000000000001</v>
      </c>
      <c r="X24" s="26">
        <f t="shared" si="18"/>
        <v>2.9792100789987206</v>
      </c>
    </row>
    <row r="25" spans="1:24" ht="15" thickTop="1" x14ac:dyDescent="0.3">
      <c r="C25" s="15"/>
      <c r="D25" s="15"/>
      <c r="E25" s="15"/>
      <c r="G25" s="15"/>
      <c r="H25" s="15"/>
      <c r="I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</row>
    <row r="26" spans="1:24" x14ac:dyDescent="0.3">
      <c r="A26" s="92" t="s">
        <v>889</v>
      </c>
      <c r="B26" s="92"/>
      <c r="C26" s="102"/>
      <c r="D26" s="102"/>
      <c r="E26" s="102"/>
      <c r="F26" s="92"/>
      <c r="G26" s="102"/>
      <c r="H26" s="102"/>
      <c r="I26" s="102"/>
      <c r="J26" s="92"/>
      <c r="K26" s="102"/>
      <c r="L26" s="102"/>
      <c r="M26" s="102"/>
      <c r="N26" s="102"/>
      <c r="O26" s="102"/>
      <c r="P26" s="102"/>
      <c r="Q26" s="102"/>
      <c r="R26" s="102"/>
      <c r="S26" s="102"/>
      <c r="T26" s="102"/>
      <c r="U26" s="102"/>
      <c r="V26" s="102"/>
      <c r="W26" s="102"/>
      <c r="X26" s="102"/>
    </row>
    <row r="27" spans="1:24" x14ac:dyDescent="0.3">
      <c r="A27" t="s">
        <v>428</v>
      </c>
      <c r="B27" t="s">
        <v>429</v>
      </c>
      <c r="C27" s="39">
        <v>170000</v>
      </c>
      <c r="D27" s="39">
        <v>196150</v>
      </c>
      <c r="E27" s="39">
        <v>92184</v>
      </c>
      <c r="F27" s="7">
        <v>4.8000000000000001E-2</v>
      </c>
      <c r="G27" s="16">
        <v>4.4999999999999998E-2</v>
      </c>
      <c r="H27" s="16">
        <v>1.7000000000000001E-2</v>
      </c>
      <c r="I27" s="16">
        <v>0.11</v>
      </c>
      <c r="J27" s="61">
        <f>IFERROR(D27/E27,"NM")</f>
        <v>2.1278095981949146</v>
      </c>
      <c r="K27" s="62">
        <f>IF(OR(G27&lt;=0,E27=0,D27=0),"NM",IF(D27/(E27*G27)&gt;100,"NM",D27/(E27*G27)))</f>
        <v>47.284657737664773</v>
      </c>
      <c r="L27" s="15"/>
      <c r="M27" s="39">
        <v>516000</v>
      </c>
      <c r="N27" s="62">
        <f>IFERROR(M27/E27,"NM")</f>
        <v>5.5975006508721687</v>
      </c>
      <c r="P27" s="19">
        <v>1.21</v>
      </c>
      <c r="Q27" s="39">
        <v>44354</v>
      </c>
      <c r="R27" s="29">
        <f>IFERROR(Q27/(Q27+S27+U27),"")</f>
        <v>0.20113003573307214</v>
      </c>
      <c r="S27" s="39">
        <v>5750</v>
      </c>
      <c r="T27" s="29">
        <f>IFERROR(S27/(Q27+S27+U27),"")</f>
        <v>2.6074259491030455E-2</v>
      </c>
      <c r="U27" s="39">
        <v>170420</v>
      </c>
      <c r="V27" s="29">
        <f>IFERROR(U27/(Q27+S27+U27),"")</f>
        <v>0.77279570477589743</v>
      </c>
      <c r="W27" s="66">
        <v>0.21</v>
      </c>
      <c r="X27" s="24">
        <f>IFERROR(P27/(1+(Q27/U27)*(1-W27)+S27/U27),"")</f>
        <v>0.97631992779118137</v>
      </c>
    </row>
    <row r="28" spans="1:24" x14ac:dyDescent="0.3">
      <c r="A28" t="s">
        <v>430</v>
      </c>
      <c r="B28" t="s">
        <v>431</v>
      </c>
      <c r="C28" s="39">
        <v>238380</v>
      </c>
      <c r="D28" s="39">
        <v>247000</v>
      </c>
      <c r="E28" s="39">
        <v>90373</v>
      </c>
      <c r="F28" s="7">
        <v>0.20200000000000001</v>
      </c>
      <c r="G28" s="16">
        <v>0.14499999999999999</v>
      </c>
      <c r="H28" s="16">
        <v>2.9000000000000001E-2</v>
      </c>
      <c r="I28" s="16">
        <v>0.1</v>
      </c>
      <c r="J28" s="61">
        <f>IFERROR(D28/E28,"NM")</f>
        <v>2.7331171920817057</v>
      </c>
      <c r="K28" s="62">
        <f>IF(OR(G28&lt;=0,E28=0,D28=0),"NM",IF(D28/(E28*G28)&gt;100,"NM",D28/(E28*G28)))</f>
        <v>18.849084083322111</v>
      </c>
      <c r="L28" s="15"/>
      <c r="M28" s="39">
        <v>217000</v>
      </c>
      <c r="N28" s="62">
        <f>IFERROR(M28/E28,"NM")</f>
        <v>2.4011596383875715</v>
      </c>
      <c r="P28" s="19">
        <v>0.3</v>
      </c>
      <c r="Q28" s="39">
        <v>38940</v>
      </c>
      <c r="R28" s="29">
        <f>IFERROR(Q28/(Q28+S28+U28),"")</f>
        <v>0.13748543586484482</v>
      </c>
      <c r="S28" s="39">
        <v>0</v>
      </c>
      <c r="T28" s="29">
        <f>IFERROR(S28/(Q28+S28+U28),"")</f>
        <v>0</v>
      </c>
      <c r="U28" s="39">
        <v>244290</v>
      </c>
      <c r="V28" s="29">
        <f>IFERROR(U28/(Q28+S28+U28),"")</f>
        <v>0.86251456413515515</v>
      </c>
      <c r="W28" s="66">
        <v>0.21</v>
      </c>
      <c r="X28" s="24">
        <f>IFERROR(P28/(1+(Q28/U28)*(1-W28)+S28/U28),"")</f>
        <v>0.26644721773217195</v>
      </c>
    </row>
    <row r="29" spans="1:24" x14ac:dyDescent="0.3">
      <c r="A29" t="s">
        <v>432</v>
      </c>
      <c r="B29" t="s">
        <v>433</v>
      </c>
      <c r="C29" s="39">
        <v>121000</v>
      </c>
      <c r="D29" s="39">
        <v>141700</v>
      </c>
      <c r="E29" s="39">
        <v>72000</v>
      </c>
      <c r="F29" s="7">
        <v>0.11</v>
      </c>
      <c r="G29" s="16">
        <v>0.13</v>
      </c>
      <c r="H29" s="16">
        <v>1.6E-2</v>
      </c>
      <c r="I29" s="16">
        <v>0.04</v>
      </c>
      <c r="J29" s="61">
        <f>IFERROR(D29/E29,"NM")</f>
        <v>1.9680555555555554</v>
      </c>
      <c r="K29" s="62">
        <f>IF(OR(G29&lt;=0,E29=0,D29=0),"NM",IF(D29/(E29*G29)&gt;100,"NM",D29/(E29*G29)))</f>
        <v>15.138888888888889</v>
      </c>
      <c r="L29" s="15"/>
      <c r="M29" s="39">
        <v>160000</v>
      </c>
      <c r="N29" s="62">
        <f>IFERROR(M29/E29,"NM")</f>
        <v>2.2222222222222223</v>
      </c>
      <c r="P29" s="19">
        <v>0.2</v>
      </c>
      <c r="Q29" s="39">
        <v>20530</v>
      </c>
      <c r="R29" s="29">
        <f>IFERROR(Q29/(Q29+S29+U29),"")</f>
        <v>0.14530398471229386</v>
      </c>
      <c r="S29" s="39">
        <v>0</v>
      </c>
      <c r="T29" s="29">
        <f>IFERROR(S29/(Q29+S29+U29),"")</f>
        <v>0</v>
      </c>
      <c r="U29" s="39">
        <v>120760</v>
      </c>
      <c r="V29" s="29">
        <f>IFERROR(U29/(Q29+S29+U29),"")</f>
        <v>0.85469601528770611</v>
      </c>
      <c r="W29" s="66">
        <v>0.21</v>
      </c>
      <c r="X29" s="24">
        <f>IFERROR(P29/(1+(Q29/U29)*(1-W29)+S29/U29),"")</f>
        <v>0.17631938396261609</v>
      </c>
    </row>
    <row r="30" spans="1:24" x14ac:dyDescent="0.3">
      <c r="A30" t="s">
        <v>434</v>
      </c>
      <c r="B30" t="s">
        <v>435</v>
      </c>
      <c r="C30" s="39">
        <v>92350</v>
      </c>
      <c r="D30" s="39">
        <v>99000</v>
      </c>
      <c r="E30" s="39">
        <v>53810</v>
      </c>
      <c r="F30" s="7">
        <v>0.152</v>
      </c>
      <c r="G30" s="16">
        <v>0.13</v>
      </c>
      <c r="H30" s="16">
        <v>1.2999999999999999E-2</v>
      </c>
      <c r="I30" s="16">
        <v>0.1</v>
      </c>
      <c r="J30" s="61">
        <f>IFERROR(D30/E30,"NM")</f>
        <v>1.8398067273740941</v>
      </c>
      <c r="K30" s="62">
        <f>IF(OR(G30&lt;=0,E30=0,D30=0),"NM",IF(D30/(E30*G30)&gt;100,"NM",D30/(E30*G30)))</f>
        <v>14.152359441339184</v>
      </c>
      <c r="L30" s="15"/>
      <c r="M30" s="39">
        <v>100000</v>
      </c>
      <c r="N30" s="62">
        <f>IFERROR(M30/E30,"NM")</f>
        <v>1.8583906337112062</v>
      </c>
      <c r="P30" s="19">
        <v>0.5</v>
      </c>
      <c r="Q30" s="39">
        <v>12800</v>
      </c>
      <c r="R30" s="29">
        <f>IFERROR(Q30/(Q30+S30+U30),"")</f>
        <v>0.12019907972579585</v>
      </c>
      <c r="S30" s="39">
        <v>0</v>
      </c>
      <c r="T30" s="29">
        <f>IFERROR(S30/(Q30+S30+U30),"")</f>
        <v>0</v>
      </c>
      <c r="U30" s="39">
        <v>93690</v>
      </c>
      <c r="V30" s="29">
        <f>IFERROR(U30/(Q30+S30+U30),"")</f>
        <v>0.8798009202742042</v>
      </c>
      <c r="W30" s="66">
        <v>0.21</v>
      </c>
      <c r="X30" s="24">
        <f>IFERROR(P30/(1+(Q30/U30)*(1-W30)+S30/U30),"")</f>
        <v>0.45129188262268549</v>
      </c>
    </row>
    <row r="31" spans="1:24" x14ac:dyDescent="0.3">
      <c r="A31" t="s">
        <v>436</v>
      </c>
      <c r="B31" t="s">
        <v>437</v>
      </c>
      <c r="C31" s="39">
        <v>79800</v>
      </c>
      <c r="D31" s="39">
        <v>94000</v>
      </c>
      <c r="E31" s="39">
        <v>42000</v>
      </c>
      <c r="F31" s="7">
        <v>0.2</v>
      </c>
      <c r="G31" s="16">
        <v>0.16</v>
      </c>
      <c r="H31" s="16">
        <v>1.6E-2</v>
      </c>
      <c r="I31" s="16">
        <v>0.03</v>
      </c>
      <c r="J31" s="61">
        <f>IFERROR(D31/E31,"NM")</f>
        <v>2.2380952380952381</v>
      </c>
      <c r="K31" s="62">
        <f>IF(OR(G31&lt;=0,E31=0,D31=0),"NM",IF(D31/(E31*G31)&gt;100,"NM",D31/(E31*G31)))</f>
        <v>13.988095238095237</v>
      </c>
      <c r="L31" s="15"/>
      <c r="M31" s="39">
        <v>90000</v>
      </c>
      <c r="N31" s="62">
        <f>IFERROR(M31/E31,"NM")</f>
        <v>2.1428571428571428</v>
      </c>
      <c r="P31" s="19">
        <v>0.05</v>
      </c>
      <c r="Q31" s="39">
        <v>14600</v>
      </c>
      <c r="R31" s="29">
        <f>IFERROR(Q31/(Q31+S31+U31),"")</f>
        <v>0.15883376849434291</v>
      </c>
      <c r="S31" s="39">
        <v>0</v>
      </c>
      <c r="T31" s="29">
        <f>IFERROR(S31/(Q31+S31+U31),"")</f>
        <v>0</v>
      </c>
      <c r="U31" s="39">
        <v>77320</v>
      </c>
      <c r="V31" s="29">
        <f>IFERROR(U31/(Q31+S31+U31),"")</f>
        <v>0.84116623150565706</v>
      </c>
      <c r="W31" s="66">
        <v>0.21</v>
      </c>
      <c r="X31" s="24">
        <f>IFERROR(P31/(1+(Q31/U31)*(1-W31)+S31/U31),"")</f>
        <v>4.3509577509172351E-2</v>
      </c>
    </row>
    <row r="32" spans="1:24" x14ac:dyDescent="0.3">
      <c r="C32" s="38"/>
      <c r="D32" s="38"/>
      <c r="E32" s="38"/>
      <c r="G32" s="21"/>
      <c r="H32" s="21"/>
      <c r="I32" s="21"/>
      <c r="K32" s="54"/>
      <c r="L32" s="15"/>
      <c r="M32" s="38"/>
      <c r="N32" s="54"/>
      <c r="O32" s="15"/>
      <c r="P32" s="20"/>
      <c r="Q32" s="38"/>
      <c r="R32" s="21"/>
      <c r="S32" s="38"/>
      <c r="T32" s="21"/>
      <c r="U32" s="38"/>
      <c r="V32" s="21"/>
      <c r="W32" s="15"/>
      <c r="X32" s="20"/>
    </row>
    <row r="33" spans="1:24" x14ac:dyDescent="0.3">
      <c r="A33" s="1" t="s">
        <v>371</v>
      </c>
      <c r="C33" s="67">
        <f t="shared" ref="C33:K33" si="19">IFERROR(MIN(C27:C31),"")</f>
        <v>79800</v>
      </c>
      <c r="D33" s="67">
        <f t="shared" si="19"/>
        <v>94000</v>
      </c>
      <c r="E33" s="67">
        <f t="shared" si="19"/>
        <v>42000</v>
      </c>
      <c r="F33" s="443">
        <f t="shared" si="19"/>
        <v>4.8000000000000001E-2</v>
      </c>
      <c r="G33" s="29">
        <f t="shared" si="19"/>
        <v>4.4999999999999998E-2</v>
      </c>
      <c r="H33" s="29">
        <f t="shared" si="19"/>
        <v>1.2999999999999999E-2</v>
      </c>
      <c r="I33" s="29">
        <f t="shared" si="19"/>
        <v>0.03</v>
      </c>
      <c r="J33" s="412">
        <f t="shared" si="19"/>
        <v>1.8398067273740941</v>
      </c>
      <c r="K33" s="62">
        <f t="shared" si="19"/>
        <v>13.988095238095237</v>
      </c>
      <c r="L33" s="15"/>
      <c r="M33" s="67">
        <f>IFERROR(MIN(M27:M31),"")</f>
        <v>90000</v>
      </c>
      <c r="N33" s="62">
        <f>IFERROR(MIN(N27:N31),"")</f>
        <v>1.8583906337112062</v>
      </c>
      <c r="O33" s="15"/>
      <c r="P33" s="24">
        <f t="shared" ref="P33:X33" si="20">IFERROR(MIN(P27:P31),"")</f>
        <v>0.05</v>
      </c>
      <c r="Q33" s="67">
        <f t="shared" si="20"/>
        <v>12800</v>
      </c>
      <c r="R33" s="29">
        <f t="shared" si="20"/>
        <v>0.12019907972579585</v>
      </c>
      <c r="S33" s="67">
        <f t="shared" si="20"/>
        <v>0</v>
      </c>
      <c r="T33" s="29">
        <f t="shared" si="20"/>
        <v>0</v>
      </c>
      <c r="U33" s="67">
        <f t="shared" si="20"/>
        <v>77320</v>
      </c>
      <c r="V33" s="29">
        <f t="shared" si="20"/>
        <v>0.77279570477589743</v>
      </c>
      <c r="W33" s="444">
        <f t="shared" si="20"/>
        <v>0.21</v>
      </c>
      <c r="X33" s="24">
        <f t="shared" si="20"/>
        <v>4.3509577509172351E-2</v>
      </c>
    </row>
    <row r="34" spans="1:24" x14ac:dyDescent="0.3">
      <c r="A34" s="1" t="s">
        <v>372</v>
      </c>
      <c r="C34" s="67">
        <f t="shared" ref="C34:K34" si="21">IFERROR(QUARTILE(C27:C31,1),"")</f>
        <v>92350</v>
      </c>
      <c r="D34" s="67">
        <f t="shared" si="21"/>
        <v>99000</v>
      </c>
      <c r="E34" s="67">
        <f t="shared" si="21"/>
        <v>53810</v>
      </c>
      <c r="F34" s="443">
        <f t="shared" si="21"/>
        <v>0.11</v>
      </c>
      <c r="G34" s="29">
        <f t="shared" si="21"/>
        <v>0.13</v>
      </c>
      <c r="H34" s="29">
        <f t="shared" si="21"/>
        <v>1.6E-2</v>
      </c>
      <c r="I34" s="29">
        <f t="shared" si="21"/>
        <v>0.04</v>
      </c>
      <c r="J34" s="412">
        <f t="shared" si="21"/>
        <v>1.9680555555555554</v>
      </c>
      <c r="K34" s="62">
        <f t="shared" si="21"/>
        <v>14.152359441339184</v>
      </c>
      <c r="L34" s="15"/>
      <c r="M34" s="67">
        <f>IFERROR(QUARTILE(M27:M31,1),"")</f>
        <v>100000</v>
      </c>
      <c r="N34" s="62">
        <f>IFERROR(QUARTILE(N27:N31,1),"")</f>
        <v>2.1428571428571428</v>
      </c>
      <c r="O34" s="15"/>
      <c r="P34" s="24">
        <f t="shared" ref="P34:X34" si="22">IFERROR(QUARTILE(P27:P31,1),"")</f>
        <v>0.2</v>
      </c>
      <c r="Q34" s="67">
        <f t="shared" si="22"/>
        <v>14600</v>
      </c>
      <c r="R34" s="29">
        <f t="shared" si="22"/>
        <v>0.13748543586484482</v>
      </c>
      <c r="S34" s="67">
        <f t="shared" si="22"/>
        <v>0</v>
      </c>
      <c r="T34" s="29">
        <f t="shared" si="22"/>
        <v>0</v>
      </c>
      <c r="U34" s="67">
        <f t="shared" si="22"/>
        <v>93690</v>
      </c>
      <c r="V34" s="29">
        <f t="shared" si="22"/>
        <v>0.84116623150565706</v>
      </c>
      <c r="W34" s="444">
        <f t="shared" si="22"/>
        <v>0.21</v>
      </c>
      <c r="X34" s="24">
        <f t="shared" si="22"/>
        <v>0.17631938396261609</v>
      </c>
    </row>
    <row r="35" spans="1:24" x14ac:dyDescent="0.3">
      <c r="A35" s="1" t="s">
        <v>373</v>
      </c>
      <c r="C35" s="67">
        <f t="shared" ref="C35:K35" si="23">IFERROR(MEDIAN(C27:C31),"")</f>
        <v>121000</v>
      </c>
      <c r="D35" s="67">
        <f t="shared" si="23"/>
        <v>141700</v>
      </c>
      <c r="E35" s="67">
        <f t="shared" si="23"/>
        <v>72000</v>
      </c>
      <c r="F35" s="443">
        <f t="shared" si="23"/>
        <v>0.152</v>
      </c>
      <c r="G35" s="29">
        <f t="shared" si="23"/>
        <v>0.13</v>
      </c>
      <c r="H35" s="29">
        <f t="shared" si="23"/>
        <v>1.6E-2</v>
      </c>
      <c r="I35" s="29">
        <f t="shared" si="23"/>
        <v>0.1</v>
      </c>
      <c r="J35" s="412">
        <f t="shared" si="23"/>
        <v>2.1278095981949146</v>
      </c>
      <c r="K35" s="62">
        <f t="shared" si="23"/>
        <v>15.138888888888889</v>
      </c>
      <c r="L35" s="15"/>
      <c r="M35" s="67">
        <f>IFERROR(MEDIAN(M27:M31),"")</f>
        <v>160000</v>
      </c>
      <c r="N35" s="62">
        <f>IFERROR(MEDIAN(N27:N31),"")</f>
        <v>2.2222222222222223</v>
      </c>
      <c r="O35" s="15"/>
      <c r="P35" s="24">
        <f t="shared" ref="P35:X35" si="24">IFERROR(MEDIAN(P27:P31),"")</f>
        <v>0.3</v>
      </c>
      <c r="Q35" s="67">
        <f t="shared" si="24"/>
        <v>20530</v>
      </c>
      <c r="R35" s="29">
        <f t="shared" si="24"/>
        <v>0.14530398471229386</v>
      </c>
      <c r="S35" s="67">
        <f t="shared" si="24"/>
        <v>0</v>
      </c>
      <c r="T35" s="29">
        <f t="shared" si="24"/>
        <v>0</v>
      </c>
      <c r="U35" s="67">
        <f t="shared" si="24"/>
        <v>120760</v>
      </c>
      <c r="V35" s="29">
        <f t="shared" si="24"/>
        <v>0.85469601528770611</v>
      </c>
      <c r="W35" s="444">
        <f t="shared" si="24"/>
        <v>0.21</v>
      </c>
      <c r="X35" s="24">
        <f t="shared" si="24"/>
        <v>0.26644721773217195</v>
      </c>
    </row>
    <row r="36" spans="1:24" x14ac:dyDescent="0.3">
      <c r="A36" s="1" t="s">
        <v>374</v>
      </c>
      <c r="C36" s="67">
        <f t="shared" ref="C36:K36" si="25">IFERROR(AVERAGE(C27:C31),"")</f>
        <v>140306</v>
      </c>
      <c r="D36" s="67">
        <f t="shared" si="25"/>
        <v>155570</v>
      </c>
      <c r="E36" s="67">
        <f t="shared" si="25"/>
        <v>70073.399999999994</v>
      </c>
      <c r="F36" s="443">
        <f t="shared" si="25"/>
        <v>0.1424</v>
      </c>
      <c r="G36" s="29">
        <f t="shared" si="25"/>
        <v>0.122</v>
      </c>
      <c r="H36" s="29">
        <f t="shared" si="25"/>
        <v>1.8200000000000001E-2</v>
      </c>
      <c r="I36" s="29">
        <f t="shared" si="25"/>
        <v>7.5999999999999998E-2</v>
      </c>
      <c r="J36" s="412">
        <f t="shared" si="25"/>
        <v>2.1813768622603016</v>
      </c>
      <c r="K36" s="62">
        <f t="shared" si="25"/>
        <v>21.88261707786204</v>
      </c>
      <c r="L36" s="15"/>
      <c r="M36" s="67">
        <f>IFERROR(AVERAGE(M27:M31),"")</f>
        <v>216600</v>
      </c>
      <c r="N36" s="62">
        <f>IFERROR(AVERAGE(N27:N31),"")</f>
        <v>2.8444260576100624</v>
      </c>
      <c r="O36" s="15"/>
      <c r="P36" s="24">
        <f t="shared" ref="P36:X36" si="26">IFERROR(AVERAGE(P27:P31),"")</f>
        <v>0.45199999999999996</v>
      </c>
      <c r="Q36" s="67">
        <f t="shared" si="26"/>
        <v>26244.799999999999</v>
      </c>
      <c r="R36" s="29">
        <f t="shared" si="26"/>
        <v>0.15259046090606992</v>
      </c>
      <c r="S36" s="67">
        <f t="shared" si="26"/>
        <v>1150</v>
      </c>
      <c r="T36" s="29">
        <f t="shared" si="26"/>
        <v>5.2148518982060906E-3</v>
      </c>
      <c r="U36" s="67">
        <f t="shared" si="26"/>
        <v>141296</v>
      </c>
      <c r="V36" s="29">
        <f t="shared" si="26"/>
        <v>0.8421946871957241</v>
      </c>
      <c r="W36" s="444">
        <f t="shared" si="26"/>
        <v>0.21000000000000002</v>
      </c>
      <c r="X36" s="24">
        <f t="shared" si="26"/>
        <v>0.38277759792356542</v>
      </c>
    </row>
    <row r="37" spans="1:24" x14ac:dyDescent="0.3">
      <c r="A37" s="1" t="s">
        <v>375</v>
      </c>
      <c r="C37" s="67">
        <f t="shared" ref="C37:K37" si="27">IFERROR(QUARTILE(C27:C31,3),"")</f>
        <v>170000</v>
      </c>
      <c r="D37" s="67">
        <f t="shared" si="27"/>
        <v>196150</v>
      </c>
      <c r="E37" s="67">
        <f t="shared" si="27"/>
        <v>90373</v>
      </c>
      <c r="F37" s="443">
        <f t="shared" si="27"/>
        <v>0.2</v>
      </c>
      <c r="G37" s="29">
        <f t="shared" si="27"/>
        <v>0.14499999999999999</v>
      </c>
      <c r="H37" s="29">
        <f t="shared" si="27"/>
        <v>1.7000000000000001E-2</v>
      </c>
      <c r="I37" s="29">
        <f t="shared" si="27"/>
        <v>0.1</v>
      </c>
      <c r="J37" s="412">
        <f t="shared" si="27"/>
        <v>2.2380952380952381</v>
      </c>
      <c r="K37" s="62">
        <f t="shared" si="27"/>
        <v>18.849084083322111</v>
      </c>
      <c r="L37" s="15"/>
      <c r="M37" s="67">
        <f>IFERROR(QUARTILE(M27:M31,3),"")</f>
        <v>217000</v>
      </c>
      <c r="N37" s="62">
        <f>IFERROR(QUARTILE(N27:N31,3),"")</f>
        <v>2.4011596383875715</v>
      </c>
      <c r="O37" s="15"/>
      <c r="P37" s="24">
        <f t="shared" ref="P37:X37" si="28">IFERROR(QUARTILE(P27:P31,3),"")</f>
        <v>0.5</v>
      </c>
      <c r="Q37" s="67">
        <f t="shared" si="28"/>
        <v>38940</v>
      </c>
      <c r="R37" s="29">
        <f t="shared" si="28"/>
        <v>0.15883376849434291</v>
      </c>
      <c r="S37" s="67">
        <f t="shared" si="28"/>
        <v>0</v>
      </c>
      <c r="T37" s="29">
        <f t="shared" si="28"/>
        <v>0</v>
      </c>
      <c r="U37" s="67">
        <f t="shared" si="28"/>
        <v>170420</v>
      </c>
      <c r="V37" s="29">
        <f t="shared" si="28"/>
        <v>0.86251456413515515</v>
      </c>
      <c r="W37" s="444">
        <f t="shared" si="28"/>
        <v>0.21</v>
      </c>
      <c r="X37" s="24">
        <f t="shared" si="28"/>
        <v>0.45129188262268549</v>
      </c>
    </row>
    <row r="38" spans="1:24" ht="15" thickBot="1" x14ac:dyDescent="0.35">
      <c r="A38" s="169" t="s">
        <v>376</v>
      </c>
      <c r="B38" s="164"/>
      <c r="C38" s="227">
        <f t="shared" ref="C38:K38" si="29">IFERROR(MAX(C27:C31),"")</f>
        <v>238380</v>
      </c>
      <c r="D38" s="227">
        <f t="shared" si="29"/>
        <v>247000</v>
      </c>
      <c r="E38" s="227">
        <f t="shared" si="29"/>
        <v>92184</v>
      </c>
      <c r="F38" s="445">
        <f t="shared" si="29"/>
        <v>0.20200000000000001</v>
      </c>
      <c r="G38" s="230">
        <f t="shared" si="29"/>
        <v>0.16</v>
      </c>
      <c r="H38" s="230">
        <f t="shared" si="29"/>
        <v>2.9000000000000001E-2</v>
      </c>
      <c r="I38" s="230">
        <f t="shared" si="29"/>
        <v>0.11</v>
      </c>
      <c r="J38" s="446">
        <f t="shared" si="29"/>
        <v>2.7331171920817057</v>
      </c>
      <c r="K38" s="225">
        <f t="shared" si="29"/>
        <v>47.284657737664773</v>
      </c>
      <c r="L38" s="18"/>
      <c r="M38" s="227">
        <f>IFERROR(MAX(M27:M31),"")</f>
        <v>516000</v>
      </c>
      <c r="N38" s="225">
        <f>IFERROR(MAX(N27:N31),"")</f>
        <v>5.5975006508721687</v>
      </c>
      <c r="O38" s="18"/>
      <c r="P38" s="26">
        <f t="shared" ref="P38:X38" si="30">IFERROR(MAX(P27:P31),"")</f>
        <v>1.21</v>
      </c>
      <c r="Q38" s="227">
        <f t="shared" si="30"/>
        <v>44354</v>
      </c>
      <c r="R38" s="230">
        <f t="shared" si="30"/>
        <v>0.20113003573307214</v>
      </c>
      <c r="S38" s="227">
        <f t="shared" si="30"/>
        <v>5750</v>
      </c>
      <c r="T38" s="230">
        <f t="shared" si="30"/>
        <v>2.6074259491030455E-2</v>
      </c>
      <c r="U38" s="227">
        <f t="shared" si="30"/>
        <v>244290</v>
      </c>
      <c r="V38" s="230">
        <f t="shared" si="30"/>
        <v>0.8798009202742042</v>
      </c>
      <c r="W38" s="447">
        <f t="shared" si="30"/>
        <v>0.21</v>
      </c>
      <c r="X38" s="26">
        <f t="shared" si="30"/>
        <v>0.97631992779118137</v>
      </c>
    </row>
    <row r="39" spans="1:24" ht="15" thickTop="1" x14ac:dyDescent="0.3"/>
  </sheetData>
  <sheetProtection algorithmName="SHA-512" hashValue="aMgjIrFw2L2hBAAxqdonFWVqj3m9tG4zMDxVcwGnsFr7aco35c4mf/ujOZzOySd/y/UqrUEnYroiztV9o97loA==" saltValue="kVengil5GicpLbbBe5LQsA==" spinCount="100000" sheet="1" objects="1" scenarios="1"/>
  <pageMargins left="0.7" right="0.7" top="0.75" bottom="0.75" header="0.3" footer="0.3"/>
  <drawing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4DA8D1-FE90-4028-88B9-EB9BBFFEDAB2}">
  <sheetPr>
    <tabColor theme="3" tint="0.79998168889431442"/>
  </sheetPr>
  <dimension ref="A1:X47"/>
  <sheetViews>
    <sheetView showGridLines="0" zoomScale="85" zoomScaleNormal="85" workbookViewId="0">
      <pane ySplit="3" topLeftCell="A4" activePane="bottomLeft" state="frozen"/>
      <selection activeCell="X57" sqref="X57"/>
      <selection pane="bottomLeft" activeCell="AB42" sqref="AB42:AC42"/>
    </sheetView>
  </sheetViews>
  <sheetFormatPr defaultRowHeight="14.4" x14ac:dyDescent="0.3"/>
  <cols>
    <col min="1" max="1" width="24.44140625" customWidth="1"/>
    <col min="2" max="2" width="16.6640625" customWidth="1"/>
    <col min="3" max="24" width="11.109375" customWidth="1"/>
  </cols>
  <sheetData>
    <row r="1" spans="1:24" ht="30" customHeight="1" x14ac:dyDescent="0.3">
      <c r="A1" s="105" t="s">
        <v>912</v>
      </c>
    </row>
    <row r="2" spans="1:24" x14ac:dyDescent="0.3">
      <c r="A2" s="65" t="s">
        <v>438</v>
      </c>
    </row>
    <row r="3" spans="1:24" x14ac:dyDescent="0.3">
      <c r="A3" s="65" t="s">
        <v>439</v>
      </c>
    </row>
    <row r="4" spans="1:24" x14ac:dyDescent="0.3">
      <c r="A4" s="65"/>
    </row>
    <row r="5" spans="1:24" x14ac:dyDescent="0.3">
      <c r="A5" s="228" t="s">
        <v>747</v>
      </c>
      <c r="B5" s="228" t="s">
        <v>330</v>
      </c>
      <c r="C5" s="229" t="s">
        <v>320</v>
      </c>
      <c r="D5" s="229" t="s">
        <v>465</v>
      </c>
      <c r="E5" s="229" t="s">
        <v>342</v>
      </c>
      <c r="F5" s="229" t="s">
        <v>343</v>
      </c>
      <c r="G5" s="229" t="s">
        <v>69</v>
      </c>
      <c r="H5" s="229" t="s">
        <v>559</v>
      </c>
      <c r="I5" s="229" t="s">
        <v>345</v>
      </c>
      <c r="J5" s="229" t="s">
        <v>346</v>
      </c>
      <c r="K5" s="229" t="s">
        <v>346</v>
      </c>
      <c r="L5" s="229"/>
      <c r="M5" s="229" t="s">
        <v>473</v>
      </c>
      <c r="N5" s="229" t="s">
        <v>475</v>
      </c>
      <c r="O5" s="229"/>
      <c r="P5" s="229" t="s">
        <v>331</v>
      </c>
      <c r="Q5" s="229" t="s">
        <v>332</v>
      </c>
      <c r="R5" s="229" t="s">
        <v>333</v>
      </c>
      <c r="S5" s="229" t="s">
        <v>334</v>
      </c>
      <c r="T5" s="229" t="s">
        <v>335</v>
      </c>
      <c r="U5" s="229" t="s">
        <v>336</v>
      </c>
      <c r="V5" s="229" t="s">
        <v>337</v>
      </c>
      <c r="W5" s="229" t="s">
        <v>338</v>
      </c>
      <c r="X5" s="229" t="s">
        <v>339</v>
      </c>
    </row>
    <row r="6" spans="1:24" x14ac:dyDescent="0.3">
      <c r="A6" s="228"/>
      <c r="B6" s="228"/>
      <c r="C6" s="229" t="s">
        <v>348</v>
      </c>
      <c r="D6" s="229" t="s">
        <v>350</v>
      </c>
      <c r="E6" s="229" t="s">
        <v>0</v>
      </c>
      <c r="F6" s="229" t="s">
        <v>354</v>
      </c>
      <c r="G6" s="229" t="s">
        <v>354</v>
      </c>
      <c r="H6" s="229" t="s">
        <v>67</v>
      </c>
      <c r="I6" s="229" t="s">
        <v>321</v>
      </c>
      <c r="J6" s="229" t="s">
        <v>67</v>
      </c>
      <c r="K6" s="229" t="s">
        <v>69</v>
      </c>
      <c r="L6" s="229"/>
      <c r="M6" s="229" t="s">
        <v>474</v>
      </c>
      <c r="N6" s="229" t="s">
        <v>476</v>
      </c>
      <c r="O6" s="229"/>
      <c r="P6" s="229" t="s">
        <v>347</v>
      </c>
      <c r="Q6" s="229" t="s">
        <v>348</v>
      </c>
      <c r="R6" s="229"/>
      <c r="S6" s="229" t="s">
        <v>349</v>
      </c>
      <c r="T6" s="229"/>
      <c r="U6" s="229" t="s">
        <v>350</v>
      </c>
      <c r="V6" s="229"/>
      <c r="W6" s="229" t="s">
        <v>351</v>
      </c>
      <c r="X6" s="229" t="s">
        <v>347</v>
      </c>
    </row>
    <row r="7" spans="1:24" ht="3" customHeight="1" x14ac:dyDescent="0.3"/>
    <row r="8" spans="1:24" x14ac:dyDescent="0.3">
      <c r="A8" s="92" t="s">
        <v>890</v>
      </c>
      <c r="B8" s="92"/>
      <c r="C8" s="92"/>
      <c r="D8" s="92"/>
      <c r="E8" s="92"/>
      <c r="F8" s="92"/>
      <c r="G8" s="92"/>
      <c r="H8" s="92"/>
      <c r="I8" s="92"/>
      <c r="J8" s="92"/>
      <c r="K8" s="92"/>
      <c r="L8" s="92"/>
      <c r="M8" s="92"/>
      <c r="N8" s="92"/>
      <c r="O8" s="92"/>
      <c r="P8" s="92"/>
      <c r="Q8" s="92"/>
      <c r="R8" s="92"/>
      <c r="S8" s="92"/>
      <c r="T8" s="92"/>
      <c r="U8" s="92"/>
      <c r="V8" s="92"/>
      <c r="W8" s="92"/>
      <c r="X8" s="92"/>
    </row>
    <row r="9" spans="1:24" x14ac:dyDescent="0.3">
      <c r="A9" s="333" t="s">
        <v>921</v>
      </c>
      <c r="B9" s="333" t="s">
        <v>922</v>
      </c>
      <c r="C9" s="12">
        <v>50000</v>
      </c>
      <c r="D9" s="12">
        <v>49150</v>
      </c>
      <c r="E9" s="430">
        <v>510</v>
      </c>
      <c r="F9" s="7">
        <v>0.39</v>
      </c>
      <c r="G9" s="7">
        <v>-0.14000000000000001</v>
      </c>
      <c r="H9" s="540">
        <v>0.75</v>
      </c>
      <c r="I9" s="7">
        <v>0.76</v>
      </c>
      <c r="J9" s="61">
        <f>IFERROR(D9/E9,"NM")</f>
        <v>96.372549019607845</v>
      </c>
      <c r="K9" s="62" t="str">
        <f>IF(OR(G9&lt;=0,E9=0,D9=0),"NM",IF(D9/(E9*G9)&gt;100,"NM",D9/(E9*G9)))</f>
        <v>NM</v>
      </c>
      <c r="L9" s="15"/>
      <c r="P9" s="13">
        <v>2.5</v>
      </c>
      <c r="Q9" s="430">
        <v>262</v>
      </c>
      <c r="R9" s="8">
        <f>IFERROR(Q9/(Q9+S9+U9),"")</f>
        <v>5.2126855278341487E-3</v>
      </c>
      <c r="S9" s="430">
        <v>0</v>
      </c>
      <c r="T9" s="8">
        <f>IFERROR(S9/(Q9+S9+U9),"")</f>
        <v>0</v>
      </c>
      <c r="U9" s="430">
        <v>50000</v>
      </c>
      <c r="V9" s="8">
        <f>IFERROR(U9/(Q9+S9+U9),"")</f>
        <v>0.99478731447216584</v>
      </c>
      <c r="W9" s="541">
        <v>0.21</v>
      </c>
      <c r="X9" s="542">
        <f>IFERROR(P9/(1+(Q9/U9)*(1-W9)+(S9/U9)),"")</f>
        <v>2.4896936641080583</v>
      </c>
    </row>
    <row r="10" spans="1:24" x14ac:dyDescent="0.3">
      <c r="A10" t="s">
        <v>440</v>
      </c>
      <c r="B10" t="s">
        <v>441</v>
      </c>
      <c r="C10" s="39">
        <v>55470</v>
      </c>
      <c r="D10" s="39">
        <v>88930</v>
      </c>
      <c r="E10" s="44">
        <v>6230</v>
      </c>
      <c r="F10" s="16">
        <v>-0.28999999999999998</v>
      </c>
      <c r="G10" s="16">
        <v>-0.28999999999999998</v>
      </c>
      <c r="H10" s="35">
        <v>5</v>
      </c>
      <c r="I10" s="16">
        <v>1.1200000000000001</v>
      </c>
      <c r="J10" s="62">
        <f>IFERROR(D10/E10,"NM")</f>
        <v>14.274478330658106</v>
      </c>
      <c r="K10" s="62" t="str">
        <f>IF(OR(G10&lt;=0,E10=0,D10=0),"NM",IF(D10/(E10*G10)&gt;100,"NM",D10/(E10*G10)))</f>
        <v>NM</v>
      </c>
      <c r="L10" s="15"/>
      <c r="M10" s="63">
        <v>470</v>
      </c>
      <c r="N10" s="68">
        <f>IFERROR(E10/M10,"NM")</f>
        <v>13.25531914893617</v>
      </c>
      <c r="P10" s="19">
        <v>1.8</v>
      </c>
      <c r="Q10" s="44">
        <v>35150</v>
      </c>
      <c r="R10" s="29">
        <f>IFERROR(Q10/(Q10+S10+U10),"")</f>
        <v>0.38788346943279628</v>
      </c>
      <c r="S10" s="44">
        <v>0</v>
      </c>
      <c r="T10" s="29">
        <f>IFERROR(S10/(Q10+S10+U10),"")</f>
        <v>0</v>
      </c>
      <c r="U10" s="44">
        <v>55470</v>
      </c>
      <c r="V10" s="29">
        <f>IFERROR(U10/(Q10+S10+U10),"")</f>
        <v>0.61211653056720372</v>
      </c>
      <c r="W10" s="66">
        <v>0.21</v>
      </c>
      <c r="X10" s="24">
        <f>IFERROR(P10/(1+(Q10/U10)*(1-W10)+S10/U10),"")</f>
        <v>1.1995170504033592</v>
      </c>
    </row>
    <row r="11" spans="1:24" x14ac:dyDescent="0.3">
      <c r="A11" t="s">
        <v>442</v>
      </c>
      <c r="B11" t="s">
        <v>443</v>
      </c>
      <c r="C11" s="39">
        <v>56000</v>
      </c>
      <c r="D11" s="39">
        <v>58040</v>
      </c>
      <c r="E11" s="44">
        <v>878</v>
      </c>
      <c r="F11" s="16">
        <v>0.45</v>
      </c>
      <c r="G11" s="16">
        <v>0.45</v>
      </c>
      <c r="H11" s="35">
        <v>2.5</v>
      </c>
      <c r="I11" s="16">
        <v>6.84</v>
      </c>
      <c r="J11" s="62">
        <f>IFERROR(D11/E11,"NM")</f>
        <v>66.104783599088833</v>
      </c>
      <c r="K11" s="62" t="str">
        <f>IF(OR(G11&lt;=0,E11=0,D11=0),"NM",IF(D11/(E11*G11)&gt;100,"NM",D11/(E11*G11)))</f>
        <v>NM</v>
      </c>
      <c r="L11" s="15"/>
      <c r="M11" s="63">
        <v>300</v>
      </c>
      <c r="N11" s="68">
        <f>IFERROR(E11/M11,"NM")</f>
        <v>2.9266666666666667</v>
      </c>
      <c r="P11" s="19">
        <v>2.8</v>
      </c>
      <c r="Q11" s="44">
        <v>7800</v>
      </c>
      <c r="R11" s="29">
        <f>IFERROR(Q11/(Q11+S11+U11),"")</f>
        <v>0.12225705329153605</v>
      </c>
      <c r="S11" s="44">
        <v>0</v>
      </c>
      <c r="T11" s="29">
        <f>IFERROR(S11/(Q11+S11+U11),"")</f>
        <v>0</v>
      </c>
      <c r="U11" s="44">
        <v>56000</v>
      </c>
      <c r="V11" s="29">
        <f>IFERROR(U11/(Q11+S11+U11),"")</f>
        <v>0.87774294670846398</v>
      </c>
      <c r="W11" s="66">
        <v>0.25</v>
      </c>
      <c r="X11" s="24">
        <f>IFERROR(P11/(1+(Q11/U11)*(1-W11)+S11/U11),"")</f>
        <v>2.5351657235246563</v>
      </c>
    </row>
    <row r="12" spans="1:24" x14ac:dyDescent="0.3">
      <c r="C12" s="15"/>
      <c r="D12" s="15"/>
      <c r="E12" s="15"/>
      <c r="G12" s="15"/>
      <c r="H12" s="54"/>
      <c r="I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</row>
    <row r="13" spans="1:24" x14ac:dyDescent="0.3">
      <c r="A13" s="1" t="s">
        <v>371</v>
      </c>
      <c r="C13" s="67">
        <f>IFERROR(MIN(C9:C11),"")</f>
        <v>50000</v>
      </c>
      <c r="D13" s="67">
        <f>IFERROR(MIN(D9:D11),"")</f>
        <v>49150</v>
      </c>
      <c r="E13" s="64">
        <f>IFERROR(MIN(E9:E11),"")</f>
        <v>510</v>
      </c>
      <c r="F13" s="29">
        <f>IFERROR(MIN(F9:F11),"")</f>
        <v>-0.28999999999999998</v>
      </c>
      <c r="G13" s="29">
        <f>IFERROR(MIN(G9:G11),"")</f>
        <v>-0.28999999999999998</v>
      </c>
      <c r="H13" s="62">
        <f>IFERROR(MIN(H9:H11),"")</f>
        <v>0.75</v>
      </c>
      <c r="I13" s="29">
        <f>IFERROR(MIN(I9:I11),"")</f>
        <v>0.76</v>
      </c>
      <c r="J13" s="62">
        <f>IFERROR(MIN(J9:J11),"")</f>
        <v>14.274478330658106</v>
      </c>
      <c r="K13" s="62" t="str">
        <f>IFERROR(_xlfn.AGGREGATE(15,6,K9:K11,1),"NM")</f>
        <v>NM</v>
      </c>
      <c r="L13" s="15"/>
      <c r="M13" s="69">
        <f>IFERROR(MIN(M9:M11),"")</f>
        <v>300</v>
      </c>
      <c r="N13" s="68">
        <f>IFERROR(MIN(N9:N11),"")</f>
        <v>2.9266666666666667</v>
      </c>
      <c r="O13" s="15"/>
      <c r="P13" s="24">
        <f>IFERROR(MIN(P9:P11),"")</f>
        <v>1.8</v>
      </c>
      <c r="Q13" s="64">
        <f>IFERROR(MIN(Q9:Q11),"")</f>
        <v>262</v>
      </c>
      <c r="R13" s="29">
        <f>IFERROR(MIN(R9:R11),"")</f>
        <v>5.2126855278341487E-3</v>
      </c>
      <c r="S13" s="64">
        <f>IFERROR(MIN(S9:S11),"")</f>
        <v>0</v>
      </c>
      <c r="T13" s="29">
        <f>IFERROR(MIN(T9:T11),"")</f>
        <v>0</v>
      </c>
      <c r="U13" s="64">
        <f>IFERROR(MIN(U9:U11),"")</f>
        <v>50000</v>
      </c>
      <c r="V13" s="29">
        <f>IFERROR(MIN(V9:V11),"")</f>
        <v>0.61211653056720372</v>
      </c>
      <c r="W13" s="29">
        <f>IFERROR(MIN(W9:W11),"")</f>
        <v>0.21</v>
      </c>
      <c r="X13" s="24">
        <f>IFERROR(MIN(X9:X11),"")</f>
        <v>1.1995170504033592</v>
      </c>
    </row>
    <row r="14" spans="1:24" x14ac:dyDescent="0.3">
      <c r="A14" s="1" t="s">
        <v>372</v>
      </c>
      <c r="C14" s="67">
        <f>IFERROR(QUARTILE(C9:C11,1),"")</f>
        <v>52735</v>
      </c>
      <c r="D14" s="67">
        <f>IFERROR(QUARTILE(D9:D11,1),"")</f>
        <v>53595</v>
      </c>
      <c r="E14" s="64">
        <f>IFERROR(QUARTILE(E9:E11,1),"")</f>
        <v>694</v>
      </c>
      <c r="F14" s="29">
        <f>IFERROR(QUARTILE(F9:F11,1),"")</f>
        <v>4.9999999999999989E-2</v>
      </c>
      <c r="G14" s="29">
        <f>IFERROR(QUARTILE(G9:G11,1),"")</f>
        <v>-0.215</v>
      </c>
      <c r="H14" s="62">
        <f>IFERROR(QUARTILE(H9:H11,1),"")</f>
        <v>1.625</v>
      </c>
      <c r="I14" s="29">
        <f>IFERROR(QUARTILE(I9:I11,1),"")</f>
        <v>0.94000000000000006</v>
      </c>
      <c r="J14" s="62">
        <f>IFERROR(QUARTILE(J9:J11,1),"")</f>
        <v>40.189630964873473</v>
      </c>
      <c r="K14" s="62" t="str">
        <f>IFERROR(_xlfn.AGGREGATE(16,6,K9:K11,0.25),"NM")</f>
        <v>NM</v>
      </c>
      <c r="L14" s="15"/>
      <c r="M14" s="69">
        <f>IFERROR(QUARTILE(M9:M11,1),"")</f>
        <v>342.5</v>
      </c>
      <c r="N14" s="68">
        <f>IFERROR(QUARTILE(N9:N11,1),"")</f>
        <v>5.5088297872340428</v>
      </c>
      <c r="O14" s="15"/>
      <c r="P14" s="24">
        <f>IFERROR(QUARTILE(P9:P11,1),"")</f>
        <v>2.15</v>
      </c>
      <c r="Q14" s="64">
        <f>IFERROR(QUARTILE(Q9:Q11,1),"")</f>
        <v>4031</v>
      </c>
      <c r="R14" s="29">
        <f>IFERROR(QUARTILE(R9:R11,1),"")</f>
        <v>6.3734869409685105E-2</v>
      </c>
      <c r="S14" s="64">
        <f>IFERROR(QUARTILE(S9:S11,1),"")</f>
        <v>0</v>
      </c>
      <c r="T14" s="29">
        <f>IFERROR(QUARTILE(T9:T11,1),"")</f>
        <v>0</v>
      </c>
      <c r="U14" s="64">
        <f>IFERROR(QUARTILE(U9:U11,1),"")</f>
        <v>52735</v>
      </c>
      <c r="V14" s="29">
        <f>IFERROR(QUARTILE(V9:V11,1),"")</f>
        <v>0.74492973863783385</v>
      </c>
      <c r="W14" s="29">
        <f>IFERROR(QUARTILE(W9:W11,1),"")</f>
        <v>0.21</v>
      </c>
      <c r="X14" s="24">
        <f>IFERROR(QUARTILE(X9:X11,1),"")</f>
        <v>1.8446053572557086</v>
      </c>
    </row>
    <row r="15" spans="1:24" x14ac:dyDescent="0.3">
      <c r="A15" s="1" t="s">
        <v>373</v>
      </c>
      <c r="C15" s="67">
        <f>IFERROR(MEDIAN(C9:C11),"")</f>
        <v>55470</v>
      </c>
      <c r="D15" s="67">
        <f>IFERROR(MEDIAN(D9:D11),"")</f>
        <v>58040</v>
      </c>
      <c r="E15" s="64">
        <f>IFERROR(MEDIAN(E9:E11),"")</f>
        <v>878</v>
      </c>
      <c r="F15" s="29">
        <f>IFERROR(MEDIAN(F9:F11),"")</f>
        <v>0.39</v>
      </c>
      <c r="G15" s="29">
        <f>IFERROR(MEDIAN(G9:G11),"")</f>
        <v>-0.14000000000000001</v>
      </c>
      <c r="H15" s="62">
        <f>IFERROR(MEDIAN(H9:H11),"")</f>
        <v>2.5</v>
      </c>
      <c r="I15" s="29">
        <f>IFERROR(MEDIAN(I9:I11),"")</f>
        <v>1.1200000000000001</v>
      </c>
      <c r="J15" s="62">
        <f>IFERROR(MEDIAN(J9:J11),"")</f>
        <v>66.104783599088833</v>
      </c>
      <c r="K15" s="62" t="str">
        <f>IFERROR(_xlfn.AGGREGATE(16,6,K9:K11,0.5),"NM")</f>
        <v>NM</v>
      </c>
      <c r="L15" s="15"/>
      <c r="M15" s="69">
        <f>IFERROR(MEDIAN(M9:M11),"")</f>
        <v>385</v>
      </c>
      <c r="N15" s="68">
        <f>IFERROR(MEDIAN(N9:N11),"")</f>
        <v>8.090992907801418</v>
      </c>
      <c r="O15" s="15"/>
      <c r="P15" s="24">
        <f>IFERROR(MEDIAN(P9:P11),"")</f>
        <v>2.5</v>
      </c>
      <c r="Q15" s="64">
        <f>IFERROR(MEDIAN(Q9:Q11),"")</f>
        <v>7800</v>
      </c>
      <c r="R15" s="29">
        <f>IFERROR(MEDIAN(R9:R11),"")</f>
        <v>0.12225705329153605</v>
      </c>
      <c r="S15" s="64">
        <f>IFERROR(MEDIAN(S9:S11),"")</f>
        <v>0</v>
      </c>
      <c r="T15" s="29">
        <f>IFERROR(MEDIAN(T9:T11),"")</f>
        <v>0</v>
      </c>
      <c r="U15" s="64">
        <f>IFERROR(MEDIAN(U9:U11),"")</f>
        <v>55470</v>
      </c>
      <c r="V15" s="29">
        <f>IFERROR(MEDIAN(V9:V11),"")</f>
        <v>0.87774294670846398</v>
      </c>
      <c r="W15" s="29">
        <f>IFERROR(MEDIAN(W9:W11),"")</f>
        <v>0.21</v>
      </c>
      <c r="X15" s="24">
        <f>IFERROR(MEDIAN(X9:X11),"")</f>
        <v>2.4896936641080583</v>
      </c>
    </row>
    <row r="16" spans="1:24" x14ac:dyDescent="0.3">
      <c r="A16" s="1" t="s">
        <v>374</v>
      </c>
      <c r="C16" s="67">
        <f>IFERROR(AVERAGE(C9:C11),"")</f>
        <v>53823.333333333336</v>
      </c>
      <c r="D16" s="67">
        <f>IFERROR(AVERAGE(D9:D11),"")</f>
        <v>65373.333333333336</v>
      </c>
      <c r="E16" s="64">
        <f>IFERROR(AVERAGE(E9:E11),"")</f>
        <v>2539.3333333333335</v>
      </c>
      <c r="F16" s="29">
        <f>IFERROR(AVERAGE(F9:F11),"")</f>
        <v>0.18333333333333335</v>
      </c>
      <c r="G16" s="29">
        <f>IFERROR(AVERAGE(G9:G11),"")</f>
        <v>6.6666666666666723E-3</v>
      </c>
      <c r="H16" s="62">
        <f>IFERROR(AVERAGE(H9:H11),"")</f>
        <v>2.75</v>
      </c>
      <c r="I16" s="29">
        <f>IFERROR(AVERAGE(I9:I11),"")</f>
        <v>2.9066666666666667</v>
      </c>
      <c r="J16" s="62">
        <f>IFERROR(AVERAGE(J9:J11),"")</f>
        <v>58.917270316451585</v>
      </c>
      <c r="K16" s="62" t="str">
        <f>IFERROR(_xlfn.AGGREGATE(1,6,K9:K11),"NM")</f>
        <v>NM</v>
      </c>
      <c r="L16" s="15"/>
      <c r="M16" s="69">
        <f>IFERROR(AVERAGE(M9:M11),"")</f>
        <v>385</v>
      </c>
      <c r="N16" s="68">
        <f>IFERROR(AVERAGE(N9:N11),"")</f>
        <v>8.090992907801418</v>
      </c>
      <c r="O16" s="15"/>
      <c r="P16" s="24">
        <f>IFERROR(AVERAGE(P9:P11),"")</f>
        <v>2.3666666666666667</v>
      </c>
      <c r="Q16" s="64">
        <f>IFERROR(AVERAGE(Q9:Q11),"")</f>
        <v>14404</v>
      </c>
      <c r="R16" s="29">
        <f>IFERROR(AVERAGE(R9:R11),"")</f>
        <v>0.17178440275072215</v>
      </c>
      <c r="S16" s="64">
        <f>IFERROR(AVERAGE(S9:S11),"")</f>
        <v>0</v>
      </c>
      <c r="T16" s="29">
        <f>IFERROR(AVERAGE(T9:T11),"")</f>
        <v>0</v>
      </c>
      <c r="U16" s="64">
        <f>IFERROR(AVERAGE(U9:U11),"")</f>
        <v>53823.333333333336</v>
      </c>
      <c r="V16" s="29">
        <f>IFERROR(AVERAGE(V9:V11),"")</f>
        <v>0.82821559724927785</v>
      </c>
      <c r="W16" s="29">
        <f>IFERROR(AVERAGE(W9:W11),"")</f>
        <v>0.2233333333333333</v>
      </c>
      <c r="X16" s="24">
        <f>IFERROR(AVERAGE(X9:X11),"")</f>
        <v>2.0747921460120247</v>
      </c>
    </row>
    <row r="17" spans="1:24" x14ac:dyDescent="0.3">
      <c r="A17" s="1" t="s">
        <v>375</v>
      </c>
      <c r="C17" s="67">
        <f>IFERROR(QUARTILE(C9:C11,3),"")</f>
        <v>55735</v>
      </c>
      <c r="D17" s="67">
        <f>IFERROR(QUARTILE(D9:D11,3),"")</f>
        <v>73485</v>
      </c>
      <c r="E17" s="64">
        <f>IFERROR(QUARTILE(E9:E11,3),"")</f>
        <v>3554</v>
      </c>
      <c r="F17" s="29">
        <f>IFERROR(QUARTILE(F9:F11,3),"")</f>
        <v>0.42000000000000004</v>
      </c>
      <c r="G17" s="29">
        <f>IFERROR(QUARTILE(G9:G11,3),"")</f>
        <v>0.15500000000000003</v>
      </c>
      <c r="H17" s="62">
        <f>IFERROR(QUARTILE(H9:H11,3),"")</f>
        <v>3.75</v>
      </c>
      <c r="I17" s="29">
        <f>IFERROR(QUARTILE(I9:I11,3),"")</f>
        <v>3.98</v>
      </c>
      <c r="J17" s="62">
        <f>IFERROR(QUARTILE(J9:J11,3),"")</f>
        <v>81.238666309348332</v>
      </c>
      <c r="K17" s="62" t="str">
        <f>IFERROR(_xlfn.AGGREGATE(16,6,K9:K11,0.75),"NM")</f>
        <v>NM</v>
      </c>
      <c r="L17" s="15"/>
      <c r="M17" s="69">
        <f>IFERROR(QUARTILE(M9:M11,3),"")</f>
        <v>427.5</v>
      </c>
      <c r="N17" s="68">
        <f>IFERROR(QUARTILE(N9:N11,3),"")</f>
        <v>10.673156028368794</v>
      </c>
      <c r="O17" s="15"/>
      <c r="P17" s="24">
        <f>IFERROR(QUARTILE(P9:P11,3),"")</f>
        <v>2.65</v>
      </c>
      <c r="Q17" s="64">
        <f>IFERROR(QUARTILE(Q9:Q11,3),"")</f>
        <v>21475</v>
      </c>
      <c r="R17" s="29">
        <f>IFERROR(QUARTILE(R9:R11,3),"")</f>
        <v>0.25507026136216615</v>
      </c>
      <c r="S17" s="64">
        <f>IFERROR(QUARTILE(S9:S11,3),"")</f>
        <v>0</v>
      </c>
      <c r="T17" s="29">
        <f>IFERROR(QUARTILE(T9:T11,3),"")</f>
        <v>0</v>
      </c>
      <c r="U17" s="64">
        <f>IFERROR(QUARTILE(U9:U11,3),"")</f>
        <v>55735</v>
      </c>
      <c r="V17" s="29">
        <f>IFERROR(QUARTILE(V9:V11,3),"")</f>
        <v>0.93626513059031491</v>
      </c>
      <c r="W17" s="29">
        <f>IFERROR(QUARTILE(W9:W11,3),"")</f>
        <v>0.22999999999999998</v>
      </c>
      <c r="X17" s="24">
        <f>IFERROR(QUARTILE(X9:X11,3),"")</f>
        <v>2.5124296938163573</v>
      </c>
    </row>
    <row r="18" spans="1:24" ht="15" thickBot="1" x14ac:dyDescent="0.35">
      <c r="A18" s="169" t="s">
        <v>376</v>
      </c>
      <c r="B18" s="164"/>
      <c r="C18" s="227">
        <f>IFERROR(MAX(C9:C11),"")</f>
        <v>56000</v>
      </c>
      <c r="D18" s="227">
        <f>IFERROR(MAX(D9:D11),"")</f>
        <v>88930</v>
      </c>
      <c r="E18" s="226">
        <f>IFERROR(MAX(E9:E11),"")</f>
        <v>6230</v>
      </c>
      <c r="F18" s="230">
        <f>IFERROR(MAX(F9:F11),"")</f>
        <v>0.45</v>
      </c>
      <c r="G18" s="230">
        <f>IFERROR(MAX(G9:G11),"")</f>
        <v>0.45</v>
      </c>
      <c r="H18" s="225">
        <f>IFERROR(MAX(H9:H11),"")</f>
        <v>5</v>
      </c>
      <c r="I18" s="230">
        <f>IFERROR(MAX(I9:I11),"")</f>
        <v>6.84</v>
      </c>
      <c r="J18" s="225">
        <f>IFERROR(MAX(J9:J11),"")</f>
        <v>96.372549019607845</v>
      </c>
      <c r="K18" s="225" t="str">
        <f>IFERROR(_xlfn.AGGREGATE(14,6,K9:K11,1),"NM")</f>
        <v>NM</v>
      </c>
      <c r="L18" s="18"/>
      <c r="M18" s="231">
        <f>IFERROR(MAX(M9:M11),"")</f>
        <v>470</v>
      </c>
      <c r="N18" s="232">
        <f>IFERROR(MAX(N9:N11),"")</f>
        <v>13.25531914893617</v>
      </c>
      <c r="O18" s="18"/>
      <c r="P18" s="26">
        <f>IFERROR(MAX(P9:P11),"")</f>
        <v>2.8</v>
      </c>
      <c r="Q18" s="226">
        <f>IFERROR(MAX(Q9:Q11),"")</f>
        <v>35150</v>
      </c>
      <c r="R18" s="230">
        <f>IFERROR(MAX(R9:R11),"")</f>
        <v>0.38788346943279628</v>
      </c>
      <c r="S18" s="226">
        <f>IFERROR(MAX(S9:S11),"")</f>
        <v>0</v>
      </c>
      <c r="T18" s="230">
        <f>IFERROR(MAX(T9:T11),"")</f>
        <v>0</v>
      </c>
      <c r="U18" s="226">
        <f>IFERROR(MAX(U9:U11),"")</f>
        <v>56000</v>
      </c>
      <c r="V18" s="230">
        <f>IFERROR(MAX(V9:V11),"")</f>
        <v>0.99478731447216584</v>
      </c>
      <c r="W18" s="230">
        <f>IFERROR(MAX(W9:W11),"")</f>
        <v>0.25</v>
      </c>
      <c r="X18" s="26">
        <f>IFERROR(MAX(X9:X11),"")</f>
        <v>2.5351657235246563</v>
      </c>
    </row>
    <row r="19" spans="1:24" ht="15" thickTop="1" x14ac:dyDescent="0.3">
      <c r="C19" s="15"/>
      <c r="D19" s="15"/>
      <c r="E19" s="15"/>
      <c r="G19" s="15"/>
      <c r="H19" s="15"/>
      <c r="I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</row>
    <row r="20" spans="1:24" x14ac:dyDescent="0.3">
      <c r="A20" s="92" t="s">
        <v>891</v>
      </c>
      <c r="B20" s="92"/>
      <c r="C20" s="102" t="s">
        <v>466</v>
      </c>
      <c r="D20" s="102" t="s">
        <v>465</v>
      </c>
      <c r="E20" s="102"/>
      <c r="F20" s="92"/>
      <c r="G20" s="102"/>
      <c r="H20" s="102"/>
      <c r="I20" s="102"/>
      <c r="J20" s="92"/>
      <c r="K20" s="102"/>
      <c r="L20" s="102"/>
      <c r="M20" s="102"/>
      <c r="N20" s="102"/>
      <c r="O20" s="102"/>
      <c r="P20" s="102"/>
      <c r="Q20" s="102"/>
      <c r="R20" s="102"/>
      <c r="S20" s="102"/>
      <c r="T20" s="102"/>
      <c r="U20" s="102"/>
      <c r="V20" s="102"/>
      <c r="W20" s="102"/>
      <c r="X20" s="102"/>
    </row>
    <row r="21" spans="1:24" x14ac:dyDescent="0.3">
      <c r="A21" t="s">
        <v>444</v>
      </c>
      <c r="B21" t="s">
        <v>445</v>
      </c>
      <c r="C21" s="39">
        <v>898</v>
      </c>
      <c r="D21" s="39">
        <v>1070</v>
      </c>
      <c r="E21" s="44">
        <v>84</v>
      </c>
      <c r="F21" s="16">
        <v>0.45</v>
      </c>
      <c r="G21" s="16">
        <v>-0.25</v>
      </c>
      <c r="H21" s="35">
        <v>2</v>
      </c>
      <c r="I21" s="16">
        <v>0.79</v>
      </c>
      <c r="J21" s="62">
        <f>IFERROR(D21/E21,"NM")</f>
        <v>12.738095238095237</v>
      </c>
      <c r="K21" s="62" t="str">
        <f>IF(OR(G21&lt;=0,E21=0,D21=0),"NM",IF(D21/(E21*G21)&gt;100,"NM",D21/(E21*G21)))</f>
        <v>NM</v>
      </c>
      <c r="L21" s="15"/>
      <c r="M21" s="63">
        <v>54</v>
      </c>
      <c r="N21" s="34">
        <v>1.2</v>
      </c>
      <c r="P21" s="19">
        <v>1.5</v>
      </c>
      <c r="Q21" s="44">
        <v>230</v>
      </c>
      <c r="R21" s="29">
        <f>IFERROR(Q21/(Q21+S21+U21),"")</f>
        <v>0.20390070921985815</v>
      </c>
      <c r="S21" s="44">
        <v>0</v>
      </c>
      <c r="T21" s="29">
        <f>IFERROR(S21/(Q21+S21+U21),"")</f>
        <v>0</v>
      </c>
      <c r="U21" s="44">
        <v>898</v>
      </c>
      <c r="V21" s="29">
        <f>IFERROR(U21/(Q21+S21+U21),"")</f>
        <v>0.79609929078014185</v>
      </c>
      <c r="W21" s="66">
        <v>0.21</v>
      </c>
      <c r="X21" s="24">
        <f>IFERROR(P21/(1+(Q21/U21)*(1-W21)+S21/U21),"")</f>
        <v>1.2475687691025283</v>
      </c>
    </row>
    <row r="22" spans="1:24" x14ac:dyDescent="0.3">
      <c r="A22" t="s">
        <v>446</v>
      </c>
      <c r="B22" t="s">
        <v>447</v>
      </c>
      <c r="C22" s="39">
        <v>16000</v>
      </c>
      <c r="D22" s="39">
        <v>17750</v>
      </c>
      <c r="E22" s="44">
        <v>757</v>
      </c>
      <c r="F22" s="16">
        <v>0.5</v>
      </c>
      <c r="G22" s="16">
        <v>-0.33</v>
      </c>
      <c r="H22" s="35">
        <v>5</v>
      </c>
      <c r="I22" s="16">
        <v>1.07</v>
      </c>
      <c r="J22" s="62">
        <f>IFERROR(D22/E22,"NM")</f>
        <v>23.447820343461029</v>
      </c>
      <c r="K22" s="62" t="str">
        <f>IF(OR(G22&lt;=0,E22=0,D22=0),"NM",IF(D22/(E22*G22)&gt;100,"NM",D22/(E22*G22)))</f>
        <v>NM</v>
      </c>
      <c r="L22" s="15"/>
      <c r="M22" s="63">
        <v>480</v>
      </c>
      <c r="N22" s="34">
        <v>1.58</v>
      </c>
      <c r="P22" s="19">
        <v>4.18</v>
      </c>
      <c r="Q22" s="44">
        <v>3960</v>
      </c>
      <c r="R22" s="29">
        <f>IFERROR(Q22/(Q22+S22+U22),"")</f>
        <v>0.19839679358717435</v>
      </c>
      <c r="S22" s="44">
        <v>0</v>
      </c>
      <c r="T22" s="29">
        <f>IFERROR(S22/(Q22+S22+U22),"")</f>
        <v>0</v>
      </c>
      <c r="U22" s="44">
        <v>16000</v>
      </c>
      <c r="V22" s="29">
        <f>IFERROR(U22/(Q22+S22+U22),"")</f>
        <v>0.80160320641282568</v>
      </c>
      <c r="W22" s="66">
        <v>0.21</v>
      </c>
      <c r="X22" s="24">
        <f>IFERROR(P22/(1+(Q22/U22)*(1-W22)+S22/U22),"")</f>
        <v>3.4963718868279625</v>
      </c>
    </row>
    <row r="23" spans="1:24" x14ac:dyDescent="0.3">
      <c r="A23" t="s">
        <v>448</v>
      </c>
      <c r="B23" t="s">
        <v>449</v>
      </c>
      <c r="C23" s="39">
        <v>11320</v>
      </c>
      <c r="D23" s="39">
        <v>13235</v>
      </c>
      <c r="E23" s="44">
        <v>264</v>
      </c>
      <c r="F23" s="16">
        <v>0.5</v>
      </c>
      <c r="G23" s="16">
        <v>-0.48</v>
      </c>
      <c r="H23" s="35">
        <v>4</v>
      </c>
      <c r="I23" s="16">
        <v>0.52</v>
      </c>
      <c r="J23" s="62">
        <f>IFERROR(D23/E23,"NM")</f>
        <v>50.132575757575758</v>
      </c>
      <c r="K23" s="62" t="str">
        <f>IF(OR(G23&lt;=0,E23=0,D23=0),"NM",IF(D23/(E23*G23)&gt;100,"NM",D23/(E23*G23)))</f>
        <v>NM</v>
      </c>
      <c r="L23" s="15"/>
      <c r="M23" s="63">
        <v>300</v>
      </c>
      <c r="N23" s="34">
        <v>0.88</v>
      </c>
      <c r="P23" s="19">
        <v>7.34</v>
      </c>
      <c r="Q23" s="44">
        <v>2610</v>
      </c>
      <c r="R23" s="29">
        <f>IFERROR(Q23/(Q23+S23+U23),"")</f>
        <v>0.18736539842067479</v>
      </c>
      <c r="S23" s="44">
        <v>0</v>
      </c>
      <c r="T23" s="29">
        <f>IFERROR(S23/(Q23+S23+U23),"")</f>
        <v>0</v>
      </c>
      <c r="U23" s="44">
        <v>11320</v>
      </c>
      <c r="V23" s="29">
        <f>IFERROR(U23/(Q23+S23+U23),"")</f>
        <v>0.81263460157932521</v>
      </c>
      <c r="W23" s="66">
        <v>0.21</v>
      </c>
      <c r="X23" s="24">
        <f>IFERROR(P23/(1+(Q23/U23)*(1-W23)+S23/U23),"")</f>
        <v>6.2090435588369361</v>
      </c>
    </row>
    <row r="24" spans="1:24" x14ac:dyDescent="0.3">
      <c r="A24" t="s">
        <v>450</v>
      </c>
      <c r="B24" t="s">
        <v>451</v>
      </c>
      <c r="C24" s="39">
        <v>11000</v>
      </c>
      <c r="D24" s="39">
        <v>14930</v>
      </c>
      <c r="E24" s="44">
        <v>168</v>
      </c>
      <c r="F24" s="16">
        <v>0.55000000000000004</v>
      </c>
      <c r="G24" s="16">
        <v>-3.93</v>
      </c>
      <c r="H24" s="35">
        <v>5</v>
      </c>
      <c r="I24" s="16">
        <v>0.73</v>
      </c>
      <c r="J24" s="62">
        <f>IFERROR(D24/E24,"NM")</f>
        <v>88.86904761904762</v>
      </c>
      <c r="K24" s="62" t="str">
        <f>IF(OR(G24&lt;=0,E24=0,D24=0),"NM",IF(D24/(E24*G24)&gt;100,"NM",D24/(E24*G24)))</f>
        <v>NM</v>
      </c>
      <c r="L24" s="15"/>
      <c r="M24" s="63">
        <v>480</v>
      </c>
      <c r="N24" s="34">
        <v>0.35</v>
      </c>
      <c r="P24" s="19">
        <v>4.3</v>
      </c>
      <c r="Q24" s="44">
        <v>5200</v>
      </c>
      <c r="R24" s="29">
        <f>IFERROR(Q24/(Q24+S24+U24),"")</f>
        <v>0.32098765432098764</v>
      </c>
      <c r="S24" s="44">
        <v>0</v>
      </c>
      <c r="T24" s="29">
        <f>IFERROR(S24/(Q24+S24+U24),"")</f>
        <v>0</v>
      </c>
      <c r="U24" s="44">
        <v>11000</v>
      </c>
      <c r="V24" s="29">
        <f>IFERROR(U24/(Q24+S24+U24),"")</f>
        <v>0.67901234567901236</v>
      </c>
      <c r="W24" s="66">
        <v>0.21</v>
      </c>
      <c r="X24" s="24">
        <f>IFERROR(P24/(1+(Q24/U24)*(1-W24)+S24/U24),"")</f>
        <v>3.1307916335716173</v>
      </c>
    </row>
    <row r="25" spans="1:24" x14ac:dyDescent="0.3">
      <c r="A25" t="s">
        <v>452</v>
      </c>
      <c r="B25" t="s">
        <v>453</v>
      </c>
      <c r="C25" s="39">
        <v>10620</v>
      </c>
      <c r="D25" s="39">
        <v>10440</v>
      </c>
      <c r="E25" s="44">
        <v>224</v>
      </c>
      <c r="F25" s="16">
        <v>0.63700000000000001</v>
      </c>
      <c r="G25" s="16">
        <v>-3.67</v>
      </c>
      <c r="H25" s="35">
        <v>3</v>
      </c>
      <c r="I25" s="16">
        <v>0.65</v>
      </c>
      <c r="J25" s="62">
        <f>IFERROR(D25/E25,"NM")</f>
        <v>46.607142857142854</v>
      </c>
      <c r="K25" s="62" t="str">
        <f>IF(OR(G25&lt;=0,E25=0,D25=0),"NM",IF(D25/(E25*G25)&gt;100,"NM",D25/(E25*G25)))</f>
        <v>NM</v>
      </c>
      <c r="L25" s="15"/>
      <c r="M25" s="63">
        <v>495</v>
      </c>
      <c r="N25" s="34">
        <v>0.45</v>
      </c>
      <c r="P25" s="19">
        <v>2.89</v>
      </c>
      <c r="Q25" s="44">
        <v>500</v>
      </c>
      <c r="R25" s="29">
        <f>IFERROR(Q25/(Q25+S25+U25),"")</f>
        <v>4.4964028776978415E-2</v>
      </c>
      <c r="S25" s="44">
        <v>0</v>
      </c>
      <c r="T25" s="29">
        <f>IFERROR(S25/(Q25+S25+U25),"")</f>
        <v>0</v>
      </c>
      <c r="U25" s="44">
        <v>10620</v>
      </c>
      <c r="V25" s="29">
        <f>IFERROR(U25/(Q25+S25+U25),"")</f>
        <v>0.95503597122302153</v>
      </c>
      <c r="W25" s="66">
        <v>0.21</v>
      </c>
      <c r="X25" s="24">
        <f>IFERROR(P25/(1+(Q25/U25)*(1-W25)+S25/U25),"")</f>
        <v>2.7863640490240584</v>
      </c>
    </row>
    <row r="26" spans="1:24" x14ac:dyDescent="0.3">
      <c r="C26" s="15"/>
      <c r="D26" s="15"/>
      <c r="E26" s="15"/>
      <c r="G26" s="15"/>
      <c r="H26" s="54"/>
      <c r="I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</row>
    <row r="27" spans="1:24" x14ac:dyDescent="0.3">
      <c r="A27" s="1" t="s">
        <v>371</v>
      </c>
      <c r="C27" s="67">
        <f t="shared" ref="C27:J27" si="0">IFERROR(MIN(C21:C25),"")</f>
        <v>898</v>
      </c>
      <c r="D27" s="67">
        <f t="shared" si="0"/>
        <v>1070</v>
      </c>
      <c r="E27" s="335">
        <f t="shared" si="0"/>
        <v>84</v>
      </c>
      <c r="F27" s="29">
        <f t="shared" si="0"/>
        <v>0.45</v>
      </c>
      <c r="G27" s="335">
        <f t="shared" si="0"/>
        <v>-3.93</v>
      </c>
      <c r="H27" s="62">
        <f t="shared" si="0"/>
        <v>2</v>
      </c>
      <c r="I27" s="335">
        <f t="shared" si="0"/>
        <v>0.52</v>
      </c>
      <c r="J27" s="62">
        <f t="shared" si="0"/>
        <v>12.738095238095237</v>
      </c>
      <c r="K27" s="62" t="str">
        <f>IFERROR(_xlfn.AGGREGATE(15,6,K21:K25,1),"NM")</f>
        <v>NM</v>
      </c>
      <c r="L27" s="15"/>
      <c r="M27" s="69">
        <f>IFERROR(MIN(M21:M25),"")</f>
        <v>54</v>
      </c>
      <c r="N27" s="62">
        <f>IFERROR(MIN(N21:N25),"")</f>
        <v>0.35</v>
      </c>
      <c r="O27" s="15"/>
      <c r="P27" s="335">
        <f t="shared" ref="P27:X27" si="1">IFERROR(MIN(P21:P25),"")</f>
        <v>1.5</v>
      </c>
      <c r="Q27" s="335">
        <f t="shared" si="1"/>
        <v>230</v>
      </c>
      <c r="R27" s="29">
        <f t="shared" si="1"/>
        <v>4.4964028776978415E-2</v>
      </c>
      <c r="S27" s="335">
        <f t="shared" si="1"/>
        <v>0</v>
      </c>
      <c r="T27" s="335">
        <f t="shared" si="1"/>
        <v>0</v>
      </c>
      <c r="U27" s="335">
        <f t="shared" si="1"/>
        <v>898</v>
      </c>
      <c r="V27" s="29">
        <f t="shared" si="1"/>
        <v>0.67901234567901236</v>
      </c>
      <c r="W27" s="29">
        <f t="shared" si="1"/>
        <v>0.21</v>
      </c>
      <c r="X27" s="24">
        <f t="shared" si="1"/>
        <v>1.2475687691025283</v>
      </c>
    </row>
    <row r="28" spans="1:24" x14ac:dyDescent="0.3">
      <c r="A28" s="1" t="s">
        <v>372</v>
      </c>
      <c r="C28" s="67">
        <f t="shared" ref="C28:J28" si="2">IFERROR(QUARTILE(C21:C25,1),"")</f>
        <v>10620</v>
      </c>
      <c r="D28" s="67">
        <f t="shared" si="2"/>
        <v>10440</v>
      </c>
      <c r="E28" s="64">
        <f t="shared" si="2"/>
        <v>168</v>
      </c>
      <c r="F28" s="29">
        <f t="shared" si="2"/>
        <v>0.5</v>
      </c>
      <c r="G28" s="29">
        <f t="shared" si="2"/>
        <v>-3.67</v>
      </c>
      <c r="H28" s="62">
        <f t="shared" si="2"/>
        <v>3</v>
      </c>
      <c r="I28" s="29">
        <f t="shared" si="2"/>
        <v>0.65</v>
      </c>
      <c r="J28" s="62">
        <f t="shared" si="2"/>
        <v>23.447820343461029</v>
      </c>
      <c r="K28" s="62" t="str">
        <f>IFERROR(_xlfn.AGGREGATE(16,6,K21:K25,0.25),"NM")</f>
        <v>NM</v>
      </c>
      <c r="L28" s="15"/>
      <c r="M28" s="69">
        <f>IFERROR(QUARTILE(M21:M25,1),"")</f>
        <v>300</v>
      </c>
      <c r="N28" s="62">
        <f>IFERROR(QUARTILE(N21:N25,1),"")</f>
        <v>0.45</v>
      </c>
      <c r="O28" s="15"/>
      <c r="P28" s="24">
        <f t="shared" ref="P28:X28" si="3">IFERROR(QUARTILE(P21:P25,1),"")</f>
        <v>2.89</v>
      </c>
      <c r="Q28" s="64">
        <f t="shared" si="3"/>
        <v>500</v>
      </c>
      <c r="R28" s="29">
        <f t="shared" si="3"/>
        <v>0.18736539842067479</v>
      </c>
      <c r="S28" s="64">
        <f t="shared" si="3"/>
        <v>0</v>
      </c>
      <c r="T28" s="29">
        <f t="shared" si="3"/>
        <v>0</v>
      </c>
      <c r="U28" s="64">
        <f t="shared" si="3"/>
        <v>10620</v>
      </c>
      <c r="V28" s="29">
        <f t="shared" si="3"/>
        <v>0.79609929078014185</v>
      </c>
      <c r="W28" s="29">
        <f t="shared" si="3"/>
        <v>0.21</v>
      </c>
      <c r="X28" s="24">
        <f t="shared" si="3"/>
        <v>2.7863640490240584</v>
      </c>
    </row>
    <row r="29" spans="1:24" x14ac:dyDescent="0.3">
      <c r="A29" s="1" t="s">
        <v>373</v>
      </c>
      <c r="C29" s="67">
        <f t="shared" ref="C29:J29" si="4">IFERROR(MEDIAN(C21:C25),"")</f>
        <v>11000</v>
      </c>
      <c r="D29" s="67">
        <f t="shared" si="4"/>
        <v>13235</v>
      </c>
      <c r="E29" s="64">
        <f t="shared" si="4"/>
        <v>224</v>
      </c>
      <c r="F29" s="29">
        <f t="shared" si="4"/>
        <v>0.5</v>
      </c>
      <c r="G29" s="29">
        <f t="shared" si="4"/>
        <v>-0.48</v>
      </c>
      <c r="H29" s="62">
        <f t="shared" si="4"/>
        <v>4</v>
      </c>
      <c r="I29" s="29">
        <f t="shared" si="4"/>
        <v>0.73</v>
      </c>
      <c r="J29" s="62">
        <f t="shared" si="4"/>
        <v>46.607142857142854</v>
      </c>
      <c r="K29" s="62" t="str">
        <f>IFERROR(_xlfn.AGGREGATE(16,6,K21:K25,0.5),"NM")</f>
        <v>NM</v>
      </c>
      <c r="L29" s="15"/>
      <c r="M29" s="69">
        <f>IFERROR(MEDIAN(M21:M25),"")</f>
        <v>480</v>
      </c>
      <c r="N29" s="62">
        <f>IFERROR(MEDIAN(N21:N25),"")</f>
        <v>0.88</v>
      </c>
      <c r="O29" s="15"/>
      <c r="P29" s="24">
        <f t="shared" ref="P29:X29" si="5">IFERROR(MEDIAN(P21:P25),"")</f>
        <v>4.18</v>
      </c>
      <c r="Q29" s="64">
        <f t="shared" si="5"/>
        <v>2610</v>
      </c>
      <c r="R29" s="29">
        <f t="shared" si="5"/>
        <v>0.19839679358717435</v>
      </c>
      <c r="S29" s="64">
        <f t="shared" si="5"/>
        <v>0</v>
      </c>
      <c r="T29" s="29">
        <f t="shared" si="5"/>
        <v>0</v>
      </c>
      <c r="U29" s="64">
        <f t="shared" si="5"/>
        <v>11000</v>
      </c>
      <c r="V29" s="29">
        <f t="shared" si="5"/>
        <v>0.80160320641282568</v>
      </c>
      <c r="W29" s="29">
        <f t="shared" si="5"/>
        <v>0.21</v>
      </c>
      <c r="X29" s="24">
        <f t="shared" si="5"/>
        <v>3.1307916335716173</v>
      </c>
    </row>
    <row r="30" spans="1:24" x14ac:dyDescent="0.3">
      <c r="A30" s="1" t="s">
        <v>374</v>
      </c>
      <c r="C30" s="67">
        <f t="shared" ref="C30:J30" si="6">IFERROR(AVERAGE(C21:C25),"")</f>
        <v>9967.6</v>
      </c>
      <c r="D30" s="67">
        <f t="shared" si="6"/>
        <v>11485</v>
      </c>
      <c r="E30" s="64">
        <f t="shared" si="6"/>
        <v>299.39999999999998</v>
      </c>
      <c r="F30" s="29">
        <f t="shared" si="6"/>
        <v>0.52739999999999998</v>
      </c>
      <c r="G30" s="29">
        <f t="shared" si="6"/>
        <v>-1.732</v>
      </c>
      <c r="H30" s="62">
        <f t="shared" si="6"/>
        <v>3.8</v>
      </c>
      <c r="I30" s="29">
        <f t="shared" si="6"/>
        <v>0.752</v>
      </c>
      <c r="J30" s="62">
        <f t="shared" si="6"/>
        <v>44.358936363064501</v>
      </c>
      <c r="K30" s="62" t="str">
        <f>IFERROR(_xlfn.AGGREGATE(1,6,K21:K25),"NM")</f>
        <v>NM</v>
      </c>
      <c r="L30" s="15"/>
      <c r="M30" s="69">
        <f>IFERROR(AVERAGE(M21:M25),"")</f>
        <v>361.8</v>
      </c>
      <c r="N30" s="62">
        <f>IFERROR(AVERAGE(N21:N25),"")</f>
        <v>0.89200000000000002</v>
      </c>
      <c r="O30" s="15"/>
      <c r="P30" s="24">
        <f t="shared" ref="P30:X30" si="7">IFERROR(AVERAGE(P21:P25),"")</f>
        <v>4.0419999999999998</v>
      </c>
      <c r="Q30" s="64">
        <f t="shared" si="7"/>
        <v>2500</v>
      </c>
      <c r="R30" s="29">
        <f t="shared" si="7"/>
        <v>0.19112291686513466</v>
      </c>
      <c r="S30" s="64">
        <f t="shared" si="7"/>
        <v>0</v>
      </c>
      <c r="T30" s="29">
        <f t="shared" si="7"/>
        <v>0</v>
      </c>
      <c r="U30" s="64">
        <f t="shared" si="7"/>
        <v>9967.6</v>
      </c>
      <c r="V30" s="29">
        <f t="shared" si="7"/>
        <v>0.80887708313486528</v>
      </c>
      <c r="W30" s="29">
        <f t="shared" si="7"/>
        <v>0.21000000000000002</v>
      </c>
      <c r="X30" s="24">
        <f t="shared" si="7"/>
        <v>3.3740279794726207</v>
      </c>
    </row>
    <row r="31" spans="1:24" x14ac:dyDescent="0.3">
      <c r="A31" s="1" t="s">
        <v>375</v>
      </c>
      <c r="C31" s="67">
        <f t="shared" ref="C31:J31" si="8">IFERROR(QUARTILE(C21:C25,3),"")</f>
        <v>11320</v>
      </c>
      <c r="D31" s="67">
        <f t="shared" si="8"/>
        <v>14930</v>
      </c>
      <c r="E31" s="64">
        <f t="shared" si="8"/>
        <v>264</v>
      </c>
      <c r="F31" s="29">
        <f t="shared" si="8"/>
        <v>0.55000000000000004</v>
      </c>
      <c r="G31" s="29">
        <f t="shared" si="8"/>
        <v>-0.33</v>
      </c>
      <c r="H31" s="62">
        <f t="shared" si="8"/>
        <v>5</v>
      </c>
      <c r="I31" s="29">
        <f t="shared" si="8"/>
        <v>0.79</v>
      </c>
      <c r="J31" s="62">
        <f t="shared" si="8"/>
        <v>50.132575757575758</v>
      </c>
      <c r="K31" s="62" t="str">
        <f>IFERROR(_xlfn.AGGREGATE(16,6,K21:K25,0.75),"NM")</f>
        <v>NM</v>
      </c>
      <c r="L31" s="15"/>
      <c r="M31" s="69">
        <f>IFERROR(QUARTILE(M21:M25,3),"")</f>
        <v>480</v>
      </c>
      <c r="N31" s="62">
        <f>IFERROR(QUARTILE(N21:N25,3),"")</f>
        <v>1.2</v>
      </c>
      <c r="O31" s="15"/>
      <c r="P31" s="24">
        <f t="shared" ref="P31:X31" si="9">IFERROR(QUARTILE(P21:P25,3),"")</f>
        <v>4.3</v>
      </c>
      <c r="Q31" s="64">
        <f t="shared" si="9"/>
        <v>3960</v>
      </c>
      <c r="R31" s="29">
        <f t="shared" si="9"/>
        <v>0.20390070921985815</v>
      </c>
      <c r="S31" s="64">
        <f t="shared" si="9"/>
        <v>0</v>
      </c>
      <c r="T31" s="29">
        <f t="shared" si="9"/>
        <v>0</v>
      </c>
      <c r="U31" s="64">
        <f t="shared" si="9"/>
        <v>11320</v>
      </c>
      <c r="V31" s="29">
        <f t="shared" si="9"/>
        <v>0.81263460157932521</v>
      </c>
      <c r="W31" s="29">
        <f t="shared" si="9"/>
        <v>0.21</v>
      </c>
      <c r="X31" s="24">
        <f t="shared" si="9"/>
        <v>3.4963718868279625</v>
      </c>
    </row>
    <row r="32" spans="1:24" ht="15" thickBot="1" x14ac:dyDescent="0.35">
      <c r="A32" s="169" t="s">
        <v>376</v>
      </c>
      <c r="B32" s="164"/>
      <c r="C32" s="227">
        <f t="shared" ref="C32:J32" si="10">IFERROR(MAX(C21:C25),"")</f>
        <v>16000</v>
      </c>
      <c r="D32" s="227">
        <f t="shared" si="10"/>
        <v>17750</v>
      </c>
      <c r="E32" s="226">
        <f t="shared" si="10"/>
        <v>757</v>
      </c>
      <c r="F32" s="230">
        <f t="shared" si="10"/>
        <v>0.63700000000000001</v>
      </c>
      <c r="G32" s="230">
        <f t="shared" si="10"/>
        <v>-0.25</v>
      </c>
      <c r="H32" s="225">
        <f t="shared" si="10"/>
        <v>5</v>
      </c>
      <c r="I32" s="230">
        <f t="shared" si="10"/>
        <v>1.07</v>
      </c>
      <c r="J32" s="225">
        <f t="shared" si="10"/>
        <v>88.86904761904762</v>
      </c>
      <c r="K32" s="225" t="str">
        <f>IFERROR(_xlfn.AGGREGATE(14,6,K21:K25,1),"NM")</f>
        <v>NM</v>
      </c>
      <c r="L32" s="18"/>
      <c r="M32" s="231">
        <f>IFERROR(MAX(M21:M25),"")</f>
        <v>495</v>
      </c>
      <c r="N32" s="225">
        <f>IFERROR(MAX(N21:N25),"")</f>
        <v>1.58</v>
      </c>
      <c r="O32" s="18"/>
      <c r="P32" s="26">
        <f t="shared" ref="P32:X32" si="11">IFERROR(MAX(P21:P25),"")</f>
        <v>7.34</v>
      </c>
      <c r="Q32" s="226">
        <f t="shared" si="11"/>
        <v>5200</v>
      </c>
      <c r="R32" s="230">
        <f t="shared" si="11"/>
        <v>0.32098765432098764</v>
      </c>
      <c r="S32" s="226">
        <f t="shared" si="11"/>
        <v>0</v>
      </c>
      <c r="T32" s="230">
        <f t="shared" si="11"/>
        <v>0</v>
      </c>
      <c r="U32" s="226">
        <f t="shared" si="11"/>
        <v>16000</v>
      </c>
      <c r="V32" s="230">
        <f t="shared" si="11"/>
        <v>0.95503597122302153</v>
      </c>
      <c r="W32" s="230">
        <f t="shared" si="11"/>
        <v>0.21</v>
      </c>
      <c r="X32" s="26">
        <f t="shared" si="11"/>
        <v>6.2090435588369361</v>
      </c>
    </row>
    <row r="33" spans="1:24" ht="15" thickTop="1" x14ac:dyDescent="0.3">
      <c r="C33" s="15"/>
      <c r="D33" s="15"/>
      <c r="E33" s="15"/>
      <c r="G33" s="15"/>
      <c r="H33" s="15"/>
      <c r="I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</row>
    <row r="34" spans="1:24" x14ac:dyDescent="0.3">
      <c r="A34" s="92" t="s">
        <v>892</v>
      </c>
      <c r="B34" s="92"/>
      <c r="C34" s="102" t="s">
        <v>466</v>
      </c>
      <c r="D34" s="102" t="s">
        <v>465</v>
      </c>
      <c r="E34" s="102"/>
      <c r="F34" s="92"/>
      <c r="G34" s="102"/>
      <c r="H34" s="102"/>
      <c r="I34" s="102"/>
      <c r="J34" s="92"/>
      <c r="K34" s="102"/>
      <c r="L34" s="102"/>
      <c r="M34" s="102"/>
      <c r="N34" s="102"/>
      <c r="O34" s="102"/>
      <c r="P34" s="102"/>
      <c r="Q34" s="102"/>
      <c r="R34" s="102"/>
      <c r="S34" s="102"/>
      <c r="T34" s="102"/>
      <c r="U34" s="102"/>
      <c r="V34" s="102"/>
      <c r="W34" s="102"/>
      <c r="X34" s="102"/>
    </row>
    <row r="35" spans="1:24" x14ac:dyDescent="0.3">
      <c r="A35" t="s">
        <v>454</v>
      </c>
      <c r="B35" t="s">
        <v>455</v>
      </c>
      <c r="C35" s="39">
        <v>9550</v>
      </c>
      <c r="D35" s="39">
        <v>11700</v>
      </c>
      <c r="E35" s="44">
        <v>5900</v>
      </c>
      <c r="F35" s="16">
        <v>0.55000000000000004</v>
      </c>
      <c r="G35" s="16">
        <v>0.18770000000000001</v>
      </c>
      <c r="H35" s="16">
        <v>3.7999999999999999E-2</v>
      </c>
      <c r="I35" s="16">
        <v>0.12</v>
      </c>
      <c r="J35" s="62">
        <f>IFERROR(D35/E35,"NM")</f>
        <v>1.9830508474576272</v>
      </c>
      <c r="K35" s="62">
        <f>IF(OR(G35&lt;=0,E35=0,D35=0),"NM",IF(D35/(E35*G35)&gt;100,"NM",D35/(E35*G35)))</f>
        <v>10.565001851132802</v>
      </c>
      <c r="L35" s="15"/>
      <c r="M35" s="44">
        <v>453</v>
      </c>
      <c r="N35" s="34">
        <v>11.7</v>
      </c>
      <c r="P35" s="19">
        <v>1.05</v>
      </c>
      <c r="Q35" s="44">
        <v>3536</v>
      </c>
      <c r="R35" s="29">
        <f>IFERROR(Q35/(Q35+S35+U35),"")</f>
        <v>0.27021244077640227</v>
      </c>
      <c r="S35" s="44">
        <v>0</v>
      </c>
      <c r="T35" s="29">
        <f>IFERROR(S35/(Q35+S35+U35),"")</f>
        <v>0</v>
      </c>
      <c r="U35" s="44">
        <v>9550</v>
      </c>
      <c r="V35" s="29">
        <f>IFERROR(U35/(Q35+S35+U35),"")</f>
        <v>0.72978755922359773</v>
      </c>
      <c r="W35" s="66">
        <v>0.21</v>
      </c>
      <c r="X35" s="24">
        <f>IFERROR(P35/(1+(Q35/U35)*(1-W35)+S35/U35),"")</f>
        <v>0.81237483229958585</v>
      </c>
    </row>
    <row r="36" spans="1:24" x14ac:dyDescent="0.3">
      <c r="A36" t="s">
        <v>456</v>
      </c>
      <c r="B36" t="s">
        <v>457</v>
      </c>
      <c r="C36" s="39">
        <v>11580</v>
      </c>
      <c r="D36" s="39">
        <v>11480</v>
      </c>
      <c r="E36" s="44">
        <v>4370</v>
      </c>
      <c r="F36" s="16">
        <v>0.79</v>
      </c>
      <c r="G36" s="16">
        <v>0.29049999999999998</v>
      </c>
      <c r="H36" s="16">
        <v>0.03</v>
      </c>
      <c r="I36" s="16">
        <v>0.15</v>
      </c>
      <c r="J36" s="62">
        <f>IFERROR(D36/E36,"NM")</f>
        <v>2.6270022883295194</v>
      </c>
      <c r="K36" s="62">
        <f>IF(OR(G36&lt;=0,E36=0,D36=0),"NM",IF(D36/(E36*G36)&gt;100,"NM",D36/(E36*G36)))</f>
        <v>9.043037137106781</v>
      </c>
      <c r="L36" s="15"/>
      <c r="M36" s="44">
        <v>570</v>
      </c>
      <c r="N36" s="34">
        <v>5.3</v>
      </c>
      <c r="P36" s="19">
        <v>0.92</v>
      </c>
      <c r="Q36" s="44">
        <v>262</v>
      </c>
      <c r="R36" s="29">
        <f>IFERROR(Q36/(Q36+S36+U36),"")</f>
        <v>2.2124641107920961E-2</v>
      </c>
      <c r="S36" s="44">
        <v>0</v>
      </c>
      <c r="T36" s="29">
        <f>IFERROR(S36/(Q36+S36+U36),"")</f>
        <v>0</v>
      </c>
      <c r="U36" s="44">
        <v>11580</v>
      </c>
      <c r="V36" s="29">
        <f>IFERROR(U36/(Q36+S36+U36),"")</f>
        <v>0.97787535889207899</v>
      </c>
      <c r="W36" s="66">
        <v>0.21</v>
      </c>
      <c r="X36" s="24">
        <f>IFERROR(P36/(1+(Q36/U36)*(1-W36)+S36/U36),"")</f>
        <v>0.9038447507334364</v>
      </c>
    </row>
    <row r="37" spans="1:24" x14ac:dyDescent="0.3">
      <c r="A37" t="s">
        <v>458</v>
      </c>
      <c r="B37" t="s">
        <v>459</v>
      </c>
      <c r="C37" s="39">
        <v>35400</v>
      </c>
      <c r="D37" s="39">
        <v>32650</v>
      </c>
      <c r="E37" s="44">
        <v>2474</v>
      </c>
      <c r="F37" s="16">
        <v>0.91</v>
      </c>
      <c r="G37" s="16">
        <v>0.38</v>
      </c>
      <c r="H37" s="16">
        <v>2.5000000000000001E-2</v>
      </c>
      <c r="I37" s="16">
        <v>0.69</v>
      </c>
      <c r="J37" s="62">
        <f>IFERROR(D37/E37,"NM")</f>
        <v>13.197251414713016</v>
      </c>
      <c r="K37" s="62">
        <f>IF(OR(G37&lt;=0,E37=0,D37=0),"NM",IF(D37/(E37*G37)&gt;100,"NM",D37/(E37*G37)))</f>
        <v>34.72960898608688</v>
      </c>
      <c r="L37" s="15"/>
      <c r="M37" s="44">
        <v>97</v>
      </c>
      <c r="N37" s="34">
        <v>25.5</v>
      </c>
      <c r="P37" s="19">
        <v>0.8</v>
      </c>
      <c r="Q37" s="44">
        <v>17</v>
      </c>
      <c r="R37" s="29">
        <f>IFERROR(Q37/(Q37+S37+U37),"")</f>
        <v>4.7999548239545983E-4</v>
      </c>
      <c r="S37" s="44">
        <v>0</v>
      </c>
      <c r="T37" s="29">
        <f>IFERROR(S37/(Q37+S37+U37),"")</f>
        <v>0</v>
      </c>
      <c r="U37" s="44">
        <v>35400</v>
      </c>
      <c r="V37" s="29">
        <f>IFERROR(U37/(Q37+S37+U37),"")</f>
        <v>0.99952000451760459</v>
      </c>
      <c r="W37" s="66">
        <v>0.21</v>
      </c>
      <c r="X37" s="24">
        <f>IFERROR(P37/(1+(Q37/U37)*(1-W37)+S37/U37),"")</f>
        <v>0.79969661227393107</v>
      </c>
    </row>
    <row r="38" spans="1:24" x14ac:dyDescent="0.3">
      <c r="A38" t="s">
        <v>635</v>
      </c>
      <c r="B38" t="s">
        <v>636</v>
      </c>
      <c r="C38" s="39">
        <v>1449000</v>
      </c>
      <c r="D38" s="39">
        <v>1450000</v>
      </c>
      <c r="E38" s="44">
        <v>214963</v>
      </c>
      <c r="F38" s="16">
        <v>0.82</v>
      </c>
      <c r="G38" s="16">
        <v>0.50900000000000001</v>
      </c>
      <c r="H38" s="16">
        <v>0.2</v>
      </c>
      <c r="I38" s="16">
        <v>0.2</v>
      </c>
      <c r="J38" s="62">
        <f>IFERROR(D38/E38,"NM")</f>
        <v>6.7453468736480229</v>
      </c>
      <c r="K38" s="62">
        <f>IFERROR(IF(G38&lt;=0,"NM",D38/(E38*G38)),"NM")</f>
        <v>13.252154958051126</v>
      </c>
      <c r="L38" s="15"/>
      <c r="M38" s="44">
        <v>3430</v>
      </c>
      <c r="N38" s="34">
        <v>62.7</v>
      </c>
      <c r="P38" s="19">
        <v>1.24</v>
      </c>
      <c r="Q38" s="44">
        <v>83900</v>
      </c>
      <c r="R38" s="29">
        <f>IFERROR(Q38/(Q38+S38+U38),"")</f>
        <v>5.4732859286320046E-2</v>
      </c>
      <c r="S38" s="44">
        <v>0</v>
      </c>
      <c r="T38" s="29">
        <f>IFERROR(S38/(Q38+S38+U38),"")</f>
        <v>0</v>
      </c>
      <c r="U38" s="44">
        <v>1449000</v>
      </c>
      <c r="V38" s="29">
        <f>IFERROR(U38/(Q38+S38+U38),"")</f>
        <v>0.9452671407136799</v>
      </c>
      <c r="W38" s="66">
        <v>0.15</v>
      </c>
      <c r="X38" s="24">
        <f>IFERROR(P38/(1+(Q38/U38)*(1-W38)+S38/U38),"")</f>
        <v>1.1818340278166037</v>
      </c>
    </row>
    <row r="39" spans="1:24" x14ac:dyDescent="0.3">
      <c r="A39" t="s">
        <v>460</v>
      </c>
      <c r="B39" t="s">
        <v>461</v>
      </c>
      <c r="C39" s="39">
        <v>8360</v>
      </c>
      <c r="D39" s="39">
        <v>11370</v>
      </c>
      <c r="E39" s="44">
        <v>3520</v>
      </c>
      <c r="F39" s="16">
        <v>0.74</v>
      </c>
      <c r="G39" s="16">
        <v>0.38</v>
      </c>
      <c r="H39" s="16">
        <v>0.04</v>
      </c>
      <c r="I39" s="16">
        <v>0.02</v>
      </c>
      <c r="J39" s="62">
        <f>IFERROR(D39/E39,"NM")</f>
        <v>3.2301136363636362</v>
      </c>
      <c r="K39" s="62">
        <f>IF(OR(G39&lt;=0,E39=0,D39=0),"NM",IF(D39/(E39*G39)&gt;100,"NM",D39/(E39*G39)))</f>
        <v>8.500299043062201</v>
      </c>
      <c r="L39" s="15"/>
      <c r="M39" s="44">
        <v>65</v>
      </c>
      <c r="N39" s="34">
        <v>54.2</v>
      </c>
      <c r="P39" s="19">
        <v>1.36</v>
      </c>
      <c r="Q39" s="44">
        <v>4000</v>
      </c>
      <c r="R39" s="29">
        <f>IFERROR(Q39/(Q39+S39+U39),"")</f>
        <v>0.32362459546925565</v>
      </c>
      <c r="S39" s="44">
        <v>0</v>
      </c>
      <c r="T39" s="29">
        <f>IFERROR(S39/(Q39+S39+U39),"")</f>
        <v>0</v>
      </c>
      <c r="U39" s="44">
        <v>8360</v>
      </c>
      <c r="V39" s="29">
        <f>IFERROR(U39/(Q39+S39+U39),"")</f>
        <v>0.6763754045307443</v>
      </c>
      <c r="W39" s="66">
        <v>0.23</v>
      </c>
      <c r="X39" s="24">
        <f>IFERROR(P39/(1+(Q39/U39)*(1-W39)+S39/U39),"")</f>
        <v>0.99384615384615393</v>
      </c>
    </row>
    <row r="40" spans="1:24" x14ac:dyDescent="0.3">
      <c r="C40" s="15"/>
      <c r="D40" s="15"/>
      <c r="E40" s="15"/>
      <c r="G40" s="15"/>
      <c r="H40" s="15"/>
      <c r="I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</row>
    <row r="41" spans="1:24" x14ac:dyDescent="0.3">
      <c r="A41" s="1" t="s">
        <v>371</v>
      </c>
      <c r="C41" s="67">
        <f t="shared" ref="C41:K41" si="12">IFERROR(MIN(C35:C39),"")</f>
        <v>8360</v>
      </c>
      <c r="D41" s="67">
        <f t="shared" si="12"/>
        <v>11370</v>
      </c>
      <c r="E41" s="64">
        <f t="shared" si="12"/>
        <v>2474</v>
      </c>
      <c r="F41" s="29">
        <f t="shared" si="12"/>
        <v>0.55000000000000004</v>
      </c>
      <c r="G41" s="29">
        <f t="shared" si="12"/>
        <v>0.18770000000000001</v>
      </c>
      <c r="H41" s="29">
        <f t="shared" si="12"/>
        <v>2.5000000000000001E-2</v>
      </c>
      <c r="I41" s="29">
        <f t="shared" si="12"/>
        <v>0.02</v>
      </c>
      <c r="J41" s="62">
        <f t="shared" si="12"/>
        <v>1.9830508474576272</v>
      </c>
      <c r="K41" s="62">
        <f t="shared" si="12"/>
        <v>8.500299043062201</v>
      </c>
      <c r="L41" s="15"/>
      <c r="M41" s="69">
        <f>IFERROR(MIN(M35:M39),"")</f>
        <v>65</v>
      </c>
      <c r="N41" s="68">
        <f>IFERROR(MIN(N35:N39),"")</f>
        <v>5.3</v>
      </c>
      <c r="O41" s="15"/>
      <c r="P41" s="24">
        <f t="shared" ref="P41:X41" si="13">IFERROR(MIN(P35:P39),"")</f>
        <v>0.8</v>
      </c>
      <c r="Q41" s="64">
        <f t="shared" si="13"/>
        <v>17</v>
      </c>
      <c r="R41" s="29">
        <f t="shared" si="13"/>
        <v>4.7999548239545983E-4</v>
      </c>
      <c r="S41" s="64">
        <f t="shared" si="13"/>
        <v>0</v>
      </c>
      <c r="T41" s="29">
        <f t="shared" si="13"/>
        <v>0</v>
      </c>
      <c r="U41" s="64">
        <f t="shared" si="13"/>
        <v>8360</v>
      </c>
      <c r="V41" s="29">
        <f t="shared" si="13"/>
        <v>0.6763754045307443</v>
      </c>
      <c r="W41" s="29">
        <f t="shared" si="13"/>
        <v>0.15</v>
      </c>
      <c r="X41" s="24">
        <f t="shared" si="13"/>
        <v>0.79969661227393107</v>
      </c>
    </row>
    <row r="42" spans="1:24" x14ac:dyDescent="0.3">
      <c r="A42" s="1" t="s">
        <v>372</v>
      </c>
      <c r="C42" s="67">
        <f t="shared" ref="C42:K42" si="14">IFERROR(QUARTILE(C35:C39,1),"")</f>
        <v>9550</v>
      </c>
      <c r="D42" s="67">
        <f t="shared" si="14"/>
        <v>11480</v>
      </c>
      <c r="E42" s="64">
        <f t="shared" si="14"/>
        <v>3520</v>
      </c>
      <c r="F42" s="29">
        <f t="shared" si="14"/>
        <v>0.74</v>
      </c>
      <c r="G42" s="29">
        <f t="shared" si="14"/>
        <v>0.29049999999999998</v>
      </c>
      <c r="H42" s="29">
        <f t="shared" si="14"/>
        <v>0.03</v>
      </c>
      <c r="I42" s="29">
        <f t="shared" si="14"/>
        <v>0.12</v>
      </c>
      <c r="J42" s="62">
        <f t="shared" si="14"/>
        <v>2.6270022883295194</v>
      </c>
      <c r="K42" s="62">
        <f t="shared" si="14"/>
        <v>9.043037137106781</v>
      </c>
      <c r="L42" s="15"/>
      <c r="M42" s="69">
        <f>IFERROR(QUARTILE(M35:M39,1),"")</f>
        <v>97</v>
      </c>
      <c r="N42" s="68">
        <f>IFERROR(QUARTILE(N35:N39,1),"")</f>
        <v>11.7</v>
      </c>
      <c r="O42" s="15"/>
      <c r="P42" s="24">
        <f t="shared" ref="P42:X42" si="15">IFERROR(QUARTILE(P35:P39,1),"")</f>
        <v>0.92</v>
      </c>
      <c r="Q42" s="64">
        <f t="shared" si="15"/>
        <v>262</v>
      </c>
      <c r="R42" s="29">
        <f t="shared" si="15"/>
        <v>2.2124641107920961E-2</v>
      </c>
      <c r="S42" s="64">
        <f t="shared" si="15"/>
        <v>0</v>
      </c>
      <c r="T42" s="29">
        <f t="shared" si="15"/>
        <v>0</v>
      </c>
      <c r="U42" s="64">
        <f t="shared" si="15"/>
        <v>9550</v>
      </c>
      <c r="V42" s="29">
        <f t="shared" si="15"/>
        <v>0.72978755922359773</v>
      </c>
      <c r="W42" s="29">
        <f t="shared" si="15"/>
        <v>0.21</v>
      </c>
      <c r="X42" s="24">
        <f t="shared" si="15"/>
        <v>0.81237483229958585</v>
      </c>
    </row>
    <row r="43" spans="1:24" x14ac:dyDescent="0.3">
      <c r="A43" s="1" t="s">
        <v>373</v>
      </c>
      <c r="C43" s="67">
        <f t="shared" ref="C43:K43" si="16">IFERROR(MEDIAN(C35:C39),"")</f>
        <v>11580</v>
      </c>
      <c r="D43" s="67">
        <f t="shared" si="16"/>
        <v>11700</v>
      </c>
      <c r="E43" s="64">
        <f t="shared" si="16"/>
        <v>4370</v>
      </c>
      <c r="F43" s="29">
        <f t="shared" si="16"/>
        <v>0.79</v>
      </c>
      <c r="G43" s="29">
        <f t="shared" si="16"/>
        <v>0.38</v>
      </c>
      <c r="H43" s="29">
        <f t="shared" si="16"/>
        <v>3.7999999999999999E-2</v>
      </c>
      <c r="I43" s="29">
        <f t="shared" si="16"/>
        <v>0.15</v>
      </c>
      <c r="J43" s="62">
        <f t="shared" si="16"/>
        <v>3.2301136363636362</v>
      </c>
      <c r="K43" s="62">
        <f t="shared" si="16"/>
        <v>10.565001851132802</v>
      </c>
      <c r="L43" s="15"/>
      <c r="M43" s="69">
        <f>IFERROR(MEDIAN(M35:M39),"")</f>
        <v>453</v>
      </c>
      <c r="N43" s="68">
        <f>IFERROR(MEDIAN(N35:N39),"")</f>
        <v>25.5</v>
      </c>
      <c r="O43" s="15"/>
      <c r="P43" s="24">
        <f t="shared" ref="P43:X43" si="17">IFERROR(MEDIAN(P35:P39),"")</f>
        <v>1.05</v>
      </c>
      <c r="Q43" s="64">
        <f t="shared" si="17"/>
        <v>3536</v>
      </c>
      <c r="R43" s="29">
        <f t="shared" si="17"/>
        <v>5.4732859286320046E-2</v>
      </c>
      <c r="S43" s="64">
        <f t="shared" si="17"/>
        <v>0</v>
      </c>
      <c r="T43" s="29">
        <f t="shared" si="17"/>
        <v>0</v>
      </c>
      <c r="U43" s="64">
        <f t="shared" si="17"/>
        <v>11580</v>
      </c>
      <c r="V43" s="29">
        <f t="shared" si="17"/>
        <v>0.9452671407136799</v>
      </c>
      <c r="W43" s="29">
        <f t="shared" si="17"/>
        <v>0.21</v>
      </c>
      <c r="X43" s="24">
        <f t="shared" si="17"/>
        <v>0.9038447507334364</v>
      </c>
    </row>
    <row r="44" spans="1:24" x14ac:dyDescent="0.3">
      <c r="A44" s="1" t="s">
        <v>374</v>
      </c>
      <c r="C44" s="67">
        <f t="shared" ref="C44:K44" si="18">IFERROR(AVERAGE(C35:C39),"")</f>
        <v>302778</v>
      </c>
      <c r="D44" s="67">
        <f t="shared" si="18"/>
        <v>303440</v>
      </c>
      <c r="E44" s="64">
        <f t="shared" si="18"/>
        <v>46245.4</v>
      </c>
      <c r="F44" s="29">
        <f t="shared" si="18"/>
        <v>0.7619999999999999</v>
      </c>
      <c r="G44" s="29">
        <f t="shared" si="18"/>
        <v>0.34943999999999997</v>
      </c>
      <c r="H44" s="29">
        <f t="shared" si="18"/>
        <v>6.6600000000000006E-2</v>
      </c>
      <c r="I44" s="29">
        <f t="shared" si="18"/>
        <v>0.23599999999999999</v>
      </c>
      <c r="J44" s="62">
        <f t="shared" si="18"/>
        <v>5.5565530121023645</v>
      </c>
      <c r="K44" s="62">
        <f t="shared" si="18"/>
        <v>15.218020395087958</v>
      </c>
      <c r="L44" s="15"/>
      <c r="M44" s="69">
        <f>IFERROR(AVERAGE(M35:M39),"")</f>
        <v>923</v>
      </c>
      <c r="N44" s="68">
        <f>IFERROR(AVERAGE(N35:N39),"")</f>
        <v>31.880000000000003</v>
      </c>
      <c r="O44" s="15"/>
      <c r="P44" s="24">
        <f t="shared" ref="P44:X44" si="19">IFERROR(AVERAGE(P35:P39),"")</f>
        <v>1.0740000000000003</v>
      </c>
      <c r="Q44" s="64">
        <f t="shared" si="19"/>
        <v>18343</v>
      </c>
      <c r="R44" s="29">
        <f t="shared" si="19"/>
        <v>0.13423490642445887</v>
      </c>
      <c r="S44" s="64">
        <f t="shared" si="19"/>
        <v>0</v>
      </c>
      <c r="T44" s="29">
        <f t="shared" si="19"/>
        <v>0</v>
      </c>
      <c r="U44" s="64">
        <f t="shared" si="19"/>
        <v>302778</v>
      </c>
      <c r="V44" s="29">
        <f t="shared" si="19"/>
        <v>0.8657650935755411</v>
      </c>
      <c r="W44" s="29">
        <f t="shared" si="19"/>
        <v>0.20200000000000001</v>
      </c>
      <c r="X44" s="24">
        <f t="shared" si="19"/>
        <v>0.93831927539394222</v>
      </c>
    </row>
    <row r="45" spans="1:24" x14ac:dyDescent="0.3">
      <c r="A45" s="1" t="s">
        <v>375</v>
      </c>
      <c r="C45" s="67">
        <f t="shared" ref="C45:K45" si="20">IFERROR(QUARTILE(C35:C39,3),"")</f>
        <v>35400</v>
      </c>
      <c r="D45" s="67">
        <f t="shared" si="20"/>
        <v>32650</v>
      </c>
      <c r="E45" s="64">
        <f t="shared" si="20"/>
        <v>5900</v>
      </c>
      <c r="F45" s="29">
        <f t="shared" si="20"/>
        <v>0.82</v>
      </c>
      <c r="G45" s="29">
        <f t="shared" si="20"/>
        <v>0.38</v>
      </c>
      <c r="H45" s="29">
        <f t="shared" si="20"/>
        <v>0.04</v>
      </c>
      <c r="I45" s="29">
        <f t="shared" si="20"/>
        <v>0.2</v>
      </c>
      <c r="J45" s="62">
        <f t="shared" si="20"/>
        <v>6.7453468736480229</v>
      </c>
      <c r="K45" s="62">
        <f t="shared" si="20"/>
        <v>13.252154958051126</v>
      </c>
      <c r="L45" s="15"/>
      <c r="M45" s="69">
        <f>IFERROR(QUARTILE(M35:M39,3),"")</f>
        <v>570</v>
      </c>
      <c r="N45" s="68">
        <f>IFERROR(QUARTILE(N35:N39,3),"")</f>
        <v>54.2</v>
      </c>
      <c r="O45" s="15"/>
      <c r="P45" s="24">
        <f t="shared" ref="P45:X45" si="21">IFERROR(QUARTILE(P35:P39,3),"")</f>
        <v>1.24</v>
      </c>
      <c r="Q45" s="64">
        <f t="shared" si="21"/>
        <v>4000</v>
      </c>
      <c r="R45" s="29">
        <f t="shared" si="21"/>
        <v>0.27021244077640227</v>
      </c>
      <c r="S45" s="64">
        <f t="shared" si="21"/>
        <v>0</v>
      </c>
      <c r="T45" s="29">
        <f t="shared" si="21"/>
        <v>0</v>
      </c>
      <c r="U45" s="64">
        <f t="shared" si="21"/>
        <v>35400</v>
      </c>
      <c r="V45" s="29">
        <f t="shared" si="21"/>
        <v>0.97787535889207899</v>
      </c>
      <c r="W45" s="29">
        <f t="shared" si="21"/>
        <v>0.21</v>
      </c>
      <c r="X45" s="24">
        <f t="shared" si="21"/>
        <v>0.99384615384615393</v>
      </c>
    </row>
    <row r="46" spans="1:24" ht="15" thickBot="1" x14ac:dyDescent="0.35">
      <c r="A46" s="169" t="s">
        <v>376</v>
      </c>
      <c r="B46" s="164"/>
      <c r="C46" s="227">
        <f t="shared" ref="C46:K46" si="22">IFERROR(MAX(C35:C39),"")</f>
        <v>1449000</v>
      </c>
      <c r="D46" s="227">
        <f t="shared" si="22"/>
        <v>1450000</v>
      </c>
      <c r="E46" s="226">
        <f t="shared" si="22"/>
        <v>214963</v>
      </c>
      <c r="F46" s="230">
        <f t="shared" si="22"/>
        <v>0.91</v>
      </c>
      <c r="G46" s="230">
        <f t="shared" si="22"/>
        <v>0.50900000000000001</v>
      </c>
      <c r="H46" s="230">
        <f t="shared" si="22"/>
        <v>0.2</v>
      </c>
      <c r="I46" s="230">
        <f t="shared" si="22"/>
        <v>0.69</v>
      </c>
      <c r="J46" s="225">
        <f t="shared" si="22"/>
        <v>13.197251414713016</v>
      </c>
      <c r="K46" s="225">
        <f t="shared" si="22"/>
        <v>34.72960898608688</v>
      </c>
      <c r="L46" s="18"/>
      <c r="M46" s="231">
        <f>IFERROR(MAX(M35:M39),"")</f>
        <v>3430</v>
      </c>
      <c r="N46" s="232">
        <f>IFERROR(MAX(N35:N39),"")</f>
        <v>62.7</v>
      </c>
      <c r="O46" s="18"/>
      <c r="P46" s="26">
        <f t="shared" ref="P46:X46" si="23">IFERROR(MAX(P35:P39),"")</f>
        <v>1.36</v>
      </c>
      <c r="Q46" s="226">
        <f t="shared" si="23"/>
        <v>83900</v>
      </c>
      <c r="R46" s="230">
        <f t="shared" si="23"/>
        <v>0.32362459546925565</v>
      </c>
      <c r="S46" s="226">
        <f t="shared" si="23"/>
        <v>0</v>
      </c>
      <c r="T46" s="230">
        <f t="shared" si="23"/>
        <v>0</v>
      </c>
      <c r="U46" s="226">
        <f t="shared" si="23"/>
        <v>1449000</v>
      </c>
      <c r="V46" s="230">
        <f t="shared" si="23"/>
        <v>0.99952000451760459</v>
      </c>
      <c r="W46" s="230">
        <f t="shared" si="23"/>
        <v>0.23</v>
      </c>
      <c r="X46" s="26">
        <f t="shared" si="23"/>
        <v>1.1818340278166037</v>
      </c>
    </row>
    <row r="47" spans="1:24" ht="15" thickTop="1" x14ac:dyDescent="0.3"/>
  </sheetData>
  <sheetProtection algorithmName="SHA-512" hashValue="95a2T0oo4shqmyYx/Uy1GiHhxwVfl9+qIUeykKlNa4lV+j061SMNOT03cZA6rnEcwyjNOEHyKyQ67NQ2WIuEEA==" saltValue="F+DbuvTTfhVHUYJt+iYQQA==" spinCount="100000" sheet="1" objects="1" scenarios="1"/>
  <pageMargins left="0.7" right="0.7" top="0.75" bottom="0.75" header="0.3" footer="0.3"/>
  <drawing r:id="rId1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C43739-0E4F-4FFA-91FD-F4A63F15D4F6}">
  <sheetPr>
    <tabColor theme="1" tint="0.249977111117893"/>
  </sheetPr>
  <dimension ref="A1:J54"/>
  <sheetViews>
    <sheetView showGridLines="0" zoomScaleNormal="100" workbookViewId="0">
      <pane ySplit="2" topLeftCell="A3" activePane="bottomLeft" state="frozen"/>
      <selection activeCell="D14" sqref="D14"/>
      <selection pane="bottomLeft" activeCell="K32" sqref="K32"/>
    </sheetView>
  </sheetViews>
  <sheetFormatPr defaultRowHeight="14.4" x14ac:dyDescent="0.3"/>
  <cols>
    <col min="1" max="1" width="44.44140625" customWidth="1"/>
    <col min="2" max="10" width="22.21875" customWidth="1"/>
  </cols>
  <sheetData>
    <row r="1" spans="1:10" ht="30" customHeight="1" x14ac:dyDescent="0.3">
      <c r="A1" s="105" t="s">
        <v>893</v>
      </c>
    </row>
    <row r="2" spans="1:10" x14ac:dyDescent="0.3">
      <c r="A2" s="125" t="s">
        <v>237</v>
      </c>
    </row>
    <row r="4" spans="1:10" x14ac:dyDescent="0.3">
      <c r="A4" s="92" t="s">
        <v>238</v>
      </c>
      <c r="B4" s="91"/>
      <c r="C4" s="91"/>
      <c r="D4" s="91"/>
      <c r="E4" s="91"/>
      <c r="F4" s="91"/>
      <c r="G4" s="91"/>
      <c r="H4" s="91"/>
      <c r="I4" s="91"/>
      <c r="J4" s="91"/>
    </row>
    <row r="5" spans="1:10" x14ac:dyDescent="0.3">
      <c r="A5" t="s">
        <v>239</v>
      </c>
      <c r="B5" s="10">
        <f>SOTP!D23</f>
        <v>698346.19273144635</v>
      </c>
    </row>
    <row r="6" spans="1:10" x14ac:dyDescent="0.3">
      <c r="A6" t="s">
        <v>240</v>
      </c>
      <c r="B6" s="10">
        <f>SOTP!D12</f>
        <v>615495.19273144635</v>
      </c>
    </row>
    <row r="7" spans="1:10" x14ac:dyDescent="0.3">
      <c r="A7" t="s">
        <v>241</v>
      </c>
      <c r="B7" s="11">
        <f>Dashboard!B5</f>
        <v>154</v>
      </c>
    </row>
    <row r="8" spans="1:10" x14ac:dyDescent="0.3">
      <c r="A8" t="s">
        <v>242</v>
      </c>
      <c r="B8" s="48">
        <f>SOTP!B29</f>
        <v>13041</v>
      </c>
    </row>
    <row r="9" spans="1:10" x14ac:dyDescent="0.3">
      <c r="A9" t="s">
        <v>243</v>
      </c>
      <c r="B9" s="448">
        <f>B7*B8</f>
        <v>2008314</v>
      </c>
    </row>
    <row r="10" spans="1:10" x14ac:dyDescent="0.3">
      <c r="A10" t="s">
        <v>909</v>
      </c>
      <c r="B10" s="10">
        <f>SOTP!B18+SOTP!B19+SOTP!B20+SOTP!B21+SOTP!B22</f>
        <v>82851</v>
      </c>
    </row>
    <row r="11" spans="1:10" ht="15" thickBot="1" x14ac:dyDescent="0.35">
      <c r="A11" s="164" t="s">
        <v>244</v>
      </c>
      <c r="B11" s="449">
        <f>B9-B10</f>
        <v>1925463</v>
      </c>
      <c r="C11" s="164"/>
      <c r="D11" s="164"/>
      <c r="E11" s="164"/>
      <c r="F11" s="164"/>
      <c r="G11" s="164"/>
      <c r="H11" s="164"/>
      <c r="I11" s="164"/>
      <c r="J11" s="164"/>
    </row>
    <row r="12" spans="1:10" ht="15" thickTop="1" x14ac:dyDescent="0.3"/>
    <row r="13" spans="1:10" x14ac:dyDescent="0.3">
      <c r="A13" s="92" t="s">
        <v>245</v>
      </c>
      <c r="B13" s="91"/>
      <c r="C13" s="91"/>
      <c r="D13" s="91"/>
      <c r="E13" s="91"/>
      <c r="F13" s="91"/>
      <c r="G13" s="91"/>
      <c r="H13" s="91"/>
      <c r="I13" s="91"/>
      <c r="J13" s="91"/>
    </row>
    <row r="14" spans="1:10" x14ac:dyDescent="0.3">
      <c r="A14" t="s">
        <v>1</v>
      </c>
      <c r="B14" s="60">
        <f>Actuals!D7</f>
        <v>18674</v>
      </c>
    </row>
    <row r="15" spans="1:10" x14ac:dyDescent="0.3">
      <c r="A15" t="s">
        <v>246</v>
      </c>
      <c r="B15" s="60">
        <f>Actuals!D8</f>
        <v>11387</v>
      </c>
    </row>
    <row r="16" spans="1:10" x14ac:dyDescent="0.3">
      <c r="A16" t="s">
        <v>247</v>
      </c>
      <c r="B16" s="60">
        <f>Actuals!D9</f>
        <v>4086</v>
      </c>
    </row>
    <row r="17" spans="1:10" x14ac:dyDescent="0.3">
      <c r="A17" t="s">
        <v>248</v>
      </c>
      <c r="B17" s="60">
        <f>Actuals!D10</f>
        <v>3201</v>
      </c>
    </row>
    <row r="18" spans="1:10" x14ac:dyDescent="0.3">
      <c r="A18" t="s">
        <v>249</v>
      </c>
      <c r="B18" s="60">
        <f>Actuals!D11+Actuals!D12+Actuals!D13</f>
        <v>6584</v>
      </c>
    </row>
    <row r="19" spans="1:10" x14ac:dyDescent="0.3">
      <c r="A19" t="s">
        <v>250</v>
      </c>
      <c r="B19" s="60">
        <f>Actuals!D11</f>
        <v>7168</v>
      </c>
    </row>
    <row r="20" spans="1:10" ht="15" thickBot="1" x14ac:dyDescent="0.35">
      <c r="A20" s="164" t="s">
        <v>143</v>
      </c>
      <c r="B20" s="233">
        <f>Actuals!D22</f>
        <v>-4937</v>
      </c>
      <c r="C20" s="164"/>
      <c r="D20" s="164"/>
      <c r="E20" s="164"/>
      <c r="F20" s="164"/>
      <c r="G20" s="164"/>
      <c r="H20" s="164"/>
      <c r="I20" s="164"/>
      <c r="J20" s="164"/>
    </row>
    <row r="21" spans="1:10" ht="15" thickTop="1" x14ac:dyDescent="0.3"/>
    <row r="22" spans="1:10" x14ac:dyDescent="0.3">
      <c r="A22" s="92" t="s">
        <v>894</v>
      </c>
      <c r="B22" s="91"/>
      <c r="C22" s="91"/>
      <c r="D22" s="91"/>
      <c r="E22" s="91"/>
      <c r="F22" s="91"/>
      <c r="G22" s="91"/>
      <c r="H22" s="91"/>
      <c r="I22" s="91"/>
      <c r="J22" s="91"/>
    </row>
    <row r="23" spans="1:10" s="82" customFormat="1" ht="3" customHeight="1" x14ac:dyDescent="0.3">
      <c r="A23" s="143"/>
      <c r="B23" s="149"/>
      <c r="C23" s="149"/>
      <c r="D23" s="149"/>
      <c r="E23" s="149"/>
      <c r="F23" s="149"/>
      <c r="G23" s="149"/>
      <c r="H23" s="149"/>
      <c r="I23" s="149"/>
      <c r="J23" s="149"/>
    </row>
    <row r="24" spans="1:10" x14ac:dyDescent="0.3">
      <c r="A24" s="93" t="s">
        <v>745</v>
      </c>
      <c r="B24" s="94" t="s">
        <v>251</v>
      </c>
      <c r="C24" s="94" t="s">
        <v>252</v>
      </c>
      <c r="D24" s="94"/>
      <c r="E24" s="99"/>
      <c r="F24" s="93"/>
      <c r="G24" s="99" t="s">
        <v>253</v>
      </c>
      <c r="H24" s="93"/>
      <c r="I24" s="93"/>
      <c r="J24" s="93"/>
    </row>
    <row r="25" spans="1:10" x14ac:dyDescent="0.3">
      <c r="A25" t="s">
        <v>254</v>
      </c>
      <c r="B25" s="62">
        <f>B6/B14</f>
        <v>32.960008178828659</v>
      </c>
      <c r="C25" s="62">
        <f>B11/B14</f>
        <v>103.10929634786334</v>
      </c>
      <c r="D25" s="55"/>
      <c r="E25" s="493"/>
      <c r="G25" s="493" t="s">
        <v>255</v>
      </c>
    </row>
    <row r="26" spans="1:10" x14ac:dyDescent="0.3">
      <c r="A26" t="s">
        <v>256</v>
      </c>
      <c r="B26" s="79">
        <f>SOTP!D9/B15</f>
        <v>49.038895904806168</v>
      </c>
      <c r="C26" s="62">
        <f>B11/B15</f>
        <v>169.09308860981821</v>
      </c>
      <c r="D26" s="55"/>
      <c r="E26" s="493"/>
      <c r="G26" s="493" t="s">
        <v>257</v>
      </c>
    </row>
    <row r="27" spans="1:10" x14ac:dyDescent="0.3">
      <c r="A27" t="s">
        <v>258</v>
      </c>
      <c r="B27" s="79">
        <f>SOTP!D9/B19</f>
        <v>77.90260988672263</v>
      </c>
      <c r="C27" s="62">
        <f>B11/B19</f>
        <v>268.61928013392856</v>
      </c>
      <c r="D27" s="55"/>
      <c r="E27" s="493"/>
      <c r="G27" s="493" t="s">
        <v>259</v>
      </c>
    </row>
    <row r="28" spans="1:10" x14ac:dyDescent="0.3">
      <c r="A28" t="s">
        <v>260</v>
      </c>
      <c r="B28" s="62">
        <f>B6/B18</f>
        <v>93.483473987157709</v>
      </c>
      <c r="C28" s="62">
        <f>B11/B18</f>
        <v>292.44577764277034</v>
      </c>
      <c r="D28" s="55"/>
      <c r="E28" s="493"/>
      <c r="G28" s="493" t="s">
        <v>261</v>
      </c>
    </row>
    <row r="29" spans="1:10" x14ac:dyDescent="0.3">
      <c r="A29" t="s">
        <v>262</v>
      </c>
      <c r="B29" s="15" t="s">
        <v>895</v>
      </c>
      <c r="C29" s="15" t="s">
        <v>895</v>
      </c>
      <c r="D29" s="55"/>
      <c r="E29" s="493"/>
      <c r="G29" s="493" t="s">
        <v>263</v>
      </c>
    </row>
    <row r="30" spans="1:10" ht="15" thickBot="1" x14ac:dyDescent="0.35">
      <c r="A30" s="164" t="s">
        <v>264</v>
      </c>
      <c r="B30" s="225">
        <f>B5/B14</f>
        <v>37.396711616763753</v>
      </c>
      <c r="C30" s="225">
        <f>B9/B14</f>
        <v>107.54599978579844</v>
      </c>
      <c r="D30" s="234"/>
      <c r="E30" s="494"/>
      <c r="F30" s="164"/>
      <c r="G30" s="494" t="s">
        <v>858</v>
      </c>
      <c r="H30" s="164"/>
      <c r="I30" s="164"/>
      <c r="J30" s="164"/>
    </row>
    <row r="31" spans="1:10" ht="15" thickTop="1" x14ac:dyDescent="0.3"/>
    <row r="32" spans="1:10" x14ac:dyDescent="0.3">
      <c r="A32" s="92" t="s">
        <v>265</v>
      </c>
      <c r="B32" s="91"/>
      <c r="C32" s="91"/>
      <c r="D32" s="91"/>
      <c r="E32" s="91"/>
      <c r="F32" s="91"/>
      <c r="G32" s="91"/>
      <c r="H32" s="91"/>
      <c r="I32" s="91"/>
      <c r="J32" s="91"/>
    </row>
    <row r="33" spans="1:10" x14ac:dyDescent="0.3">
      <c r="A33" t="s">
        <v>266</v>
      </c>
      <c r="B33" s="12">
        <v>24747</v>
      </c>
    </row>
    <row r="34" spans="1:10" x14ac:dyDescent="0.3">
      <c r="A34" t="s">
        <v>267</v>
      </c>
      <c r="B34" s="12">
        <v>30952</v>
      </c>
    </row>
    <row r="35" spans="1:10" x14ac:dyDescent="0.3">
      <c r="A35" t="s">
        <v>268</v>
      </c>
      <c r="B35" s="12">
        <v>92079</v>
      </c>
    </row>
    <row r="36" spans="1:10" x14ac:dyDescent="0.3">
      <c r="A36" t="s">
        <v>269</v>
      </c>
      <c r="B36" s="12">
        <v>21400</v>
      </c>
    </row>
    <row r="37" spans="1:10" x14ac:dyDescent="0.3">
      <c r="A37" t="s">
        <v>270</v>
      </c>
      <c r="B37" s="12">
        <v>23286</v>
      </c>
    </row>
    <row r="38" spans="1:10" x14ac:dyDescent="0.3">
      <c r="A38" t="s">
        <v>271</v>
      </c>
      <c r="B38" s="12">
        <v>50754</v>
      </c>
    </row>
    <row r="39" spans="1:10" ht="15" thickBot="1" x14ac:dyDescent="0.35">
      <c r="A39" s="164" t="s">
        <v>272</v>
      </c>
      <c r="B39" s="235">
        <v>2573</v>
      </c>
      <c r="C39" s="164"/>
      <c r="D39" s="164"/>
      <c r="E39" s="164"/>
      <c r="F39" s="164"/>
      <c r="G39" s="164"/>
      <c r="H39" s="164"/>
      <c r="I39" s="164"/>
      <c r="J39" s="164"/>
    </row>
    <row r="40" spans="1:10" ht="15" thickTop="1" x14ac:dyDescent="0.3"/>
    <row r="41" spans="1:10" x14ac:dyDescent="0.3">
      <c r="A41" s="92" t="s">
        <v>273</v>
      </c>
      <c r="B41" s="91"/>
      <c r="C41" s="91"/>
      <c r="D41" s="91"/>
      <c r="E41" s="91"/>
      <c r="F41" s="91"/>
      <c r="G41" s="91"/>
      <c r="H41" s="91"/>
      <c r="I41" s="91"/>
      <c r="J41" s="91"/>
    </row>
    <row r="42" spans="1:10" s="82" customFormat="1" ht="3" customHeight="1" x14ac:dyDescent="0.3">
      <c r="A42" s="143"/>
      <c r="B42" s="149"/>
      <c r="C42" s="149"/>
      <c r="D42" s="149"/>
      <c r="E42" s="149"/>
      <c r="F42" s="149"/>
      <c r="G42" s="149"/>
      <c r="H42" s="149"/>
      <c r="I42" s="149"/>
      <c r="J42" s="149"/>
    </row>
    <row r="43" spans="1:10" x14ac:dyDescent="0.3">
      <c r="A43" s="93" t="s">
        <v>746</v>
      </c>
      <c r="B43" s="94" t="s">
        <v>4</v>
      </c>
      <c r="C43" s="94"/>
      <c r="D43" s="94"/>
      <c r="E43" s="99"/>
      <c r="F43" s="94"/>
      <c r="G43" s="99" t="s">
        <v>5</v>
      </c>
      <c r="H43" s="94"/>
      <c r="I43" s="94"/>
      <c r="J43" s="94"/>
    </row>
    <row r="44" spans="1:10" x14ac:dyDescent="0.3">
      <c r="A44" t="s">
        <v>274</v>
      </c>
      <c r="B44" s="62">
        <f>B34/B36</f>
        <v>1.4463551401869159</v>
      </c>
      <c r="C44" s="55"/>
      <c r="D44" s="15"/>
      <c r="E44" s="493"/>
      <c r="F44" s="15"/>
      <c r="G44" s="493" t="s">
        <v>275</v>
      </c>
      <c r="H44" s="15"/>
      <c r="I44" s="15"/>
      <c r="J44" s="15"/>
    </row>
    <row r="45" spans="1:10" x14ac:dyDescent="0.3">
      <c r="A45" t="s">
        <v>276</v>
      </c>
      <c r="B45" s="62">
        <f>(B33)/B36</f>
        <v>1.1564018691588784</v>
      </c>
      <c r="C45" s="55"/>
      <c r="D45" s="15"/>
      <c r="E45" s="493"/>
      <c r="F45" s="15"/>
      <c r="G45" s="493" t="s">
        <v>277</v>
      </c>
      <c r="H45" s="15"/>
      <c r="I45" s="15"/>
      <c r="J45" s="15"/>
    </row>
    <row r="46" spans="1:10" x14ac:dyDescent="0.3">
      <c r="A46" t="s">
        <v>278</v>
      </c>
      <c r="B46" s="62">
        <f>B37/B39</f>
        <v>9.0501360279828997</v>
      </c>
      <c r="C46" s="55"/>
      <c r="D46" s="15"/>
      <c r="E46" s="493"/>
      <c r="F46" s="15"/>
      <c r="G46" s="493" t="s">
        <v>279</v>
      </c>
      <c r="H46" s="15"/>
      <c r="I46" s="15"/>
      <c r="J46" s="15"/>
    </row>
    <row r="47" spans="1:10" x14ac:dyDescent="0.3">
      <c r="A47" t="s">
        <v>280</v>
      </c>
      <c r="B47" s="62">
        <f>B37/B18</f>
        <v>3.536755771567436</v>
      </c>
      <c r="C47" s="55"/>
      <c r="D47" s="15"/>
      <c r="E47" s="493"/>
      <c r="F47" s="15"/>
      <c r="G47" s="493" t="s">
        <v>281</v>
      </c>
      <c r="H47" s="15"/>
      <c r="I47" s="15"/>
      <c r="J47" s="15"/>
    </row>
    <row r="48" spans="1:10" x14ac:dyDescent="0.3">
      <c r="A48" t="s">
        <v>282</v>
      </c>
      <c r="B48" s="62">
        <f>B10/B18</f>
        <v>12.58368772782503</v>
      </c>
      <c r="C48" s="55"/>
      <c r="D48" s="15"/>
      <c r="E48" s="493"/>
      <c r="F48" s="15"/>
      <c r="G48" s="493" t="s">
        <v>283</v>
      </c>
      <c r="H48" s="15"/>
      <c r="I48" s="15"/>
      <c r="J48" s="15"/>
    </row>
    <row r="49" spans="1:10" x14ac:dyDescent="0.3">
      <c r="A49" t="s">
        <v>284</v>
      </c>
      <c r="B49" s="29">
        <f>B38/B35</f>
        <v>0.5512005994852246</v>
      </c>
      <c r="C49" s="55"/>
      <c r="D49" s="15"/>
      <c r="E49" s="493"/>
      <c r="F49" s="15"/>
      <c r="G49" s="493" t="s">
        <v>285</v>
      </c>
      <c r="H49" s="15"/>
      <c r="I49" s="15"/>
      <c r="J49" s="15"/>
    </row>
    <row r="50" spans="1:10" x14ac:dyDescent="0.3">
      <c r="A50" t="s">
        <v>286</v>
      </c>
      <c r="B50" s="29">
        <f>B20/B39</f>
        <v>-1.9187718616401088</v>
      </c>
      <c r="C50" s="55"/>
      <c r="D50" s="15"/>
      <c r="E50" s="493"/>
      <c r="F50" s="15"/>
      <c r="G50" s="493" t="s">
        <v>896</v>
      </c>
      <c r="H50" s="15"/>
      <c r="I50" s="15"/>
      <c r="J50" s="15"/>
    </row>
    <row r="51" spans="1:10" x14ac:dyDescent="0.3">
      <c r="A51" t="s">
        <v>287</v>
      </c>
      <c r="B51" s="29">
        <f>B20/B35</f>
        <v>-5.3617002791081572E-2</v>
      </c>
      <c r="C51" s="55"/>
      <c r="D51" s="15"/>
      <c r="E51" s="493"/>
      <c r="F51" s="15"/>
      <c r="G51" s="493" t="s">
        <v>897</v>
      </c>
      <c r="H51" s="15"/>
      <c r="I51" s="15"/>
      <c r="J51" s="15"/>
    </row>
    <row r="52" spans="1:10" x14ac:dyDescent="0.3">
      <c r="A52" t="s">
        <v>288</v>
      </c>
      <c r="B52" s="29">
        <f>B20/B14</f>
        <v>-0.2643782799614437</v>
      </c>
      <c r="C52" s="55"/>
      <c r="D52" s="15"/>
      <c r="E52" s="493"/>
      <c r="F52" s="15"/>
      <c r="G52" s="493" t="s">
        <v>289</v>
      </c>
      <c r="H52" s="15"/>
      <c r="I52" s="15"/>
      <c r="J52" s="15"/>
    </row>
    <row r="53" spans="1:10" ht="15" thickBot="1" x14ac:dyDescent="0.35">
      <c r="A53" s="164" t="s">
        <v>290</v>
      </c>
      <c r="B53" s="230">
        <f>B18/B14</f>
        <v>0.35257577380314875</v>
      </c>
      <c r="C53" s="234"/>
      <c r="D53" s="18"/>
      <c r="E53" s="494"/>
      <c r="F53" s="18"/>
      <c r="G53" s="494" t="s">
        <v>291</v>
      </c>
      <c r="H53" s="18"/>
      <c r="I53" s="18"/>
      <c r="J53" s="18"/>
    </row>
    <row r="54" spans="1:10" ht="15" thickTop="1" x14ac:dyDescent="0.3">
      <c r="E54" s="27"/>
      <c r="G54" s="27"/>
    </row>
  </sheetData>
  <pageMargins left="0.7" right="0.7" top="0.75" bottom="0.75" header="0.3" footer="0.3"/>
  <drawing r:id="rId1"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FCFA90-4B6E-416F-A084-F286E547DA26}">
  <sheetPr>
    <tabColor theme="1" tint="0.249977111117893"/>
  </sheetPr>
  <dimension ref="A1:N49"/>
  <sheetViews>
    <sheetView showGridLines="0" zoomScaleNormal="100" workbookViewId="0">
      <pane ySplit="2" topLeftCell="A3" activePane="bottomLeft" state="frozen"/>
      <selection activeCell="D14" sqref="D14"/>
      <selection pane="bottomLeft" activeCell="AC22" sqref="AC22"/>
    </sheetView>
  </sheetViews>
  <sheetFormatPr defaultRowHeight="14.4" x14ac:dyDescent="0.3"/>
  <cols>
    <col min="4" max="4" width="10.5546875" customWidth="1"/>
    <col min="5" max="5" width="10.5546875" bestFit="1" customWidth="1"/>
    <col min="23" max="23" width="15.6640625" customWidth="1"/>
  </cols>
  <sheetData>
    <row r="1" spans="1:14" ht="30" customHeight="1" x14ac:dyDescent="0.3">
      <c r="A1" s="105" t="s">
        <v>898</v>
      </c>
    </row>
    <row r="4" spans="1:14" x14ac:dyDescent="0.3">
      <c r="B4" s="1" t="s">
        <v>217</v>
      </c>
      <c r="K4" s="1" t="s">
        <v>935</v>
      </c>
    </row>
    <row r="5" spans="1:14" x14ac:dyDescent="0.3">
      <c r="B5" t="s">
        <v>12</v>
      </c>
      <c r="C5" t="s">
        <v>218</v>
      </c>
    </row>
    <row r="6" spans="1:14" x14ac:dyDescent="0.3">
      <c r="B6" t="s">
        <v>20</v>
      </c>
      <c r="C6" s="450">
        <f>SOTP!D9/1000</f>
        <v>558.40590766802779</v>
      </c>
      <c r="K6" s="1" t="s">
        <v>923</v>
      </c>
      <c r="L6" s="1" t="s">
        <v>928</v>
      </c>
      <c r="M6" s="1" t="s">
        <v>929</v>
      </c>
      <c r="N6" s="1" t="s">
        <v>930</v>
      </c>
    </row>
    <row r="7" spans="1:14" x14ac:dyDescent="0.3">
      <c r="B7" t="s">
        <v>13</v>
      </c>
      <c r="C7" s="450">
        <f>SOTP!D10/1000</f>
        <v>52.422720399370412</v>
      </c>
      <c r="K7" t="s">
        <v>297</v>
      </c>
      <c r="L7" s="543">
        <f>Historicals!B51/Historicals!B8</f>
        <v>0.36786367574853179</v>
      </c>
      <c r="M7" s="543">
        <f>Historicals!B18/Historicals!B8</f>
        <v>-0.33744103205930492</v>
      </c>
      <c r="N7" s="543">
        <f>Historicals!B87/Historicals!B8</f>
        <v>1.0108789833445653E-2</v>
      </c>
    </row>
    <row r="8" spans="1:14" x14ac:dyDescent="0.3">
      <c r="B8" t="s">
        <v>21</v>
      </c>
      <c r="C8" s="450">
        <f>SOTP!D11/1000</f>
        <v>4.6665646640481073</v>
      </c>
      <c r="K8" t="s">
        <v>298</v>
      </c>
      <c r="L8" s="543">
        <f>Historicals!C51/Historicals!C8</f>
        <v>0.3817338565822333</v>
      </c>
      <c r="M8" s="543">
        <f>Historicals!C18/Historicals!C8</f>
        <v>3.325008919015341E-2</v>
      </c>
      <c r="N8" s="543">
        <f>Historicals!C87/Historicals!C8</f>
        <v>-0.3843738851230824</v>
      </c>
    </row>
    <row r="9" spans="1:14" x14ac:dyDescent="0.3">
      <c r="K9" t="s">
        <v>299</v>
      </c>
      <c r="L9" s="543">
        <f>Historicals!D51/Historicals!D8</f>
        <v>0.35257577380314875</v>
      </c>
      <c r="M9" s="543">
        <f>Historicals!D18/Historicals!D8</f>
        <v>-0.13864196208632323</v>
      </c>
      <c r="N9" s="543">
        <f>Historicals!D87/Historicals!D8</f>
        <v>-0.74713505408589487</v>
      </c>
    </row>
    <row r="10" spans="1:14" x14ac:dyDescent="0.3">
      <c r="K10" t="s">
        <v>926</v>
      </c>
      <c r="L10" s="543">
        <f>Historicals!F51/Historicals!F8</f>
        <v>0.42537496926481438</v>
      </c>
      <c r="M10" s="543">
        <f>Historicals!F18/Historicals!F8</f>
        <v>6.6388000983525937E-3</v>
      </c>
      <c r="N10" s="543">
        <f>Historicals!F87/Historicals!F8</f>
        <v>-0.83919350872879273</v>
      </c>
    </row>
    <row r="11" spans="1:14" x14ac:dyDescent="0.3">
      <c r="K11" t="s">
        <v>927</v>
      </c>
      <c r="L11" s="543">
        <f>Historicals!J51/Historicals!J8</f>
        <v>0.24009373668512995</v>
      </c>
      <c r="M11" s="543">
        <f>Historicals!J18/Historicals!J8</f>
        <v>-0.41393268001704303</v>
      </c>
      <c r="N11" s="543">
        <f>Historicals!J87/Historicals!J8</f>
        <v>-1.9301235619940349</v>
      </c>
    </row>
    <row r="23" spans="2:14" x14ac:dyDescent="0.3">
      <c r="K23" s="1" t="s">
        <v>936</v>
      </c>
    </row>
    <row r="25" spans="2:14" x14ac:dyDescent="0.3">
      <c r="K25" s="1" t="s">
        <v>923</v>
      </c>
      <c r="L25" s="1" t="s">
        <v>931</v>
      </c>
      <c r="M25" s="1" t="s">
        <v>932</v>
      </c>
      <c r="N25" s="1" t="s">
        <v>933</v>
      </c>
    </row>
    <row r="26" spans="2:14" x14ac:dyDescent="0.3">
      <c r="B26" s="1" t="s">
        <v>934</v>
      </c>
      <c r="K26" t="s">
        <v>297</v>
      </c>
      <c r="L26" s="543">
        <f>Historicals!B85</f>
        <v>4520</v>
      </c>
      <c r="M26" s="543">
        <f>-Historicals!B64</f>
        <v>-4415</v>
      </c>
      <c r="N26" s="543">
        <f>Historicals!B87</f>
        <v>105</v>
      </c>
    </row>
    <row r="27" spans="2:14" x14ac:dyDescent="0.3">
      <c r="K27" t="s">
        <v>298</v>
      </c>
      <c r="L27" s="543">
        <f>Historicals!C85</f>
        <v>5776</v>
      </c>
      <c r="M27" s="543">
        <f>-Historicals!C64</f>
        <v>-11163</v>
      </c>
      <c r="N27" s="543">
        <f>Historicals!C87</f>
        <v>-5387</v>
      </c>
    </row>
    <row r="28" spans="2:14" x14ac:dyDescent="0.3">
      <c r="B28" s="1" t="s">
        <v>923</v>
      </c>
      <c r="C28" s="1" t="s">
        <v>13</v>
      </c>
      <c r="D28" s="1" t="s">
        <v>20</v>
      </c>
      <c r="E28" s="1" t="s">
        <v>21</v>
      </c>
      <c r="F28" s="1" t="s">
        <v>924</v>
      </c>
      <c r="G28" s="1" t="s">
        <v>925</v>
      </c>
      <c r="K28" t="s">
        <v>299</v>
      </c>
      <c r="L28" s="543">
        <f>Historicals!D85</f>
        <v>6785</v>
      </c>
      <c r="M28" s="543">
        <f>-Historicals!D64</f>
        <v>-20737</v>
      </c>
      <c r="N28" s="543">
        <f>Historicals!D87</f>
        <v>-13952</v>
      </c>
    </row>
    <row r="29" spans="2:14" x14ac:dyDescent="0.3">
      <c r="B29" t="s">
        <v>297</v>
      </c>
      <c r="C29" s="543">
        <f>Historicals!B29</f>
        <v>3557</v>
      </c>
      <c r="D29" s="543">
        <f>Historicals!B32</f>
        <v>3869</v>
      </c>
      <c r="E29" s="543">
        <f>Historicals!B35</f>
        <v>2961</v>
      </c>
      <c r="F29" s="543">
        <f>Historicals!B8</f>
        <v>10387</v>
      </c>
      <c r="K29" t="s">
        <v>926</v>
      </c>
      <c r="L29" s="543">
        <f>Historicals!F85</f>
        <v>727</v>
      </c>
      <c r="M29" s="543">
        <f>-Historicals!F64</f>
        <v>-4140</v>
      </c>
      <c r="N29" s="543">
        <f>Historicals!F87</f>
        <v>-3413</v>
      </c>
    </row>
    <row r="30" spans="2:14" x14ac:dyDescent="0.3">
      <c r="B30" t="s">
        <v>298</v>
      </c>
      <c r="C30" s="543">
        <f>Historicals!C29</f>
        <v>3796</v>
      </c>
      <c r="D30" s="543">
        <f>Historicals!C32</f>
        <v>7599</v>
      </c>
      <c r="E30" s="543">
        <f>Historicals!C35</f>
        <v>2620</v>
      </c>
      <c r="F30" s="543">
        <f>Historicals!C8</f>
        <v>14015</v>
      </c>
      <c r="G30">
        <f>F30/F29-1</f>
        <v>0.34928275729276992</v>
      </c>
      <c r="K30" t="s">
        <v>927</v>
      </c>
      <c r="L30" s="543">
        <f>Historicals!J85</f>
        <v>1047</v>
      </c>
      <c r="M30" s="543">
        <f>-Historicals!J64</f>
        <v>-10107</v>
      </c>
      <c r="N30" s="543">
        <f>Historicals!J87</f>
        <v>-9060</v>
      </c>
    </row>
    <row r="31" spans="2:14" x14ac:dyDescent="0.3">
      <c r="B31" t="s">
        <v>299</v>
      </c>
      <c r="C31" s="543">
        <f>Historicals!D29</f>
        <v>4086</v>
      </c>
      <c r="D31" s="543">
        <f>Historicals!D32</f>
        <v>11387</v>
      </c>
      <c r="E31" s="543">
        <f>Historicals!D35</f>
        <v>3201</v>
      </c>
      <c r="F31" s="543">
        <f>Historicals!D8</f>
        <v>18674</v>
      </c>
      <c r="G31">
        <f>F31/F30-1</f>
        <v>0.3324295397788084</v>
      </c>
    </row>
    <row r="32" spans="2:14" x14ac:dyDescent="0.3">
      <c r="B32" t="s">
        <v>926</v>
      </c>
      <c r="C32" s="543">
        <f>Historicals!F29</f>
        <v>865</v>
      </c>
      <c r="D32" s="543">
        <f>Historicals!F32</f>
        <v>2475</v>
      </c>
      <c r="E32" s="543">
        <f>Historicals!F35</f>
        <v>727</v>
      </c>
      <c r="F32" s="543">
        <f>Historicals!F8</f>
        <v>4067</v>
      </c>
    </row>
    <row r="33" spans="2:7" x14ac:dyDescent="0.3">
      <c r="B33" t="s">
        <v>927</v>
      </c>
      <c r="C33" s="543">
        <f>Historicals!J29</f>
        <v>619</v>
      </c>
      <c r="D33" s="543">
        <f>Historicals!J32</f>
        <v>3257</v>
      </c>
      <c r="E33" s="543">
        <f>Historicals!J35</f>
        <v>818</v>
      </c>
      <c r="F33" s="543">
        <f>Historicals!J8</f>
        <v>4694</v>
      </c>
      <c r="G33">
        <f>F33/F32-1</f>
        <v>0.15416769117285467</v>
      </c>
    </row>
    <row r="42" spans="2:7" x14ac:dyDescent="0.3">
      <c r="B42" s="1" t="s">
        <v>899</v>
      </c>
    </row>
    <row r="43" spans="2:7" x14ac:dyDescent="0.3">
      <c r="B43" t="s">
        <v>175</v>
      </c>
      <c r="C43" t="s">
        <v>219</v>
      </c>
    </row>
    <row r="44" spans="2:7" x14ac:dyDescent="0.3">
      <c r="B44" t="s">
        <v>222</v>
      </c>
      <c r="C44" s="56">
        <v>1750</v>
      </c>
    </row>
    <row r="45" spans="2:7" x14ac:dyDescent="0.3">
      <c r="B45" t="s">
        <v>223</v>
      </c>
      <c r="C45" s="56">
        <v>2500</v>
      </c>
    </row>
    <row r="46" spans="2:7" x14ac:dyDescent="0.3">
      <c r="B46" t="s">
        <v>221</v>
      </c>
      <c r="C46" s="56">
        <v>780</v>
      </c>
    </row>
    <row r="47" spans="2:7" x14ac:dyDescent="0.3">
      <c r="B47" t="s">
        <v>220</v>
      </c>
      <c r="C47" s="56">
        <v>429</v>
      </c>
    </row>
    <row r="48" spans="2:7" x14ac:dyDescent="0.3">
      <c r="B48" t="s">
        <v>318</v>
      </c>
      <c r="C48" s="451">
        <f>SOTP!B23/1000</f>
        <v>692.76635113596842</v>
      </c>
    </row>
    <row r="49" spans="2:3" x14ac:dyDescent="0.3">
      <c r="B49" t="s">
        <v>317</v>
      </c>
      <c r="C49" s="451">
        <f>SOTP!D23/1000</f>
        <v>698.34619273144631</v>
      </c>
    </row>
  </sheetData>
  <sheetProtection algorithmName="SHA-512" hashValue="8lvqajJn2rWfifxVFJ+l9HQ0MIqbCKIrsB6Qusu0pNqJY6/I9MZ/EOb5j14eed9VsTJXJENqeFt9NfnH4bZ0QQ==" saltValue="nMTYn+/g2i4v3a1N1/aIgw==" spinCount="100000" sheet="1" objects="1" scenarios="1"/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EF2A60-27D1-4188-B447-9A6EC050121B}">
  <sheetPr>
    <tabColor theme="1" tint="0.499984740745262"/>
  </sheetPr>
  <dimension ref="A1:J60"/>
  <sheetViews>
    <sheetView showGridLines="0" zoomScaleNormal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J18" sqref="J18"/>
    </sheetView>
  </sheetViews>
  <sheetFormatPr defaultRowHeight="14.4" x14ac:dyDescent="0.3"/>
  <cols>
    <col min="1" max="1" width="44.44140625" customWidth="1"/>
    <col min="2" max="10" width="16.6640625" customWidth="1"/>
    <col min="11" max="18" width="15.21875" customWidth="1"/>
  </cols>
  <sheetData>
    <row r="1" spans="1:10" ht="30" customHeight="1" x14ac:dyDescent="0.3">
      <c r="A1" s="105" t="s">
        <v>900</v>
      </c>
    </row>
    <row r="2" spans="1:10" x14ac:dyDescent="0.3">
      <c r="A2" s="81" t="s">
        <v>303</v>
      </c>
    </row>
    <row r="4" spans="1:10" x14ac:dyDescent="0.3">
      <c r="A4" s="92" t="s">
        <v>901</v>
      </c>
      <c r="B4" s="91"/>
      <c r="C4" s="91"/>
      <c r="D4" s="91"/>
      <c r="E4" s="91"/>
      <c r="F4" s="91"/>
      <c r="G4" s="91"/>
      <c r="H4" s="91"/>
      <c r="I4" s="91"/>
      <c r="J4" s="91"/>
    </row>
    <row r="5" spans="1:10" s="82" customFormat="1" ht="3" customHeight="1" x14ac:dyDescent="0.3">
      <c r="A5" s="143"/>
      <c r="B5" s="149"/>
      <c r="C5" s="149"/>
      <c r="D5" s="149"/>
      <c r="E5" s="149"/>
      <c r="F5" s="149"/>
      <c r="G5" s="149"/>
      <c r="H5" s="149"/>
      <c r="I5" s="149"/>
      <c r="J5" s="149"/>
    </row>
    <row r="6" spans="1:10" x14ac:dyDescent="0.3">
      <c r="A6" s="99" t="s">
        <v>748</v>
      </c>
      <c r="B6" s="94" t="s">
        <v>45</v>
      </c>
      <c r="C6" s="94" t="s">
        <v>46</v>
      </c>
      <c r="D6" s="94" t="s">
        <v>47</v>
      </c>
      <c r="E6" s="94" t="s">
        <v>48</v>
      </c>
      <c r="F6" s="94" t="s">
        <v>49</v>
      </c>
      <c r="G6" s="94" t="s">
        <v>50</v>
      </c>
      <c r="H6" s="107"/>
      <c r="I6" s="107"/>
      <c r="J6" s="107"/>
    </row>
    <row r="7" spans="1:10" x14ac:dyDescent="0.3">
      <c r="A7" t="s">
        <v>164</v>
      </c>
      <c r="B7" s="46">
        <f>Historicals!B8</f>
        <v>10387</v>
      </c>
      <c r="C7" s="46">
        <f>Historicals!C8</f>
        <v>14015</v>
      </c>
      <c r="D7" s="46">
        <f>Historicals!D8</f>
        <v>18674</v>
      </c>
      <c r="E7" s="46">
        <f>'Conn DCF'!E50+'Space DCF'!E54+'AI DCF'!E46</f>
        <v>24305.94</v>
      </c>
      <c r="F7" s="46">
        <f>'Conn DCF'!F50+'Space DCF'!F54+'AI DCF'!F46</f>
        <v>31520.649600000001</v>
      </c>
      <c r="G7" s="46">
        <f>'Conn DCF'!G50+'Space DCF'!G54+'AI DCF'!G46</f>
        <v>40380.417792</v>
      </c>
    </row>
    <row r="8" spans="1:10" x14ac:dyDescent="0.3">
      <c r="A8" t="s">
        <v>165</v>
      </c>
      <c r="B8" s="46">
        <f>Historicals!B32</f>
        <v>3869</v>
      </c>
      <c r="C8" s="46">
        <f>Historicals!C32</f>
        <v>7599</v>
      </c>
      <c r="D8" s="46">
        <f>Historicals!D32</f>
        <v>11387</v>
      </c>
      <c r="E8" s="46">
        <f>'Conn DCF'!E50</f>
        <v>15714.06</v>
      </c>
      <c r="F8" s="46">
        <f>'Conn DCF'!F50</f>
        <v>20742.5592</v>
      </c>
      <c r="G8" s="46">
        <f>'Conn DCF'!G50</f>
        <v>26135.624592</v>
      </c>
    </row>
    <row r="9" spans="1:10" x14ac:dyDescent="0.3">
      <c r="A9" t="s">
        <v>166</v>
      </c>
      <c r="B9" s="46">
        <f>Historicals!B29</f>
        <v>3557</v>
      </c>
      <c r="C9" s="46">
        <f>Historicals!C29</f>
        <v>3796</v>
      </c>
      <c r="D9" s="46">
        <f>Historicals!D29</f>
        <v>4086</v>
      </c>
      <c r="E9" s="46">
        <f>'Space DCF'!E54</f>
        <v>4494.6000000000004</v>
      </c>
      <c r="F9" s="46">
        <f>'Space DCF'!F54</f>
        <v>5123.844000000001</v>
      </c>
      <c r="G9" s="46">
        <f>'Space DCF'!G54</f>
        <v>6046.1359200000006</v>
      </c>
    </row>
    <row r="10" spans="1:10" x14ac:dyDescent="0.3">
      <c r="A10" t="s">
        <v>167</v>
      </c>
      <c r="B10" s="46">
        <f>Historicals!B35</f>
        <v>2961</v>
      </c>
      <c r="C10" s="46">
        <f>Historicals!C35</f>
        <v>2620</v>
      </c>
      <c r="D10" s="46">
        <f>Historicals!D35</f>
        <v>3201</v>
      </c>
      <c r="E10" s="46">
        <f>'AI DCF'!E46</f>
        <v>4097.28</v>
      </c>
      <c r="F10" s="46">
        <f>'AI DCF'!F46</f>
        <v>5654.2463999999991</v>
      </c>
      <c r="G10" s="46">
        <f>'AI DCF'!G46</f>
        <v>8198.6572799999976</v>
      </c>
    </row>
    <row r="11" spans="1:10" x14ac:dyDescent="0.3">
      <c r="A11" t="s">
        <v>302</v>
      </c>
      <c r="B11" s="46">
        <f>Historicals!B49</f>
        <v>1602</v>
      </c>
      <c r="C11" s="46">
        <f>Historicals!C49</f>
        <v>3849</v>
      </c>
      <c r="D11" s="46">
        <f>Historicals!D49</f>
        <v>7168</v>
      </c>
      <c r="E11" s="46">
        <f>'Conn DCF'!E52</f>
        <v>9899.8577999999998</v>
      </c>
      <c r="F11" s="46">
        <f>'Conn DCF'!F52</f>
        <v>13482.663480000001</v>
      </c>
      <c r="G11" s="46">
        <f>'Conn DCF'!G52</f>
        <v>17249.51223072</v>
      </c>
    </row>
    <row r="12" spans="1:10" x14ac:dyDescent="0.3">
      <c r="A12" t="s">
        <v>294</v>
      </c>
      <c r="B12" s="46">
        <f>Historicals!B48</f>
        <v>997</v>
      </c>
      <c r="C12" s="46">
        <f>Historicals!C48</f>
        <v>1154</v>
      </c>
      <c r="D12" s="46">
        <f>Historicals!D48</f>
        <v>653</v>
      </c>
      <c r="E12" s="46">
        <f>'Space DCF'!E56</f>
        <v>809.02800000000002</v>
      </c>
      <c r="F12" s="46">
        <f>'Space DCF'!F56</f>
        <v>922.29192000000012</v>
      </c>
      <c r="G12" s="46">
        <f>'Space DCF'!G56</f>
        <v>1451.0726208000001</v>
      </c>
    </row>
    <row r="13" spans="1:10" x14ac:dyDescent="0.3">
      <c r="A13" t="s">
        <v>295</v>
      </c>
      <c r="B13" s="46">
        <f>Historicals!B50</f>
        <v>1222</v>
      </c>
      <c r="C13" s="46">
        <f>Historicals!C50</f>
        <v>347</v>
      </c>
      <c r="D13" s="46">
        <f>Historicals!D50</f>
        <v>-1237</v>
      </c>
      <c r="E13" s="46">
        <f>'AI DCF'!E48</f>
        <v>-614.59199999999998</v>
      </c>
      <c r="F13" s="46">
        <f>'AI DCF'!F48</f>
        <v>113.08492799999999</v>
      </c>
      <c r="G13" s="46">
        <f>'AI DCF'!G48</f>
        <v>983.83887359999972</v>
      </c>
    </row>
    <row r="14" spans="1:10" x14ac:dyDescent="0.3">
      <c r="A14" t="s">
        <v>800</v>
      </c>
      <c r="B14" s="46">
        <f>Historicals!B56</f>
        <v>884</v>
      </c>
      <c r="C14" s="46">
        <f>Historicals!C56</f>
        <v>1508</v>
      </c>
      <c r="D14" s="46">
        <f>Historicals!D56</f>
        <v>2376</v>
      </c>
      <c r="E14" s="46">
        <f>'Conn DCF'!E54</f>
        <v>2760</v>
      </c>
      <c r="F14" s="46">
        <f>'Conn DCF'!F54</f>
        <v>3174</v>
      </c>
      <c r="G14" s="46">
        <f>'Conn DCF'!G54</f>
        <v>3650</v>
      </c>
    </row>
    <row r="15" spans="1:10" x14ac:dyDescent="0.3">
      <c r="A15" t="s">
        <v>801</v>
      </c>
      <c r="B15" s="46">
        <f>Historicals!B55</f>
        <v>571</v>
      </c>
      <c r="C15" s="46">
        <f>Historicals!C55</f>
        <v>637</v>
      </c>
      <c r="D15" s="46">
        <f>Historicals!D55</f>
        <v>757</v>
      </c>
      <c r="E15" s="46">
        <f>'Space DCF'!E58</f>
        <v>817.25540540540533</v>
      </c>
      <c r="F15" s="46">
        <f>'Space DCF'!F58</f>
        <v>875.15308823529404</v>
      </c>
      <c r="G15" s="46">
        <f>'Space DCF'!G58</f>
        <v>939.42702499999996</v>
      </c>
    </row>
    <row r="16" spans="1:10" x14ac:dyDescent="0.3">
      <c r="A16" t="s">
        <v>802</v>
      </c>
      <c r="B16" s="46">
        <f>Historicals!B57</f>
        <v>1180</v>
      </c>
      <c r="C16" s="46">
        <f>Historicals!C57</f>
        <v>1679</v>
      </c>
      <c r="D16" s="46">
        <f>Historicals!D57</f>
        <v>3568</v>
      </c>
      <c r="E16" s="46">
        <f>'AI DCF'!E50</f>
        <v>4302.1440000000002</v>
      </c>
      <c r="F16" s="46">
        <f>'AI DCF'!F50</f>
        <v>5088.8217599999989</v>
      </c>
      <c r="G16" s="46">
        <f>'AI DCF'!G50</f>
        <v>6148.9929599999978</v>
      </c>
    </row>
    <row r="17" spans="1:10" x14ac:dyDescent="0.3">
      <c r="A17" t="s">
        <v>296</v>
      </c>
      <c r="B17" s="78">
        <f t="shared" ref="B17:G17" si="0">B14+B15+B16</f>
        <v>2635</v>
      </c>
      <c r="C17" s="78">
        <f t="shared" si="0"/>
        <v>3824</v>
      </c>
      <c r="D17" s="78">
        <f t="shared" si="0"/>
        <v>6701</v>
      </c>
      <c r="E17" s="78">
        <f t="shared" si="0"/>
        <v>7879.3994054054056</v>
      </c>
      <c r="F17" s="78">
        <f t="shared" si="0"/>
        <v>9137.9748482352934</v>
      </c>
      <c r="G17" s="78">
        <f t="shared" si="0"/>
        <v>10738.419984999997</v>
      </c>
    </row>
    <row r="18" spans="1:10" x14ac:dyDescent="0.3">
      <c r="A18" t="s">
        <v>803</v>
      </c>
      <c r="B18" s="46">
        <f>-Historicals!B62</f>
        <v>-2455</v>
      </c>
      <c r="C18" s="46">
        <f>-Historicals!C62</f>
        <v>-3498</v>
      </c>
      <c r="D18" s="46">
        <f>-Historicals!D62</f>
        <v>-4178</v>
      </c>
      <c r="E18" s="46">
        <f>'Conn DCF'!E60</f>
        <v>-5028.4992000000002</v>
      </c>
      <c r="F18" s="46">
        <f>'Conn DCF'!F60</f>
        <v>-5600.490984</v>
      </c>
      <c r="G18" s="46">
        <f>'Conn DCF'!G60</f>
        <v>-6011.1936561600005</v>
      </c>
    </row>
    <row r="19" spans="1:10" x14ac:dyDescent="0.3">
      <c r="A19" t="s">
        <v>804</v>
      </c>
      <c r="B19" s="46">
        <f>-Historicals!B61</f>
        <v>-1497</v>
      </c>
      <c r="C19" s="46">
        <f>-Historicals!C61</f>
        <v>-2032</v>
      </c>
      <c r="D19" s="46">
        <f>-Historicals!D61</f>
        <v>-3832</v>
      </c>
      <c r="E19" s="46">
        <f>'Space DCF'!E67</f>
        <v>-3370.9500000000003</v>
      </c>
      <c r="F19" s="46">
        <f>'Space DCF'!F67</f>
        <v>-3330.4986000000008</v>
      </c>
      <c r="G19" s="46">
        <f>'Space DCF'!G67</f>
        <v>-3325.3747560000006</v>
      </c>
    </row>
    <row r="20" spans="1:10" x14ac:dyDescent="0.3">
      <c r="A20" t="s">
        <v>805</v>
      </c>
      <c r="B20" s="46">
        <f>-Historicals!B63</f>
        <v>-463</v>
      </c>
      <c r="C20" s="46">
        <f>-Historicals!C63</f>
        <v>-5633</v>
      </c>
      <c r="D20" s="46">
        <f>-Historicals!D63</f>
        <v>-12727</v>
      </c>
      <c r="E20" s="46">
        <f>'AI DCF'!E59</f>
        <v>-13111.296</v>
      </c>
      <c r="F20" s="46">
        <f>'AI DCF'!F59</f>
        <v>-13570.191359999997</v>
      </c>
      <c r="G20" s="46">
        <f>'AI DCF'!G59</f>
        <v>-14757.583103999996</v>
      </c>
    </row>
    <row r="21" spans="1:10" x14ac:dyDescent="0.3">
      <c r="A21" t="s">
        <v>172</v>
      </c>
      <c r="B21" s="78">
        <f t="shared" ref="B21:G21" si="1">B18+B19+B20</f>
        <v>-4415</v>
      </c>
      <c r="C21" s="78">
        <f t="shared" si="1"/>
        <v>-11163</v>
      </c>
      <c r="D21" s="78">
        <f t="shared" si="1"/>
        <v>-20737</v>
      </c>
      <c r="E21" s="78">
        <f t="shared" si="1"/>
        <v>-21510.745200000001</v>
      </c>
      <c r="F21" s="78">
        <f t="shared" si="1"/>
        <v>-22501.180944</v>
      </c>
      <c r="G21" s="78">
        <f t="shared" si="1"/>
        <v>-24094.151516159996</v>
      </c>
    </row>
    <row r="22" spans="1:10" ht="15" thickBot="1" x14ac:dyDescent="0.35">
      <c r="A22" s="164" t="s">
        <v>173</v>
      </c>
      <c r="B22" s="356">
        <f>Historicals!B25</f>
        <v>-4628</v>
      </c>
      <c r="C22" s="356">
        <f>Historicals!C25</f>
        <v>791</v>
      </c>
      <c r="D22" s="356">
        <f>Historicals!D25</f>
        <v>-4937</v>
      </c>
      <c r="E22" s="212" t="s">
        <v>176</v>
      </c>
      <c r="F22" s="212" t="s">
        <v>176</v>
      </c>
      <c r="G22" s="212" t="s">
        <v>176</v>
      </c>
      <c r="H22" s="164"/>
      <c r="I22" s="164"/>
      <c r="J22" s="164"/>
    </row>
    <row r="23" spans="1:10" ht="15" thickTop="1" x14ac:dyDescent="0.3"/>
    <row r="24" spans="1:10" x14ac:dyDescent="0.3">
      <c r="A24" s="92" t="s">
        <v>902</v>
      </c>
      <c r="B24" s="92"/>
      <c r="C24" s="92"/>
      <c r="D24" s="92"/>
      <c r="E24" s="92"/>
      <c r="F24" s="92"/>
      <c r="G24" s="92"/>
      <c r="H24" s="92"/>
      <c r="I24" s="92"/>
      <c r="J24" s="92"/>
    </row>
    <row r="25" spans="1:10" s="82" customFormat="1" ht="3" customHeight="1" x14ac:dyDescent="0.3">
      <c r="A25" s="143"/>
      <c r="B25" s="149"/>
      <c r="C25" s="149"/>
      <c r="D25" s="149"/>
      <c r="E25" s="149"/>
      <c r="F25" s="149"/>
      <c r="G25" s="149"/>
      <c r="H25" s="149"/>
      <c r="I25" s="149"/>
      <c r="J25" s="149"/>
    </row>
    <row r="26" spans="1:10" x14ac:dyDescent="0.3">
      <c r="A26" s="93" t="s">
        <v>748</v>
      </c>
      <c r="B26" s="94" t="s">
        <v>163</v>
      </c>
      <c r="C26" s="94" t="s">
        <v>304</v>
      </c>
      <c r="D26" s="94" t="s">
        <v>305</v>
      </c>
      <c r="E26" s="94" t="s">
        <v>306</v>
      </c>
      <c r="F26" s="94" t="s">
        <v>307</v>
      </c>
      <c r="G26" s="94"/>
      <c r="H26" s="94"/>
      <c r="I26" s="94"/>
      <c r="J26" s="94"/>
    </row>
    <row r="27" spans="1:10" x14ac:dyDescent="0.3">
      <c r="A27" t="s">
        <v>164</v>
      </c>
      <c r="B27" s="59">
        <f>Historicals!J8</f>
        <v>4694</v>
      </c>
      <c r="C27" s="52">
        <f>(E7-B27)*C$31</f>
        <v>6275.8207999999995</v>
      </c>
      <c r="D27" s="52">
        <f>(E7-B27)*D$31</f>
        <v>6668.0595999999996</v>
      </c>
      <c r="E27" s="52">
        <f>(E7-B27)*E$31</f>
        <v>6668.0595999999996</v>
      </c>
      <c r="F27" s="52">
        <f>B27+C27+D27+E27</f>
        <v>24305.94</v>
      </c>
      <c r="G27" s="15"/>
      <c r="H27" s="15"/>
      <c r="I27" s="15"/>
      <c r="J27" s="15"/>
    </row>
    <row r="28" spans="1:10" x14ac:dyDescent="0.3">
      <c r="A28" t="s">
        <v>165</v>
      </c>
      <c r="B28" s="59">
        <f>Historicals!J32</f>
        <v>3257</v>
      </c>
      <c r="C28" s="52">
        <f>(E8-B28)*C$31</f>
        <v>3986.2592</v>
      </c>
      <c r="D28" s="52">
        <f>(E8-B28)*D$31</f>
        <v>4235.4004000000004</v>
      </c>
      <c r="E28" s="52">
        <f>(E8-B28)*E$31</f>
        <v>4235.4004000000004</v>
      </c>
      <c r="F28" s="52">
        <f>B28+C28+D28+E28</f>
        <v>15714.060000000001</v>
      </c>
      <c r="G28" s="15"/>
      <c r="H28" s="15"/>
      <c r="I28" s="15"/>
      <c r="J28" s="15"/>
    </row>
    <row r="29" spans="1:10" x14ac:dyDescent="0.3">
      <c r="A29" t="s">
        <v>166</v>
      </c>
      <c r="B29" s="59">
        <f>Historicals!J29</f>
        <v>619</v>
      </c>
      <c r="C29" s="52">
        <f>(E9-B29)*C$31</f>
        <v>1240.1920000000002</v>
      </c>
      <c r="D29" s="52">
        <f>(E9-B29)*D$31</f>
        <v>1317.7040000000002</v>
      </c>
      <c r="E29" s="52">
        <f>(E9-B29)*E$31</f>
        <v>1317.7040000000002</v>
      </c>
      <c r="F29" s="52">
        <f>B29+C29+D29+E29</f>
        <v>4494.6000000000004</v>
      </c>
      <c r="G29" s="15"/>
      <c r="H29" s="15"/>
      <c r="I29" s="15"/>
      <c r="J29" s="15"/>
    </row>
    <row r="30" spans="1:10" x14ac:dyDescent="0.3">
      <c r="A30" t="s">
        <v>167</v>
      </c>
      <c r="B30" s="59">
        <f>Historicals!J35</f>
        <v>818</v>
      </c>
      <c r="C30" s="52">
        <f>(E10-B30)*C$31</f>
        <v>1049.3696</v>
      </c>
      <c r="D30" s="52">
        <f>(E10-B30)*D$31</f>
        <v>1114.9552000000001</v>
      </c>
      <c r="E30" s="52">
        <f>(E10-B30)*E$31</f>
        <v>1114.9552000000001</v>
      </c>
      <c r="F30" s="52">
        <f>B30+C30+D30+E30</f>
        <v>4097.2800000000007</v>
      </c>
      <c r="G30" s="15"/>
      <c r="H30" s="15"/>
      <c r="I30" s="15"/>
      <c r="J30" s="15"/>
    </row>
    <row r="31" spans="1:10" ht="15" thickBot="1" x14ac:dyDescent="0.35">
      <c r="A31" s="322" t="s">
        <v>633</v>
      </c>
      <c r="B31" s="164"/>
      <c r="C31" s="389">
        <v>0.32</v>
      </c>
      <c r="D31" s="389">
        <v>0.34</v>
      </c>
      <c r="E31" s="389">
        <v>0.34</v>
      </c>
      <c r="F31" s="164"/>
      <c r="G31" s="164"/>
      <c r="H31" s="164"/>
      <c r="I31" s="164"/>
      <c r="J31" s="164"/>
    </row>
    <row r="32" spans="1:10" ht="15" thickTop="1" x14ac:dyDescent="0.3"/>
    <row r="33" spans="1:10" x14ac:dyDescent="0.3">
      <c r="A33" s="92" t="s">
        <v>903</v>
      </c>
      <c r="B33" s="92"/>
      <c r="C33" s="92"/>
      <c r="D33" s="92"/>
      <c r="E33" s="92"/>
      <c r="F33" s="92"/>
      <c r="G33" s="92"/>
      <c r="H33" s="92"/>
      <c r="I33" s="92"/>
      <c r="J33" s="92"/>
    </row>
    <row r="34" spans="1:10" s="82" customFormat="1" ht="3" customHeight="1" x14ac:dyDescent="0.3">
      <c r="A34" s="143"/>
      <c r="B34" s="149"/>
      <c r="C34" s="149"/>
      <c r="D34" s="149"/>
      <c r="E34" s="149"/>
      <c r="F34" s="149"/>
      <c r="G34" s="149"/>
      <c r="H34" s="149"/>
      <c r="I34" s="149"/>
      <c r="J34" s="149"/>
    </row>
    <row r="35" spans="1:10" x14ac:dyDescent="0.3">
      <c r="A35" s="93" t="s">
        <v>749</v>
      </c>
      <c r="B35" s="94" t="s">
        <v>308</v>
      </c>
      <c r="C35" s="94" t="s">
        <v>300</v>
      </c>
      <c r="D35" s="94" t="s">
        <v>309</v>
      </c>
      <c r="E35" s="94" t="s">
        <v>301</v>
      </c>
      <c r="F35" s="94"/>
      <c r="G35" s="94"/>
      <c r="H35" s="94"/>
      <c r="I35" s="94"/>
      <c r="J35" s="94"/>
    </row>
    <row r="36" spans="1:10" x14ac:dyDescent="0.3">
      <c r="A36" t="s">
        <v>164</v>
      </c>
      <c r="B36" s="67">
        <f t="shared" ref="B36:B42" si="2">E7</f>
        <v>24305.94</v>
      </c>
      <c r="C36" s="38"/>
      <c r="D36" s="29" t="str">
        <f t="shared" ref="D36:D44" si="3">IF(C36="","–",C36/B36-1)</f>
        <v>–</v>
      </c>
      <c r="E36" s="15" t="s">
        <v>327</v>
      </c>
      <c r="F36" s="15"/>
      <c r="G36" s="15"/>
      <c r="H36" s="15"/>
      <c r="I36" s="15"/>
      <c r="J36" s="15"/>
    </row>
    <row r="37" spans="1:10" x14ac:dyDescent="0.3">
      <c r="A37" t="s">
        <v>310</v>
      </c>
      <c r="B37" s="67">
        <f t="shared" si="2"/>
        <v>15714.06</v>
      </c>
      <c r="C37" s="38"/>
      <c r="D37" s="29" t="str">
        <f t="shared" si="3"/>
        <v>–</v>
      </c>
      <c r="E37" s="335" t="str">
        <f t="shared" ref="E37:E44" si="4">IF(C37="","(awaiting)",IF(ABS(D37)&lt;0.05,"On track",IF(D37&gt;0,"Beat","Miss")))</f>
        <v>(awaiting)</v>
      </c>
      <c r="F37" s="15"/>
      <c r="G37" s="15"/>
      <c r="H37" s="15"/>
      <c r="I37" s="15"/>
      <c r="J37" s="15"/>
    </row>
    <row r="38" spans="1:10" x14ac:dyDescent="0.3">
      <c r="A38" t="s">
        <v>292</v>
      </c>
      <c r="B38" s="67">
        <f t="shared" si="2"/>
        <v>4494.6000000000004</v>
      </c>
      <c r="C38" s="38"/>
      <c r="D38" s="29" t="str">
        <f t="shared" si="3"/>
        <v>–</v>
      </c>
      <c r="E38" s="335" t="str">
        <f t="shared" si="4"/>
        <v>(awaiting)</v>
      </c>
      <c r="F38" s="15"/>
      <c r="G38" s="15"/>
      <c r="H38" s="15"/>
      <c r="I38" s="15"/>
      <c r="J38" s="15"/>
    </row>
    <row r="39" spans="1:10" x14ac:dyDescent="0.3">
      <c r="A39" t="s">
        <v>293</v>
      </c>
      <c r="B39" s="67">
        <f t="shared" si="2"/>
        <v>4097.28</v>
      </c>
      <c r="C39" s="38"/>
      <c r="D39" s="29" t="str">
        <f t="shared" si="3"/>
        <v>–</v>
      </c>
      <c r="E39" s="335" t="str">
        <f t="shared" si="4"/>
        <v>(awaiting)</v>
      </c>
      <c r="F39" s="15"/>
      <c r="G39" s="15"/>
      <c r="H39" s="15"/>
      <c r="I39" s="15"/>
      <c r="J39" s="15"/>
    </row>
    <row r="40" spans="1:10" x14ac:dyDescent="0.3">
      <c r="A40" t="s">
        <v>302</v>
      </c>
      <c r="B40" s="52">
        <f t="shared" si="2"/>
        <v>9899.8577999999998</v>
      </c>
      <c r="C40" s="357"/>
      <c r="D40" s="29" t="str">
        <f t="shared" si="3"/>
        <v>–</v>
      </c>
      <c r="E40" s="335" t="str">
        <f t="shared" si="4"/>
        <v>(awaiting)</v>
      </c>
      <c r="F40" s="15"/>
      <c r="G40" s="15"/>
      <c r="H40" s="15"/>
      <c r="I40" s="15"/>
      <c r="J40" s="15"/>
    </row>
    <row r="41" spans="1:10" x14ac:dyDescent="0.3">
      <c r="A41" t="s">
        <v>294</v>
      </c>
      <c r="B41" s="52">
        <f t="shared" si="2"/>
        <v>809.02800000000002</v>
      </c>
      <c r="C41" s="357"/>
      <c r="D41" s="29" t="str">
        <f t="shared" si="3"/>
        <v>–</v>
      </c>
      <c r="E41" s="335" t="str">
        <f t="shared" si="4"/>
        <v>(awaiting)</v>
      </c>
      <c r="F41" s="15"/>
      <c r="G41" s="15"/>
      <c r="H41" s="15"/>
      <c r="I41" s="15"/>
      <c r="J41" s="15"/>
    </row>
    <row r="42" spans="1:10" x14ac:dyDescent="0.3">
      <c r="A42" t="s">
        <v>295</v>
      </c>
      <c r="B42" s="52">
        <f t="shared" si="2"/>
        <v>-614.59199999999998</v>
      </c>
      <c r="C42" s="357"/>
      <c r="D42" s="29" t="str">
        <f t="shared" si="3"/>
        <v>–</v>
      </c>
      <c r="E42" s="335" t="str">
        <f t="shared" si="4"/>
        <v>(awaiting)</v>
      </c>
      <c r="F42" s="15"/>
      <c r="G42" s="15"/>
      <c r="H42" s="15"/>
      <c r="I42" s="15"/>
      <c r="J42" s="15"/>
    </row>
    <row r="43" spans="1:10" x14ac:dyDescent="0.3">
      <c r="A43" t="s">
        <v>172</v>
      </c>
      <c r="B43" s="52">
        <f>E21</f>
        <v>-21510.745200000001</v>
      </c>
      <c r="C43" s="357"/>
      <c r="D43" s="29" t="str">
        <f t="shared" si="3"/>
        <v>–</v>
      </c>
      <c r="E43" s="335" t="str">
        <f t="shared" si="4"/>
        <v>(awaiting)</v>
      </c>
      <c r="F43" s="15"/>
      <c r="G43" s="15"/>
      <c r="H43" s="15"/>
      <c r="I43" s="15"/>
      <c r="J43" s="15"/>
    </row>
    <row r="44" spans="1:10" ht="15" thickBot="1" x14ac:dyDescent="0.35">
      <c r="A44" s="164" t="s">
        <v>319</v>
      </c>
      <c r="B44" s="323">
        <f>'Conn DCF'!E62+'Space DCF'!E69+'AI DCF'!E61</f>
        <v>-13856.687209</v>
      </c>
      <c r="C44" s="358"/>
      <c r="D44" s="230" t="str">
        <f t="shared" si="3"/>
        <v>–</v>
      </c>
      <c r="E44" s="390" t="str">
        <f t="shared" si="4"/>
        <v>(awaiting)</v>
      </c>
      <c r="F44" s="18"/>
      <c r="G44" s="18"/>
      <c r="H44" s="18"/>
      <c r="I44" s="18"/>
      <c r="J44" s="18"/>
    </row>
    <row r="45" spans="1:10" ht="15" thickTop="1" x14ac:dyDescent="0.3"/>
    <row r="46" spans="1:10" x14ac:dyDescent="0.3">
      <c r="A46" s="92" t="s">
        <v>904</v>
      </c>
      <c r="B46" s="92"/>
      <c r="C46" s="92"/>
      <c r="D46" s="92"/>
      <c r="E46" s="92"/>
      <c r="F46" s="92"/>
      <c r="G46" s="92"/>
      <c r="H46" s="92"/>
      <c r="I46" s="92"/>
      <c r="J46" s="92"/>
    </row>
    <row r="47" spans="1:10" s="82" customFormat="1" ht="3" customHeight="1" x14ac:dyDescent="0.3">
      <c r="A47" s="143"/>
      <c r="B47" s="149"/>
      <c r="C47" s="149"/>
      <c r="D47" s="149"/>
      <c r="E47" s="149"/>
      <c r="F47" s="149"/>
      <c r="G47" s="149"/>
      <c r="H47" s="149"/>
      <c r="I47" s="149"/>
      <c r="J47" s="149"/>
    </row>
    <row r="48" spans="1:10" x14ac:dyDescent="0.3">
      <c r="A48" s="93" t="s">
        <v>750</v>
      </c>
      <c r="B48" s="94" t="s">
        <v>311</v>
      </c>
      <c r="C48" s="94" t="s">
        <v>300</v>
      </c>
      <c r="D48" s="94" t="s">
        <v>309</v>
      </c>
      <c r="E48" s="94" t="s">
        <v>301</v>
      </c>
      <c r="F48" s="94"/>
      <c r="G48" s="94"/>
      <c r="H48" s="94"/>
      <c r="I48" s="94"/>
      <c r="J48" s="94"/>
    </row>
    <row r="49" spans="1:10" x14ac:dyDescent="0.3">
      <c r="A49" t="s">
        <v>164</v>
      </c>
      <c r="B49" s="67">
        <f>C27</f>
        <v>6275.8207999999995</v>
      </c>
      <c r="C49" s="38"/>
      <c r="D49" s="29" t="str">
        <f>IF(C49="","–",C49/B49-1)</f>
        <v>–</v>
      </c>
      <c r="E49" s="335" t="str">
        <f>IF(C49="","(awaiting)",IF(ABS(D49)&lt;0.05,"On track",IF(D49&gt;0,"Beat","Miss")))</f>
        <v>(awaiting)</v>
      </c>
      <c r="F49" s="15"/>
      <c r="G49" s="15"/>
      <c r="H49" s="15"/>
      <c r="I49" s="15"/>
      <c r="J49" s="15"/>
    </row>
    <row r="50" spans="1:10" x14ac:dyDescent="0.3">
      <c r="A50" t="s">
        <v>310</v>
      </c>
      <c r="B50" s="67">
        <f>C28</f>
        <v>3986.2592</v>
      </c>
      <c r="C50" s="38"/>
      <c r="D50" s="29" t="str">
        <f>IF(C50="","–",C50/B50-1)</f>
        <v>–</v>
      </c>
      <c r="E50" s="335" t="str">
        <f>IF(C50="","(awaiting)",IF(ABS(D50)&lt;0.05,"On track",IF(D50&gt;0,"Beat","Miss")))</f>
        <v>(awaiting)</v>
      </c>
      <c r="F50" s="15"/>
      <c r="G50" s="15"/>
      <c r="H50" s="15"/>
      <c r="I50" s="15"/>
      <c r="J50" s="15"/>
    </row>
    <row r="51" spans="1:10" x14ac:dyDescent="0.3">
      <c r="A51" t="s">
        <v>292</v>
      </c>
      <c r="B51" s="67">
        <f>C29</f>
        <v>1240.1920000000002</v>
      </c>
      <c r="C51" s="38"/>
      <c r="D51" s="29" t="str">
        <f>IF(C51="","–",C51/B51-1)</f>
        <v>–</v>
      </c>
      <c r="E51" s="335" t="str">
        <f>IF(C51="","(awaiting)",IF(ABS(D51)&lt;0.05,"On track",IF(D51&gt;0,"Beat","Miss")))</f>
        <v>(awaiting)</v>
      </c>
      <c r="F51" s="15"/>
      <c r="G51" s="15"/>
      <c r="H51" s="15"/>
      <c r="I51" s="15"/>
      <c r="J51" s="15"/>
    </row>
    <row r="52" spans="1:10" ht="15" thickBot="1" x14ac:dyDescent="0.35">
      <c r="A52" s="164" t="s">
        <v>293</v>
      </c>
      <c r="B52" s="227">
        <f>C30</f>
        <v>1049.3696</v>
      </c>
      <c r="C52" s="359"/>
      <c r="D52" s="230" t="str">
        <f>IF(C52="","–",C52/B52-1)</f>
        <v>–</v>
      </c>
      <c r="E52" s="390" t="str">
        <f>IF(C52="","(awaiting)",IF(ABS(D52)&lt;0.05,"On track",IF(D52&gt;0,"Beat","Miss")))</f>
        <v>(awaiting)</v>
      </c>
      <c r="F52" s="18"/>
      <c r="G52" s="18"/>
      <c r="H52" s="18"/>
      <c r="I52" s="18"/>
      <c r="J52" s="18"/>
    </row>
    <row r="53" spans="1:10" ht="15" thickTop="1" x14ac:dyDescent="0.3"/>
    <row r="54" spans="1:10" x14ac:dyDescent="0.3">
      <c r="A54" s="92" t="s">
        <v>312</v>
      </c>
      <c r="B54" s="92"/>
      <c r="C54" s="92"/>
      <c r="D54" s="92"/>
      <c r="E54" s="92"/>
      <c r="F54" s="92"/>
      <c r="G54" s="92"/>
      <c r="H54" s="92"/>
      <c r="I54" s="92"/>
      <c r="J54" s="92"/>
    </row>
    <row r="55" spans="1:10" x14ac:dyDescent="0.3">
      <c r="A55" s="495" t="s">
        <v>313</v>
      </c>
    </row>
    <row r="56" spans="1:10" x14ac:dyDescent="0.3">
      <c r="A56" s="495" t="s">
        <v>314</v>
      </c>
    </row>
    <row r="57" spans="1:10" x14ac:dyDescent="0.3">
      <c r="A57" s="495" t="s">
        <v>905</v>
      </c>
    </row>
    <row r="58" spans="1:10" x14ac:dyDescent="0.3">
      <c r="A58" s="495" t="s">
        <v>315</v>
      </c>
    </row>
    <row r="59" spans="1:10" ht="15" thickBot="1" x14ac:dyDescent="0.35">
      <c r="A59" s="496" t="s">
        <v>316</v>
      </c>
      <c r="B59" s="164"/>
      <c r="C59" s="164"/>
      <c r="D59" s="164"/>
      <c r="E59" s="164"/>
      <c r="F59" s="164"/>
      <c r="G59" s="164"/>
      <c r="H59" s="164"/>
      <c r="I59" s="164"/>
      <c r="J59" s="164"/>
    </row>
    <row r="60" spans="1:10" ht="15" thickTop="1" x14ac:dyDescent="0.3"/>
  </sheetData>
  <sheetProtection algorithmName="SHA-512" hashValue="Dbr/sN8rke1ABkyRSXgSXyESQb8bc6dWtv0xYXf82KkdOsh1zobkYuDYhS4d+P24T2mZnLXs/hbP1rZcyGLYyw==" saltValue="Bg5md+igHqz7BPVSXcSj5A==" spinCount="100000" sheet="1" objects="1" scenarios="1"/>
  <pageMargins left="0.7" right="0.7" top="0.75" bottom="0.75" header="0.3" footer="0.3"/>
  <drawing r:id="rId1"/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256289-180E-44BF-8B5A-E46EA35699B4}">
  <sheetPr>
    <tabColor theme="1" tint="0.499984740745262"/>
  </sheetPr>
  <dimension ref="A1:Q200"/>
  <sheetViews>
    <sheetView showGridLines="0" zoomScaleNormal="100"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J29" sqref="J29"/>
    </sheetView>
  </sheetViews>
  <sheetFormatPr defaultRowHeight="14.4" x14ac:dyDescent="0.3"/>
  <cols>
    <col min="1" max="1" width="44.44140625" customWidth="1"/>
    <col min="2" max="17" width="11.109375" customWidth="1"/>
  </cols>
  <sheetData>
    <row r="1" spans="1:17" ht="30" customHeight="1" x14ac:dyDescent="0.3">
      <c r="A1" s="105" t="s">
        <v>906</v>
      </c>
      <c r="E1" s="361"/>
      <c r="I1" s="361"/>
    </row>
    <row r="2" spans="1:17" x14ac:dyDescent="0.3">
      <c r="A2" s="81" t="s">
        <v>477</v>
      </c>
      <c r="E2" s="361"/>
      <c r="I2" s="361"/>
    </row>
    <row r="3" spans="1:17" x14ac:dyDescent="0.3">
      <c r="A3" s="81" t="s">
        <v>478</v>
      </c>
      <c r="E3" s="361"/>
      <c r="I3" s="361"/>
    </row>
    <row r="4" spans="1:17" x14ac:dyDescent="0.3">
      <c r="E4" s="361"/>
      <c r="F4" s="360" t="s">
        <v>813</v>
      </c>
      <c r="I4" s="361"/>
      <c r="J4" s="360" t="s">
        <v>814</v>
      </c>
    </row>
    <row r="5" spans="1:17" x14ac:dyDescent="0.3">
      <c r="B5" s="14" t="s">
        <v>297</v>
      </c>
      <c r="C5" s="14" t="s">
        <v>298</v>
      </c>
      <c r="D5" s="14" t="s">
        <v>299</v>
      </c>
      <c r="E5" s="362" t="s">
        <v>806</v>
      </c>
      <c r="F5" s="121" t="s">
        <v>479</v>
      </c>
      <c r="G5" s="121" t="s">
        <v>807</v>
      </c>
      <c r="H5" s="121" t="s">
        <v>808</v>
      </c>
      <c r="I5" s="383" t="s">
        <v>809</v>
      </c>
      <c r="J5" s="121" t="s">
        <v>132</v>
      </c>
      <c r="K5" s="121" t="s">
        <v>810</v>
      </c>
      <c r="L5" s="121" t="s">
        <v>811</v>
      </c>
      <c r="M5" s="121" t="s">
        <v>812</v>
      </c>
      <c r="N5" s="121"/>
      <c r="O5" s="121"/>
      <c r="P5" s="121"/>
      <c r="Q5" s="121"/>
    </row>
    <row r="6" spans="1:17" s="82" customFormat="1" ht="3" customHeight="1" x14ac:dyDescent="0.3">
      <c r="B6" s="42"/>
      <c r="C6" s="42"/>
      <c r="D6" s="42"/>
      <c r="E6" s="363"/>
      <c r="F6" s="42"/>
      <c r="G6" s="42"/>
      <c r="H6" s="42"/>
      <c r="I6" s="363"/>
      <c r="J6" s="42"/>
      <c r="K6" s="42"/>
      <c r="L6" s="42"/>
      <c r="M6" s="42"/>
      <c r="N6" s="42"/>
      <c r="O6" s="42"/>
      <c r="P6" s="42"/>
      <c r="Q6" s="42"/>
    </row>
    <row r="7" spans="1:17" x14ac:dyDescent="0.3">
      <c r="A7" s="92" t="s">
        <v>480</v>
      </c>
      <c r="B7" s="106"/>
      <c r="C7" s="106"/>
      <c r="D7" s="106"/>
      <c r="E7" s="364"/>
      <c r="F7" s="106"/>
      <c r="G7" s="106"/>
      <c r="H7" s="106"/>
      <c r="I7" s="364"/>
      <c r="J7" s="106"/>
      <c r="K7" s="106"/>
      <c r="L7" s="106"/>
      <c r="M7" s="106"/>
      <c r="N7" s="106"/>
      <c r="O7" s="106"/>
      <c r="P7" s="106"/>
      <c r="Q7" s="106"/>
    </row>
    <row r="8" spans="1:17" x14ac:dyDescent="0.3">
      <c r="A8" s="1" t="s">
        <v>67</v>
      </c>
      <c r="B8" s="44">
        <v>10387</v>
      </c>
      <c r="C8" s="44">
        <v>14015</v>
      </c>
      <c r="D8" s="44">
        <v>18674</v>
      </c>
      <c r="E8" s="365"/>
      <c r="F8" s="44">
        <v>4067</v>
      </c>
      <c r="G8" s="44"/>
      <c r="H8" s="44"/>
      <c r="I8" s="365"/>
      <c r="J8" s="44">
        <v>4694</v>
      </c>
      <c r="K8" s="44"/>
      <c r="L8" s="44"/>
      <c r="M8" s="44"/>
      <c r="N8" s="44"/>
      <c r="O8" s="44"/>
      <c r="P8" s="44"/>
      <c r="Q8" s="44"/>
    </row>
    <row r="9" spans="1:17" x14ac:dyDescent="0.3">
      <c r="A9" t="s">
        <v>481</v>
      </c>
      <c r="B9" s="71">
        <v>-6110</v>
      </c>
      <c r="C9" s="71">
        <v>-7996</v>
      </c>
      <c r="D9" s="71">
        <v>-9451</v>
      </c>
      <c r="E9" s="366"/>
      <c r="F9" s="71">
        <v>-1962</v>
      </c>
      <c r="G9" s="71"/>
      <c r="H9" s="71"/>
      <c r="I9" s="366"/>
      <c r="J9" s="71">
        <v>-2388</v>
      </c>
      <c r="K9" s="71"/>
      <c r="L9" s="71"/>
      <c r="M9" s="71"/>
      <c r="N9" s="71"/>
      <c r="O9" s="71"/>
      <c r="P9" s="71"/>
      <c r="Q9" s="71"/>
    </row>
    <row r="10" spans="1:17" x14ac:dyDescent="0.3">
      <c r="A10" s="1" t="s">
        <v>482</v>
      </c>
      <c r="B10" s="72">
        <f>B8+B9</f>
        <v>4277</v>
      </c>
      <c r="C10" s="72">
        <f>C8+C9</f>
        <v>6019</v>
      </c>
      <c r="D10" s="72">
        <f>D8+D9</f>
        <v>9223</v>
      </c>
      <c r="E10" s="367"/>
      <c r="F10" s="72">
        <f>F8+F9</f>
        <v>2105</v>
      </c>
      <c r="G10" s="72"/>
      <c r="H10" s="72"/>
      <c r="I10" s="367"/>
      <c r="J10" s="72">
        <f>J8+J9</f>
        <v>2306</v>
      </c>
      <c r="K10" s="72"/>
      <c r="L10" s="72"/>
      <c r="M10" s="72"/>
      <c r="N10" s="72"/>
      <c r="O10" s="72"/>
      <c r="P10" s="72"/>
      <c r="Q10" s="72"/>
    </row>
    <row r="11" spans="1:17" x14ac:dyDescent="0.3">
      <c r="A11" s="2" t="s">
        <v>483</v>
      </c>
      <c r="B11" s="73">
        <f>B10/B8</f>
        <v>0.41176470588235292</v>
      </c>
      <c r="C11" s="73">
        <f>C10/C8</f>
        <v>0.4294684266856939</v>
      </c>
      <c r="D11" s="73">
        <f>D10/D8</f>
        <v>0.49389525543536467</v>
      </c>
      <c r="E11" s="368"/>
      <c r="F11" s="73">
        <f>F10/F8</f>
        <v>0.51758052618637818</v>
      </c>
      <c r="G11" s="73"/>
      <c r="H11" s="73"/>
      <c r="I11" s="368"/>
      <c r="J11" s="73">
        <f>J10/J8</f>
        <v>0.49126544524925436</v>
      </c>
      <c r="K11" s="73"/>
      <c r="L11" s="73"/>
      <c r="M11" s="73"/>
      <c r="N11" s="73"/>
      <c r="O11" s="73"/>
      <c r="P11" s="73"/>
      <c r="Q11" s="73"/>
    </row>
    <row r="12" spans="1:17" x14ac:dyDescent="0.3">
      <c r="A12" t="s">
        <v>484</v>
      </c>
      <c r="B12" s="71">
        <v>-2105</v>
      </c>
      <c r="C12" s="71">
        <v>-3464</v>
      </c>
      <c r="D12" s="71">
        <v>-8643</v>
      </c>
      <c r="E12" s="366"/>
      <c r="F12" s="71">
        <v>-1557</v>
      </c>
      <c r="G12" s="71"/>
      <c r="H12" s="71"/>
      <c r="I12" s="366"/>
      <c r="J12" s="71">
        <v>-3514</v>
      </c>
      <c r="K12" s="71"/>
      <c r="L12" s="71"/>
      <c r="M12" s="71"/>
      <c r="N12" s="71"/>
      <c r="O12" s="71"/>
      <c r="P12" s="71"/>
      <c r="Q12" s="71"/>
    </row>
    <row r="13" spans="1:17" x14ac:dyDescent="0.3">
      <c r="A13" t="s">
        <v>485</v>
      </c>
      <c r="B13" s="71">
        <v>-1665</v>
      </c>
      <c r="C13" s="71">
        <v>-1813</v>
      </c>
      <c r="D13" s="71">
        <v>-2644</v>
      </c>
      <c r="E13" s="366"/>
      <c r="F13" s="71">
        <v>-493</v>
      </c>
      <c r="G13" s="71"/>
      <c r="H13" s="71"/>
      <c r="I13" s="366"/>
      <c r="J13" s="71">
        <v>-746</v>
      </c>
      <c r="K13" s="71"/>
      <c r="L13" s="71"/>
      <c r="M13" s="71"/>
      <c r="N13" s="71"/>
      <c r="O13" s="71"/>
      <c r="P13" s="71"/>
      <c r="Q13" s="71"/>
    </row>
    <row r="14" spans="1:17" x14ac:dyDescent="0.3">
      <c r="A14" t="s">
        <v>486</v>
      </c>
      <c r="B14" s="71">
        <v>-237</v>
      </c>
      <c r="C14" s="71">
        <v>-213</v>
      </c>
      <c r="D14" s="71">
        <v>-487</v>
      </c>
      <c r="E14" s="366"/>
      <c r="F14" s="71">
        <v>-4</v>
      </c>
      <c r="G14" s="71"/>
      <c r="H14" s="71"/>
      <c r="I14" s="366"/>
      <c r="J14" s="71">
        <v>11</v>
      </c>
      <c r="K14" s="71"/>
      <c r="L14" s="71"/>
      <c r="M14" s="71"/>
      <c r="N14" s="71"/>
      <c r="O14" s="71"/>
      <c r="P14" s="71"/>
      <c r="Q14" s="71"/>
    </row>
    <row r="15" spans="1:17" x14ac:dyDescent="0.3">
      <c r="A15" t="s">
        <v>487</v>
      </c>
      <c r="B15" s="71">
        <v>-3775</v>
      </c>
      <c r="C15" s="71">
        <v>-63</v>
      </c>
      <c r="D15" s="71">
        <v>-38</v>
      </c>
      <c r="E15" s="366"/>
      <c r="F15" s="71">
        <v>-24</v>
      </c>
      <c r="G15" s="71"/>
      <c r="H15" s="71"/>
      <c r="I15" s="366"/>
      <c r="J15" s="71">
        <v>0</v>
      </c>
      <c r="K15" s="71"/>
      <c r="L15" s="71"/>
      <c r="M15" s="71"/>
      <c r="N15" s="71"/>
      <c r="O15" s="71"/>
      <c r="P15" s="71"/>
      <c r="Q15" s="71"/>
    </row>
    <row r="16" spans="1:17" x14ac:dyDescent="0.3">
      <c r="A16" s="1" t="s">
        <v>488</v>
      </c>
      <c r="B16" s="72">
        <f>B9+B12+B13+B14+B15</f>
        <v>-13892</v>
      </c>
      <c r="C16" s="72">
        <f>C9+C12+C13+C14+C15</f>
        <v>-13549</v>
      </c>
      <c r="D16" s="72">
        <f>D9+D12+D13+D14+D15</f>
        <v>-21263</v>
      </c>
      <c r="E16" s="367"/>
      <c r="F16" s="72">
        <f>F9+F12+F13+F14+F15</f>
        <v>-4040</v>
      </c>
      <c r="G16" s="72"/>
      <c r="H16" s="72"/>
      <c r="I16" s="367"/>
      <c r="J16" s="72">
        <f>J9+J12+J13+J14+J15</f>
        <v>-6637</v>
      </c>
      <c r="K16" s="72"/>
      <c r="L16" s="72"/>
      <c r="M16" s="72"/>
      <c r="N16" s="72"/>
      <c r="O16" s="72"/>
      <c r="P16" s="72"/>
      <c r="Q16" s="72"/>
    </row>
    <row r="17" spans="1:17" x14ac:dyDescent="0.3">
      <c r="B17" s="15"/>
      <c r="C17" s="15"/>
      <c r="D17" s="15"/>
      <c r="E17" s="369"/>
      <c r="F17" s="15"/>
      <c r="G17" s="15"/>
      <c r="H17" s="15"/>
      <c r="I17" s="369"/>
      <c r="J17" s="15"/>
      <c r="K17" s="15"/>
      <c r="L17" s="15"/>
      <c r="M17" s="15"/>
      <c r="N17" s="15"/>
      <c r="O17" s="15"/>
      <c r="P17" s="15"/>
      <c r="Q17" s="15"/>
    </row>
    <row r="18" spans="1:17" x14ac:dyDescent="0.3">
      <c r="A18" s="1" t="s">
        <v>489</v>
      </c>
      <c r="B18" s="72">
        <f>B8+B16</f>
        <v>-3505</v>
      </c>
      <c r="C18" s="72">
        <f>C8+C16</f>
        <v>466</v>
      </c>
      <c r="D18" s="72">
        <f>D8+D16</f>
        <v>-2589</v>
      </c>
      <c r="E18" s="367"/>
      <c r="F18" s="72">
        <f>F8+F16</f>
        <v>27</v>
      </c>
      <c r="G18" s="72"/>
      <c r="H18" s="72"/>
      <c r="I18" s="367"/>
      <c r="J18" s="72">
        <f>J8+J16</f>
        <v>-1943</v>
      </c>
      <c r="K18" s="72"/>
      <c r="L18" s="72"/>
      <c r="M18" s="72"/>
      <c r="N18" s="72"/>
      <c r="O18" s="72"/>
      <c r="P18" s="72"/>
      <c r="Q18" s="72"/>
    </row>
    <row r="19" spans="1:17" x14ac:dyDescent="0.3">
      <c r="A19" s="2" t="s">
        <v>490</v>
      </c>
      <c r="B19" s="73">
        <f>B18/B8</f>
        <v>-0.33744103205930492</v>
      </c>
      <c r="C19" s="73">
        <f>C18/C8</f>
        <v>3.325008919015341E-2</v>
      </c>
      <c r="D19" s="73">
        <f>D18/D8</f>
        <v>-0.13864196208632323</v>
      </c>
      <c r="E19" s="370"/>
      <c r="F19" s="73">
        <f>F18/F8</f>
        <v>6.6388000983525937E-3</v>
      </c>
      <c r="G19" s="74"/>
      <c r="H19" s="74"/>
      <c r="I19" s="370"/>
      <c r="J19" s="73">
        <f>J18/J8</f>
        <v>-0.41393268001704303</v>
      </c>
      <c r="K19" s="74"/>
      <c r="L19" s="74"/>
      <c r="M19" s="74"/>
      <c r="N19" s="74"/>
      <c r="O19" s="74"/>
      <c r="P19" s="74"/>
      <c r="Q19" s="74"/>
    </row>
    <row r="20" spans="1:17" x14ac:dyDescent="0.3">
      <c r="A20" t="s">
        <v>491</v>
      </c>
      <c r="B20" s="71">
        <v>-1693</v>
      </c>
      <c r="C20" s="71">
        <v>-1580</v>
      </c>
      <c r="D20" s="71">
        <v>-1945</v>
      </c>
      <c r="E20" s="366"/>
      <c r="F20" s="71">
        <v>-447</v>
      </c>
      <c r="G20" s="71"/>
      <c r="H20" s="71"/>
      <c r="I20" s="366"/>
      <c r="J20" s="71">
        <v>-664</v>
      </c>
      <c r="K20" s="71"/>
      <c r="L20" s="71"/>
      <c r="M20" s="71"/>
      <c r="N20" s="71"/>
      <c r="O20" s="71"/>
      <c r="P20" s="71"/>
      <c r="Q20" s="71"/>
    </row>
    <row r="21" spans="1:17" x14ac:dyDescent="0.3">
      <c r="A21" t="s">
        <v>492</v>
      </c>
      <c r="B21" s="71">
        <v>249</v>
      </c>
      <c r="C21" s="71">
        <v>371</v>
      </c>
      <c r="D21" s="71">
        <v>492</v>
      </c>
      <c r="E21" s="366"/>
      <c r="F21" s="71">
        <v>117</v>
      </c>
      <c r="G21" s="71"/>
      <c r="H21" s="71"/>
      <c r="I21" s="366"/>
      <c r="J21" s="71">
        <v>213</v>
      </c>
      <c r="K21" s="71"/>
      <c r="L21" s="71"/>
      <c r="M21" s="71"/>
      <c r="N21" s="71"/>
      <c r="O21" s="71"/>
      <c r="P21" s="71"/>
      <c r="Q21" s="71"/>
    </row>
    <row r="22" spans="1:17" x14ac:dyDescent="0.3">
      <c r="A22" t="s">
        <v>493</v>
      </c>
      <c r="B22" s="71">
        <v>-42</v>
      </c>
      <c r="C22" s="71">
        <v>985</v>
      </c>
      <c r="D22" s="71">
        <v>-177</v>
      </c>
      <c r="E22" s="366"/>
      <c r="F22" s="71">
        <v>-211</v>
      </c>
      <c r="G22" s="71"/>
      <c r="H22" s="71"/>
      <c r="I22" s="366"/>
      <c r="J22" s="71">
        <v>-1876</v>
      </c>
      <c r="K22" s="71"/>
      <c r="L22" s="71"/>
      <c r="M22" s="71"/>
      <c r="N22" s="71"/>
      <c r="O22" s="71"/>
      <c r="P22" s="71"/>
      <c r="Q22" s="71"/>
    </row>
    <row r="23" spans="1:17" x14ac:dyDescent="0.3">
      <c r="A23" s="1" t="s">
        <v>494</v>
      </c>
      <c r="B23" s="72">
        <f>B18+B20+B21+B22</f>
        <v>-4991</v>
      </c>
      <c r="C23" s="72">
        <f>C18+C20+C21+C22</f>
        <v>242</v>
      </c>
      <c r="D23" s="72">
        <f>D18+D20+D21+D22</f>
        <v>-4219</v>
      </c>
      <c r="E23" s="371"/>
      <c r="F23" s="72">
        <f>F18+F20+F21+F22</f>
        <v>-514</v>
      </c>
      <c r="G23" s="75"/>
      <c r="H23" s="75"/>
      <c r="I23" s="371"/>
      <c r="J23" s="72">
        <f>J18+J20+J21+J22</f>
        <v>-4270</v>
      </c>
      <c r="K23" s="75"/>
      <c r="L23" s="75"/>
      <c r="M23" s="75"/>
      <c r="N23" s="75"/>
      <c r="O23" s="75"/>
      <c r="P23" s="75"/>
      <c r="Q23" s="75"/>
    </row>
    <row r="24" spans="1:17" x14ac:dyDescent="0.3">
      <c r="A24" t="s">
        <v>495</v>
      </c>
      <c r="B24" s="71">
        <v>363</v>
      </c>
      <c r="C24" s="71">
        <v>549</v>
      </c>
      <c r="D24" s="71">
        <v>-718</v>
      </c>
      <c r="E24" s="366"/>
      <c r="F24" s="71">
        <v>-14</v>
      </c>
      <c r="G24" s="71"/>
      <c r="H24" s="71"/>
      <c r="I24" s="366"/>
      <c r="J24" s="71">
        <v>-6</v>
      </c>
      <c r="K24" s="71"/>
      <c r="L24" s="71"/>
      <c r="M24" s="71"/>
      <c r="N24" s="71"/>
      <c r="O24" s="71"/>
      <c r="P24" s="71"/>
      <c r="Q24" s="71"/>
    </row>
    <row r="25" spans="1:17" x14ac:dyDescent="0.3">
      <c r="A25" s="1" t="s">
        <v>496</v>
      </c>
      <c r="B25" s="72">
        <f>B23+B24</f>
        <v>-4628</v>
      </c>
      <c r="C25" s="72">
        <f>C23+C24</f>
        <v>791</v>
      </c>
      <c r="D25" s="72">
        <f>D23+D24</f>
        <v>-4937</v>
      </c>
      <c r="E25" s="371"/>
      <c r="F25" s="72">
        <f>F23+F24</f>
        <v>-528</v>
      </c>
      <c r="G25" s="75"/>
      <c r="H25" s="75"/>
      <c r="I25" s="371"/>
      <c r="J25" s="72">
        <f>J23+J24</f>
        <v>-4276</v>
      </c>
      <c r="K25" s="75"/>
      <c r="L25" s="75"/>
      <c r="M25" s="75"/>
      <c r="N25" s="75"/>
      <c r="O25" s="75"/>
      <c r="P25" s="75"/>
      <c r="Q25" s="75"/>
    </row>
    <row r="26" spans="1:17" ht="15" thickBot="1" x14ac:dyDescent="0.35">
      <c r="A26" s="215" t="s">
        <v>497</v>
      </c>
      <c r="B26" s="385">
        <f>B25/B8</f>
        <v>-0.4455569461827284</v>
      </c>
      <c r="C26" s="385">
        <f>C25/C8</f>
        <v>5.6439529075990008E-2</v>
      </c>
      <c r="D26" s="385">
        <f>D25/D8</f>
        <v>-0.2643782799614437</v>
      </c>
      <c r="E26" s="372"/>
      <c r="F26" s="385">
        <f>F25/F8</f>
        <v>-0.12982542414556184</v>
      </c>
      <c r="G26" s="236"/>
      <c r="H26" s="236"/>
      <c r="I26" s="372"/>
      <c r="J26" s="385">
        <f>J25/J8</f>
        <v>-0.91095014912654448</v>
      </c>
      <c r="K26" s="236"/>
      <c r="L26" s="236"/>
      <c r="M26" s="236"/>
      <c r="N26" s="236"/>
      <c r="O26" s="236"/>
      <c r="P26" s="236"/>
      <c r="Q26" s="236"/>
    </row>
    <row r="27" spans="1:17" ht="15" thickTop="1" x14ac:dyDescent="0.3">
      <c r="B27" s="15"/>
      <c r="C27" s="15"/>
      <c r="D27" s="15"/>
      <c r="E27" s="369"/>
      <c r="F27" s="15"/>
      <c r="G27" s="15"/>
      <c r="H27" s="15"/>
      <c r="I27" s="369"/>
      <c r="J27" s="15"/>
      <c r="K27" s="15"/>
      <c r="L27" s="15"/>
      <c r="M27" s="15"/>
      <c r="N27" s="15"/>
      <c r="O27" s="15"/>
      <c r="P27" s="15"/>
      <c r="Q27" s="15"/>
    </row>
    <row r="28" spans="1:17" x14ac:dyDescent="0.3">
      <c r="A28" s="92" t="s">
        <v>498</v>
      </c>
      <c r="B28" s="106"/>
      <c r="C28" s="106"/>
      <c r="D28" s="106"/>
      <c r="E28" s="364"/>
      <c r="F28" s="106"/>
      <c r="G28" s="106"/>
      <c r="H28" s="106"/>
      <c r="I28" s="364"/>
      <c r="J28" s="106"/>
      <c r="K28" s="106"/>
      <c r="L28" s="106"/>
      <c r="M28" s="106"/>
      <c r="N28" s="106"/>
      <c r="O28" s="106"/>
      <c r="P28" s="106"/>
      <c r="Q28" s="106"/>
    </row>
    <row r="29" spans="1:17" x14ac:dyDescent="0.3">
      <c r="A29" s="1" t="s">
        <v>499</v>
      </c>
      <c r="B29" s="44">
        <v>3557</v>
      </c>
      <c r="C29" s="44">
        <v>3796</v>
      </c>
      <c r="D29" s="44">
        <v>4086</v>
      </c>
      <c r="E29" s="365"/>
      <c r="F29" s="44">
        <v>865</v>
      </c>
      <c r="G29" s="44"/>
      <c r="H29" s="44"/>
      <c r="I29" s="365"/>
      <c r="J29" s="44">
        <v>619</v>
      </c>
      <c r="K29" s="44"/>
      <c r="L29" s="44"/>
      <c r="M29" s="44"/>
      <c r="N29" s="44"/>
      <c r="O29" s="44"/>
      <c r="P29" s="44"/>
      <c r="Q29" s="44"/>
    </row>
    <row r="30" spans="1:17" x14ac:dyDescent="0.3">
      <c r="A30" t="s">
        <v>500</v>
      </c>
      <c r="B30" s="44">
        <v>1964</v>
      </c>
      <c r="C30" s="44">
        <v>2584</v>
      </c>
      <c r="D30" s="44">
        <v>2576</v>
      </c>
      <c r="E30" s="365"/>
      <c r="F30" s="15"/>
      <c r="G30" s="15"/>
      <c r="H30" s="15"/>
      <c r="I30" s="369"/>
      <c r="J30" s="15"/>
      <c r="K30" s="15"/>
      <c r="L30" s="15"/>
      <c r="M30" s="15"/>
      <c r="N30" s="15"/>
      <c r="O30" s="15"/>
      <c r="P30" s="15"/>
      <c r="Q30" s="15"/>
    </row>
    <row r="31" spans="1:17" x14ac:dyDescent="0.3">
      <c r="A31" t="s">
        <v>501</v>
      </c>
      <c r="B31" s="44">
        <v>1593</v>
      </c>
      <c r="C31" s="44">
        <v>1212</v>
      </c>
      <c r="D31" s="44">
        <v>1510</v>
      </c>
      <c r="E31" s="365"/>
      <c r="F31" s="15"/>
      <c r="G31" s="15"/>
      <c r="H31" s="15"/>
      <c r="I31" s="369"/>
      <c r="J31" s="15"/>
      <c r="K31" s="15"/>
      <c r="L31" s="15"/>
      <c r="M31" s="15"/>
      <c r="N31" s="15"/>
      <c r="O31" s="15"/>
      <c r="P31" s="15"/>
      <c r="Q31" s="15"/>
    </row>
    <row r="32" spans="1:17" x14ac:dyDescent="0.3">
      <c r="A32" s="1" t="s">
        <v>502</v>
      </c>
      <c r="B32" s="44">
        <v>3869</v>
      </c>
      <c r="C32" s="44">
        <v>7599</v>
      </c>
      <c r="D32" s="44">
        <v>11387</v>
      </c>
      <c r="E32" s="365"/>
      <c r="F32" s="44">
        <v>2475</v>
      </c>
      <c r="G32" s="44"/>
      <c r="H32" s="44"/>
      <c r="I32" s="365"/>
      <c r="J32" s="44">
        <v>3257</v>
      </c>
      <c r="K32" s="44"/>
      <c r="L32" s="44"/>
      <c r="M32" s="44"/>
      <c r="N32" s="44"/>
      <c r="O32" s="44"/>
      <c r="P32" s="44"/>
      <c r="Q32" s="44"/>
    </row>
    <row r="33" spans="1:17" x14ac:dyDescent="0.3">
      <c r="A33" t="s">
        <v>503</v>
      </c>
      <c r="B33" s="44">
        <v>2817</v>
      </c>
      <c r="C33" s="44">
        <v>4830</v>
      </c>
      <c r="D33" s="44">
        <v>7208</v>
      </c>
      <c r="E33" s="365"/>
      <c r="F33" s="15"/>
      <c r="G33" s="15"/>
      <c r="H33" s="15"/>
      <c r="I33" s="369"/>
      <c r="J33" s="15"/>
      <c r="K33" s="15"/>
      <c r="L33" s="15"/>
      <c r="M33" s="15"/>
      <c r="N33" s="15"/>
      <c r="O33" s="15"/>
      <c r="P33" s="15"/>
      <c r="Q33" s="15"/>
    </row>
    <row r="34" spans="1:17" x14ac:dyDescent="0.3">
      <c r="A34" t="s">
        <v>504</v>
      </c>
      <c r="B34" s="44">
        <v>1052</v>
      </c>
      <c r="C34" s="44">
        <v>2769</v>
      </c>
      <c r="D34" s="44">
        <v>4179</v>
      </c>
      <c r="E34" s="365"/>
      <c r="F34" s="15"/>
      <c r="G34" s="15"/>
      <c r="H34" s="15"/>
      <c r="I34" s="369"/>
      <c r="J34" s="15"/>
      <c r="K34" s="15"/>
      <c r="L34" s="15"/>
      <c r="M34" s="15"/>
      <c r="N34" s="15"/>
      <c r="O34" s="15"/>
      <c r="P34" s="15"/>
      <c r="Q34" s="15"/>
    </row>
    <row r="35" spans="1:17" x14ac:dyDescent="0.3">
      <c r="A35" s="1" t="s">
        <v>505</v>
      </c>
      <c r="B35" s="44">
        <v>2961</v>
      </c>
      <c r="C35" s="44">
        <v>2620</v>
      </c>
      <c r="D35" s="44">
        <v>3201</v>
      </c>
      <c r="E35" s="365"/>
      <c r="F35" s="44">
        <v>727</v>
      </c>
      <c r="G35" s="44"/>
      <c r="H35" s="44"/>
      <c r="I35" s="365"/>
      <c r="J35" s="44">
        <v>818</v>
      </c>
      <c r="K35" s="44"/>
      <c r="L35" s="44"/>
      <c r="M35" s="44"/>
      <c r="N35" s="44"/>
      <c r="O35" s="44"/>
      <c r="P35" s="44"/>
      <c r="Q35" s="44"/>
    </row>
    <row r="36" spans="1:17" x14ac:dyDescent="0.3">
      <c r="A36" t="s">
        <v>506</v>
      </c>
      <c r="B36" s="44">
        <v>2323</v>
      </c>
      <c r="C36" s="44">
        <v>1728</v>
      </c>
      <c r="D36" s="44">
        <v>1844</v>
      </c>
      <c r="E36" s="365"/>
      <c r="F36" s="15"/>
      <c r="G36" s="15"/>
      <c r="H36" s="15"/>
      <c r="I36" s="369"/>
      <c r="J36" s="15"/>
      <c r="K36" s="15"/>
      <c r="L36" s="15"/>
      <c r="M36" s="15"/>
      <c r="N36" s="15"/>
      <c r="O36" s="15"/>
      <c r="P36" s="15"/>
      <c r="Q36" s="15"/>
    </row>
    <row r="37" spans="1:17" x14ac:dyDescent="0.3">
      <c r="A37" t="s">
        <v>507</v>
      </c>
      <c r="B37" s="44">
        <v>638</v>
      </c>
      <c r="C37" s="44">
        <v>892</v>
      </c>
      <c r="D37" s="44">
        <v>1357</v>
      </c>
      <c r="E37" s="365"/>
      <c r="F37" s="15"/>
      <c r="G37" s="15"/>
      <c r="H37" s="15"/>
      <c r="I37" s="369"/>
      <c r="J37" s="15"/>
      <c r="K37" s="15"/>
      <c r="L37" s="15"/>
      <c r="M37" s="15"/>
      <c r="N37" s="15"/>
      <c r="O37" s="15"/>
      <c r="P37" s="15"/>
      <c r="Q37" s="15"/>
    </row>
    <row r="38" spans="1:17" ht="15" thickBot="1" x14ac:dyDescent="0.35">
      <c r="A38" s="169" t="s">
        <v>508</v>
      </c>
      <c r="B38" s="386">
        <f>B29+B32+B35</f>
        <v>10387</v>
      </c>
      <c r="C38" s="386">
        <f>C29+C32+C35</f>
        <v>14015</v>
      </c>
      <c r="D38" s="386">
        <f>D29+D32+D35</f>
        <v>18674</v>
      </c>
      <c r="E38" s="373"/>
      <c r="F38" s="386">
        <f>F29+F32+F35</f>
        <v>4067</v>
      </c>
      <c r="G38" s="237"/>
      <c r="H38" s="237"/>
      <c r="I38" s="373"/>
      <c r="J38" s="386">
        <f>J29+J32+J35</f>
        <v>4694</v>
      </c>
      <c r="K38" s="237"/>
      <c r="L38" s="237"/>
      <c r="M38" s="237"/>
      <c r="N38" s="237"/>
      <c r="O38" s="237"/>
      <c r="P38" s="237"/>
      <c r="Q38" s="237"/>
    </row>
    <row r="39" spans="1:17" ht="15" thickTop="1" x14ac:dyDescent="0.3">
      <c r="B39" s="15"/>
      <c r="C39" s="15"/>
      <c r="D39" s="15"/>
      <c r="E39" s="369"/>
      <c r="F39" s="15"/>
      <c r="G39" s="15"/>
      <c r="H39" s="15"/>
      <c r="I39" s="369"/>
      <c r="J39" s="15"/>
      <c r="K39" s="15"/>
      <c r="L39" s="15"/>
      <c r="M39" s="15"/>
      <c r="N39" s="15"/>
      <c r="O39" s="15"/>
      <c r="P39" s="15"/>
      <c r="Q39" s="15"/>
    </row>
    <row r="40" spans="1:17" x14ac:dyDescent="0.3">
      <c r="A40" s="92" t="s">
        <v>509</v>
      </c>
      <c r="B40" s="106"/>
      <c r="C40" s="106"/>
      <c r="D40" s="106"/>
      <c r="E40" s="364"/>
      <c r="F40" s="106"/>
      <c r="G40" s="106"/>
      <c r="H40" s="106"/>
      <c r="I40" s="364"/>
      <c r="J40" s="106"/>
      <c r="K40" s="106"/>
      <c r="L40" s="106"/>
      <c r="M40" s="106"/>
      <c r="N40" s="106"/>
      <c r="O40" s="106"/>
      <c r="P40" s="106"/>
      <c r="Q40" s="106"/>
    </row>
    <row r="41" spans="1:17" x14ac:dyDescent="0.3">
      <c r="A41" s="70" t="s">
        <v>510</v>
      </c>
      <c r="B41" s="15"/>
      <c r="C41" s="15"/>
      <c r="D41" s="15"/>
      <c r="E41" s="369"/>
      <c r="F41" s="15"/>
      <c r="G41" s="15"/>
      <c r="H41" s="15"/>
      <c r="I41" s="369"/>
      <c r="J41" s="15"/>
      <c r="K41" s="15"/>
      <c r="L41" s="15"/>
      <c r="M41" s="15"/>
      <c r="N41" s="15"/>
      <c r="O41" s="15"/>
      <c r="P41" s="15"/>
      <c r="Q41" s="15"/>
    </row>
    <row r="42" spans="1:17" x14ac:dyDescent="0.3">
      <c r="A42" t="s">
        <v>511</v>
      </c>
      <c r="B42" s="71">
        <v>-1</v>
      </c>
      <c r="C42" s="71">
        <v>21</v>
      </c>
      <c r="D42" s="71">
        <v>-657</v>
      </c>
      <c r="E42" s="366"/>
      <c r="F42" s="71">
        <v>-70</v>
      </c>
      <c r="G42" s="71"/>
      <c r="H42" s="71"/>
      <c r="I42" s="366"/>
      <c r="J42" s="71">
        <v>-662</v>
      </c>
      <c r="K42" s="71"/>
      <c r="L42" s="71"/>
      <c r="M42" s="71"/>
      <c r="N42" s="71"/>
      <c r="O42" s="71"/>
      <c r="P42" s="71"/>
      <c r="Q42" s="71"/>
    </row>
    <row r="43" spans="1:17" x14ac:dyDescent="0.3">
      <c r="A43" t="s">
        <v>512</v>
      </c>
      <c r="B43" s="71">
        <v>469</v>
      </c>
      <c r="C43" s="71">
        <v>2006</v>
      </c>
      <c r="D43" s="71">
        <v>4423</v>
      </c>
      <c r="E43" s="366"/>
      <c r="F43" s="71">
        <v>1033</v>
      </c>
      <c r="G43" s="71"/>
      <c r="H43" s="71"/>
      <c r="I43" s="366"/>
      <c r="J43" s="71">
        <v>1188</v>
      </c>
      <c r="K43" s="71"/>
      <c r="L43" s="71"/>
      <c r="M43" s="71"/>
      <c r="N43" s="71"/>
      <c r="O43" s="71"/>
      <c r="P43" s="71"/>
      <c r="Q43" s="71"/>
    </row>
    <row r="44" spans="1:17" x14ac:dyDescent="0.3">
      <c r="A44" t="s">
        <v>513</v>
      </c>
      <c r="B44" s="71">
        <v>-3973</v>
      </c>
      <c r="C44" s="71">
        <v>-1561</v>
      </c>
      <c r="D44" s="71">
        <v>-6355</v>
      </c>
      <c r="E44" s="366"/>
      <c r="F44" s="71">
        <v>-936</v>
      </c>
      <c r="G44" s="71"/>
      <c r="H44" s="71"/>
      <c r="I44" s="366"/>
      <c r="J44" s="71">
        <v>-2469</v>
      </c>
      <c r="K44" s="71"/>
      <c r="L44" s="71"/>
      <c r="M44" s="71"/>
      <c r="N44" s="71"/>
      <c r="O44" s="71"/>
      <c r="P44" s="71"/>
      <c r="Q44" s="71"/>
    </row>
    <row r="45" spans="1:17" x14ac:dyDescent="0.3">
      <c r="A45" s="1" t="s">
        <v>514</v>
      </c>
      <c r="B45" s="72">
        <f>B42+B43+B44</f>
        <v>-3505</v>
      </c>
      <c r="C45" s="72">
        <f>C42+C43+C44</f>
        <v>466</v>
      </c>
      <c r="D45" s="72">
        <f>D42+D43+D44</f>
        <v>-2589</v>
      </c>
      <c r="E45" s="371"/>
      <c r="F45" s="72">
        <f>F42+F43+F44</f>
        <v>27</v>
      </c>
      <c r="G45" s="75"/>
      <c r="H45" s="75"/>
      <c r="I45" s="371"/>
      <c r="J45" s="72">
        <f>J42+J43+J44</f>
        <v>-1943</v>
      </c>
      <c r="K45" s="75"/>
      <c r="L45" s="75"/>
      <c r="M45" s="75"/>
      <c r="N45" s="75"/>
      <c r="O45" s="75"/>
      <c r="P45" s="75"/>
      <c r="Q45" s="75"/>
    </row>
    <row r="46" spans="1:17" x14ac:dyDescent="0.3">
      <c r="B46" s="15"/>
      <c r="C46" s="15"/>
      <c r="D46" s="15"/>
      <c r="E46" s="369"/>
      <c r="F46" s="15"/>
      <c r="G46" s="15"/>
      <c r="H46" s="15"/>
      <c r="I46" s="369"/>
      <c r="J46" s="15"/>
      <c r="K46" s="15"/>
      <c r="L46" s="15"/>
      <c r="M46" s="15"/>
      <c r="N46" s="15"/>
      <c r="O46" s="15"/>
      <c r="P46" s="15"/>
      <c r="Q46" s="15"/>
    </row>
    <row r="47" spans="1:17" x14ac:dyDescent="0.3">
      <c r="A47" s="70" t="s">
        <v>515</v>
      </c>
      <c r="B47" s="15"/>
      <c r="C47" s="15"/>
      <c r="D47" s="15"/>
      <c r="E47" s="369"/>
      <c r="F47" s="15"/>
      <c r="G47" s="15"/>
      <c r="H47" s="15"/>
      <c r="I47" s="369"/>
      <c r="J47" s="15"/>
      <c r="K47" s="15"/>
      <c r="L47" s="15"/>
      <c r="M47" s="15"/>
      <c r="N47" s="15"/>
      <c r="O47" s="15"/>
      <c r="P47" s="15"/>
      <c r="Q47" s="15"/>
    </row>
    <row r="48" spans="1:17" x14ac:dyDescent="0.3">
      <c r="A48" t="s">
        <v>511</v>
      </c>
      <c r="B48" s="71">
        <v>997</v>
      </c>
      <c r="C48" s="71">
        <v>1154</v>
      </c>
      <c r="D48" s="71">
        <v>653</v>
      </c>
      <c r="E48" s="366"/>
      <c r="F48" s="71">
        <v>224</v>
      </c>
      <c r="G48" s="71"/>
      <c r="H48" s="71"/>
      <c r="I48" s="366"/>
      <c r="J48" s="71">
        <v>-351</v>
      </c>
      <c r="K48" s="71"/>
      <c r="L48" s="71"/>
      <c r="M48" s="71"/>
      <c r="N48" s="71"/>
      <c r="O48" s="71"/>
      <c r="P48" s="71"/>
      <c r="Q48" s="71"/>
    </row>
    <row r="49" spans="1:17" x14ac:dyDescent="0.3">
      <c r="A49" t="s">
        <v>512</v>
      </c>
      <c r="B49" s="71">
        <v>1602</v>
      </c>
      <c r="C49" s="71">
        <v>3849</v>
      </c>
      <c r="D49" s="71">
        <v>7168</v>
      </c>
      <c r="E49" s="366"/>
      <c r="F49" s="71">
        <v>1618</v>
      </c>
      <c r="G49" s="71"/>
      <c r="H49" s="71"/>
      <c r="I49" s="366"/>
      <c r="J49" s="71">
        <v>2087</v>
      </c>
      <c r="K49" s="71"/>
      <c r="L49" s="71"/>
      <c r="M49" s="71"/>
      <c r="N49" s="71"/>
      <c r="O49" s="71"/>
      <c r="P49" s="71"/>
      <c r="Q49" s="71"/>
    </row>
    <row r="50" spans="1:17" x14ac:dyDescent="0.3">
      <c r="A50" t="s">
        <v>513</v>
      </c>
      <c r="B50" s="71">
        <v>1222</v>
      </c>
      <c r="C50" s="71">
        <v>347</v>
      </c>
      <c r="D50" s="71">
        <v>-1237</v>
      </c>
      <c r="E50" s="366"/>
      <c r="F50" s="71">
        <v>-112</v>
      </c>
      <c r="G50" s="71"/>
      <c r="H50" s="71"/>
      <c r="I50" s="366"/>
      <c r="J50" s="71">
        <v>-609</v>
      </c>
      <c r="K50" s="71"/>
      <c r="L50" s="71"/>
      <c r="M50" s="71"/>
      <c r="N50" s="71"/>
      <c r="O50" s="71"/>
      <c r="P50" s="71"/>
      <c r="Q50" s="71"/>
    </row>
    <row r="51" spans="1:17" x14ac:dyDescent="0.3">
      <c r="A51" s="1" t="s">
        <v>516</v>
      </c>
      <c r="B51" s="72">
        <f>B48+B49+B50</f>
        <v>3821</v>
      </c>
      <c r="C51" s="72">
        <f>C48+C49+C50</f>
        <v>5350</v>
      </c>
      <c r="D51" s="72">
        <f>D48+D49+D50</f>
        <v>6584</v>
      </c>
      <c r="E51" s="371"/>
      <c r="F51" s="72">
        <f>F48+F49+F50</f>
        <v>1730</v>
      </c>
      <c r="G51" s="75"/>
      <c r="H51" s="75"/>
      <c r="I51" s="371"/>
      <c r="J51" s="72">
        <f>J48+J49+J50</f>
        <v>1127</v>
      </c>
      <c r="K51" s="75"/>
      <c r="L51" s="75"/>
      <c r="M51" s="75"/>
      <c r="N51" s="75"/>
      <c r="O51" s="75"/>
      <c r="P51" s="75"/>
      <c r="Q51" s="75"/>
    </row>
    <row r="52" spans="1:17" x14ac:dyDescent="0.3">
      <c r="A52" s="2" t="s">
        <v>70</v>
      </c>
      <c r="B52" s="73">
        <f>B51/B8</f>
        <v>0.36786367574853179</v>
      </c>
      <c r="C52" s="73">
        <f>C51/C8</f>
        <v>0.3817338565822333</v>
      </c>
      <c r="D52" s="73">
        <f>D51/D8</f>
        <v>0.35257577380314875</v>
      </c>
      <c r="E52" s="370"/>
      <c r="F52" s="73">
        <f>F51/F8</f>
        <v>0.42537496926481438</v>
      </c>
      <c r="G52" s="74"/>
      <c r="H52" s="74"/>
      <c r="I52" s="370"/>
      <c r="J52" s="73">
        <f>J51/J8</f>
        <v>0.24009373668512995</v>
      </c>
      <c r="K52" s="74"/>
      <c r="L52" s="74"/>
      <c r="M52" s="74"/>
      <c r="N52" s="74"/>
      <c r="O52" s="74"/>
      <c r="P52" s="74"/>
      <c r="Q52" s="74"/>
    </row>
    <row r="53" spans="1:17" x14ac:dyDescent="0.3">
      <c r="B53" s="15"/>
      <c r="C53" s="15"/>
      <c r="D53" s="15"/>
      <c r="E53" s="369"/>
      <c r="F53" s="15"/>
      <c r="G53" s="15"/>
      <c r="H53" s="15"/>
      <c r="I53" s="369"/>
      <c r="J53" s="15"/>
      <c r="K53" s="15"/>
      <c r="L53" s="15"/>
      <c r="M53" s="15"/>
      <c r="N53" s="15"/>
      <c r="O53" s="15"/>
      <c r="P53" s="15"/>
      <c r="Q53" s="15"/>
    </row>
    <row r="54" spans="1:17" x14ac:dyDescent="0.3">
      <c r="A54" s="70" t="s">
        <v>517</v>
      </c>
      <c r="B54" s="15"/>
      <c r="C54" s="15"/>
      <c r="D54" s="15"/>
      <c r="E54" s="369"/>
      <c r="F54" s="15"/>
      <c r="G54" s="15"/>
      <c r="H54" s="15"/>
      <c r="I54" s="369"/>
      <c r="J54" s="15"/>
      <c r="K54" s="15"/>
      <c r="L54" s="15"/>
      <c r="M54" s="15"/>
      <c r="N54" s="15"/>
      <c r="O54" s="15"/>
      <c r="P54" s="15"/>
      <c r="Q54" s="15"/>
    </row>
    <row r="55" spans="1:17" x14ac:dyDescent="0.3">
      <c r="A55" t="s">
        <v>511</v>
      </c>
      <c r="B55" s="30">
        <v>571</v>
      </c>
      <c r="C55" s="44">
        <v>637</v>
      </c>
      <c r="D55" s="44">
        <v>757</v>
      </c>
      <c r="E55" s="365"/>
      <c r="F55" s="15"/>
      <c r="G55" s="15"/>
      <c r="H55" s="15"/>
      <c r="I55" s="369"/>
      <c r="J55" s="44">
        <v>166</v>
      </c>
      <c r="K55" s="44"/>
      <c r="L55" s="44"/>
      <c r="M55" s="44"/>
      <c r="N55" s="44"/>
      <c r="O55" s="44"/>
      <c r="P55" s="44"/>
      <c r="Q55" s="44"/>
    </row>
    <row r="56" spans="1:17" x14ac:dyDescent="0.3">
      <c r="A56" t="s">
        <v>512</v>
      </c>
      <c r="B56" s="30">
        <v>884</v>
      </c>
      <c r="C56" s="44">
        <v>1508</v>
      </c>
      <c r="D56" s="44">
        <v>2376</v>
      </c>
      <c r="E56" s="365"/>
      <c r="F56" s="15"/>
      <c r="G56" s="15"/>
      <c r="H56" s="15"/>
      <c r="I56" s="369"/>
      <c r="J56" s="44">
        <v>783</v>
      </c>
      <c r="K56" s="44"/>
      <c r="L56" s="44"/>
      <c r="M56" s="44"/>
      <c r="N56" s="44"/>
      <c r="O56" s="44"/>
      <c r="P56" s="44"/>
      <c r="Q56" s="44"/>
    </row>
    <row r="57" spans="1:17" x14ac:dyDescent="0.3">
      <c r="A57" t="s">
        <v>513</v>
      </c>
      <c r="B57" s="30">
        <v>1180</v>
      </c>
      <c r="C57" s="44">
        <v>1679</v>
      </c>
      <c r="D57" s="44">
        <v>3568</v>
      </c>
      <c r="E57" s="365"/>
      <c r="F57" s="15"/>
      <c r="G57" s="15"/>
      <c r="H57" s="15"/>
      <c r="I57" s="369"/>
      <c r="J57" s="44">
        <v>1493</v>
      </c>
      <c r="K57" s="44"/>
      <c r="L57" s="44"/>
      <c r="M57" s="44"/>
      <c r="N57" s="44"/>
      <c r="O57" s="44"/>
      <c r="P57" s="44"/>
      <c r="Q57" s="44"/>
    </row>
    <row r="58" spans="1:17" x14ac:dyDescent="0.3">
      <c r="A58" s="1" t="s">
        <v>518</v>
      </c>
      <c r="B58" s="44">
        <v>2635</v>
      </c>
      <c r="C58" s="387">
        <f>C55+C56+C57</f>
        <v>3824</v>
      </c>
      <c r="D58" s="387">
        <f>D55+D56+D57</f>
        <v>6701</v>
      </c>
      <c r="E58" s="374"/>
      <c r="F58" s="15"/>
      <c r="G58" s="15"/>
      <c r="H58" s="15"/>
      <c r="I58" s="369"/>
      <c r="J58" s="387">
        <f>J55+J56+J57</f>
        <v>2442</v>
      </c>
      <c r="K58" s="76"/>
      <c r="L58" s="76"/>
      <c r="M58" s="76"/>
      <c r="N58" s="76"/>
      <c r="O58" s="76"/>
      <c r="P58" s="76"/>
      <c r="Q58" s="76"/>
    </row>
    <row r="59" spans="1:17" x14ac:dyDescent="0.3">
      <c r="B59" s="15"/>
      <c r="C59" s="15"/>
      <c r="D59" s="15"/>
      <c r="E59" s="369"/>
      <c r="F59" s="15"/>
      <c r="G59" s="15"/>
      <c r="H59" s="15"/>
      <c r="I59" s="369"/>
      <c r="J59" s="15"/>
      <c r="K59" s="15"/>
      <c r="L59" s="15"/>
      <c r="M59" s="15"/>
      <c r="N59" s="15"/>
      <c r="O59" s="15"/>
      <c r="P59" s="15"/>
      <c r="Q59" s="15"/>
    </row>
    <row r="60" spans="1:17" x14ac:dyDescent="0.3">
      <c r="A60" s="70" t="s">
        <v>519</v>
      </c>
      <c r="B60" s="15"/>
      <c r="C60" s="15"/>
      <c r="D60" s="15"/>
      <c r="E60" s="369"/>
      <c r="F60" s="15"/>
      <c r="G60" s="15"/>
      <c r="H60" s="15"/>
      <c r="I60" s="369"/>
      <c r="J60" s="15"/>
      <c r="K60" s="15"/>
      <c r="L60" s="15"/>
      <c r="M60" s="15"/>
      <c r="N60" s="15"/>
      <c r="O60" s="15"/>
      <c r="P60" s="15"/>
      <c r="Q60" s="15"/>
    </row>
    <row r="61" spans="1:17" x14ac:dyDescent="0.3">
      <c r="A61" t="s">
        <v>511</v>
      </c>
      <c r="B61" s="44">
        <v>1497</v>
      </c>
      <c r="C61" s="44">
        <v>2032</v>
      </c>
      <c r="D61" s="44">
        <v>3832</v>
      </c>
      <c r="E61" s="365"/>
      <c r="F61" s="44">
        <v>759</v>
      </c>
      <c r="G61" s="44"/>
      <c r="H61" s="44"/>
      <c r="I61" s="365"/>
      <c r="J61" s="44">
        <v>1052</v>
      </c>
      <c r="K61" s="44"/>
      <c r="L61" s="44"/>
      <c r="M61" s="44"/>
      <c r="N61" s="44"/>
      <c r="O61" s="44"/>
      <c r="P61" s="44"/>
      <c r="Q61" s="44"/>
    </row>
    <row r="62" spans="1:17" x14ac:dyDescent="0.3">
      <c r="A62" t="s">
        <v>512</v>
      </c>
      <c r="B62" s="44">
        <v>2455</v>
      </c>
      <c r="C62" s="44">
        <v>3498</v>
      </c>
      <c r="D62" s="44">
        <v>4178</v>
      </c>
      <c r="E62" s="365"/>
      <c r="F62" s="44">
        <v>814</v>
      </c>
      <c r="G62" s="44"/>
      <c r="H62" s="44"/>
      <c r="I62" s="365"/>
      <c r="J62" s="44">
        <v>1332</v>
      </c>
      <c r="K62" s="44"/>
      <c r="L62" s="44"/>
      <c r="M62" s="44"/>
      <c r="N62" s="44"/>
      <c r="O62" s="44"/>
      <c r="P62" s="44"/>
      <c r="Q62" s="44"/>
    </row>
    <row r="63" spans="1:17" x14ac:dyDescent="0.3">
      <c r="A63" t="s">
        <v>513</v>
      </c>
      <c r="B63" s="44">
        <v>463</v>
      </c>
      <c r="C63" s="44">
        <v>5633</v>
      </c>
      <c r="D63" s="44">
        <v>12727</v>
      </c>
      <c r="E63" s="365"/>
      <c r="F63" s="44">
        <v>2567</v>
      </c>
      <c r="G63" s="44"/>
      <c r="H63" s="44"/>
      <c r="I63" s="365"/>
      <c r="J63" s="44">
        <v>7723</v>
      </c>
      <c r="K63" s="44"/>
      <c r="L63" s="44"/>
      <c r="M63" s="44"/>
      <c r="N63" s="44"/>
      <c r="O63" s="44"/>
      <c r="P63" s="44"/>
      <c r="Q63" s="44"/>
    </row>
    <row r="64" spans="1:17" x14ac:dyDescent="0.3">
      <c r="A64" s="1" t="s">
        <v>520</v>
      </c>
      <c r="B64" s="387">
        <f>B61+B62+B63</f>
        <v>4415</v>
      </c>
      <c r="C64" s="387">
        <f>C61+C62+C63</f>
        <v>11163</v>
      </c>
      <c r="D64" s="387">
        <f>D61+D62+D63</f>
        <v>20737</v>
      </c>
      <c r="E64" s="374"/>
      <c r="F64" s="387">
        <f>F61+F62+F63</f>
        <v>4140</v>
      </c>
      <c r="G64" s="76"/>
      <c r="H64" s="76"/>
      <c r="I64" s="374"/>
      <c r="J64" s="387">
        <f>J61+J62+J63</f>
        <v>10107</v>
      </c>
      <c r="K64" s="76"/>
      <c r="L64" s="76"/>
      <c r="M64" s="76"/>
      <c r="N64" s="76"/>
      <c r="O64" s="76"/>
      <c r="P64" s="76"/>
      <c r="Q64" s="76"/>
    </row>
    <row r="65" spans="1:17" ht="15" thickBot="1" x14ac:dyDescent="0.35">
      <c r="A65" s="215" t="s">
        <v>521</v>
      </c>
      <c r="B65" s="385">
        <f>B64/B8</f>
        <v>0.42505054394916725</v>
      </c>
      <c r="C65" s="385">
        <f>C64/C8</f>
        <v>0.79650374598644313</v>
      </c>
      <c r="D65" s="385">
        <f>D64/D8</f>
        <v>1.1104744564635323</v>
      </c>
      <c r="E65" s="372"/>
      <c r="F65" s="385">
        <f>F64/F8</f>
        <v>1.0179493484140645</v>
      </c>
      <c r="G65" s="236"/>
      <c r="H65" s="236"/>
      <c r="I65" s="372"/>
      <c r="J65" s="385">
        <f>J64/J8</f>
        <v>2.1531742650191732</v>
      </c>
      <c r="K65" s="236"/>
      <c r="L65" s="236"/>
      <c r="M65" s="236"/>
      <c r="N65" s="236"/>
      <c r="O65" s="236"/>
      <c r="P65" s="236"/>
      <c r="Q65" s="236"/>
    </row>
    <row r="66" spans="1:17" ht="15" thickTop="1" x14ac:dyDescent="0.3">
      <c r="B66" s="15"/>
      <c r="C66" s="15"/>
      <c r="D66" s="15"/>
      <c r="E66" s="369"/>
      <c r="F66" s="15"/>
      <c r="G66" s="15"/>
      <c r="H66" s="15"/>
      <c r="I66" s="369"/>
      <c r="J66" s="15"/>
      <c r="K66" s="15"/>
      <c r="L66" s="15"/>
      <c r="M66" s="15"/>
      <c r="N66" s="15"/>
      <c r="O66" s="15"/>
      <c r="P66" s="15"/>
      <c r="Q66" s="15"/>
    </row>
    <row r="67" spans="1:17" x14ac:dyDescent="0.3">
      <c r="A67" s="92" t="s">
        <v>522</v>
      </c>
      <c r="B67" s="106"/>
      <c r="C67" s="106"/>
      <c r="D67" s="106"/>
      <c r="E67" s="364"/>
      <c r="F67" s="106"/>
      <c r="G67" s="106"/>
      <c r="H67" s="106"/>
      <c r="I67" s="364"/>
      <c r="J67" s="106"/>
      <c r="K67" s="106"/>
      <c r="L67" s="106"/>
      <c r="M67" s="106"/>
      <c r="N67" s="106"/>
      <c r="O67" s="106"/>
      <c r="P67" s="106"/>
      <c r="Q67" s="106"/>
    </row>
    <row r="68" spans="1:17" x14ac:dyDescent="0.3">
      <c r="A68" t="s">
        <v>523</v>
      </c>
      <c r="B68" s="15"/>
      <c r="C68" s="44">
        <v>11385</v>
      </c>
      <c r="D68" s="44">
        <v>24747</v>
      </c>
      <c r="E68" s="365"/>
      <c r="F68" s="15"/>
      <c r="G68" s="15"/>
      <c r="H68" s="15"/>
      <c r="I68" s="369"/>
      <c r="J68" s="44">
        <v>15852</v>
      </c>
      <c r="K68" s="44"/>
      <c r="L68" s="44"/>
      <c r="M68" s="44"/>
      <c r="N68" s="44"/>
      <c r="O68" s="44"/>
      <c r="P68" s="44"/>
      <c r="Q68" s="44"/>
    </row>
    <row r="69" spans="1:17" x14ac:dyDescent="0.3">
      <c r="A69" t="s">
        <v>524</v>
      </c>
      <c r="B69" s="15"/>
      <c r="C69" s="44">
        <v>16108</v>
      </c>
      <c r="D69" s="44">
        <v>30952</v>
      </c>
      <c r="E69" s="365"/>
      <c r="F69" s="15"/>
      <c r="G69" s="15"/>
      <c r="H69" s="15"/>
      <c r="I69" s="369"/>
      <c r="J69" s="44">
        <v>29732</v>
      </c>
      <c r="K69" s="44"/>
      <c r="L69" s="44"/>
      <c r="M69" s="44"/>
      <c r="N69" s="44"/>
      <c r="O69" s="44"/>
      <c r="P69" s="44"/>
      <c r="Q69" s="44"/>
    </row>
    <row r="70" spans="1:17" x14ac:dyDescent="0.3">
      <c r="A70" t="s">
        <v>525</v>
      </c>
      <c r="B70" s="15"/>
      <c r="C70" s="44">
        <v>21147</v>
      </c>
      <c r="D70" s="44">
        <v>42602</v>
      </c>
      <c r="E70" s="365"/>
      <c r="F70" s="15"/>
      <c r="G70" s="15"/>
      <c r="H70" s="15"/>
      <c r="I70" s="369"/>
      <c r="J70" s="44">
        <v>53879</v>
      </c>
      <c r="K70" s="44"/>
      <c r="L70" s="44"/>
      <c r="M70" s="44"/>
      <c r="N70" s="44"/>
      <c r="O70" s="44"/>
      <c r="P70" s="44"/>
      <c r="Q70" s="44"/>
    </row>
    <row r="71" spans="1:17" x14ac:dyDescent="0.3">
      <c r="A71" t="s">
        <v>526</v>
      </c>
      <c r="B71" s="15"/>
      <c r="C71" s="44">
        <v>11129</v>
      </c>
      <c r="D71" s="44">
        <v>11809</v>
      </c>
      <c r="E71" s="365"/>
      <c r="F71" s="15"/>
      <c r="G71" s="15"/>
      <c r="H71" s="15"/>
      <c r="I71" s="369"/>
      <c r="J71" s="15"/>
      <c r="K71" s="15"/>
      <c r="L71" s="15"/>
      <c r="M71" s="15"/>
      <c r="N71" s="15"/>
      <c r="O71" s="15"/>
      <c r="P71" s="15"/>
      <c r="Q71" s="15"/>
    </row>
    <row r="72" spans="1:17" x14ac:dyDescent="0.3">
      <c r="A72" s="1" t="s">
        <v>527</v>
      </c>
      <c r="B72" s="15"/>
      <c r="C72" s="77">
        <v>57062</v>
      </c>
      <c r="D72" s="77">
        <v>92079</v>
      </c>
      <c r="E72" s="375"/>
      <c r="F72" s="15"/>
      <c r="G72" s="15"/>
      <c r="H72" s="15"/>
      <c r="I72" s="369"/>
      <c r="J72" s="77">
        <v>102094</v>
      </c>
      <c r="K72" s="77"/>
      <c r="L72" s="77"/>
      <c r="M72" s="77"/>
      <c r="N72" s="77"/>
      <c r="O72" s="77"/>
      <c r="P72" s="77"/>
      <c r="Q72" s="77"/>
    </row>
    <row r="73" spans="1:17" x14ac:dyDescent="0.3">
      <c r="B73" s="15"/>
      <c r="C73" s="15"/>
      <c r="D73" s="15"/>
      <c r="E73" s="369"/>
      <c r="F73" s="15"/>
      <c r="G73" s="15"/>
      <c r="H73" s="15"/>
      <c r="I73" s="369"/>
      <c r="J73" s="15"/>
      <c r="K73" s="15"/>
      <c r="L73" s="15"/>
      <c r="M73" s="15"/>
      <c r="N73" s="15"/>
      <c r="O73" s="15"/>
      <c r="P73" s="15"/>
      <c r="Q73" s="15"/>
    </row>
    <row r="74" spans="1:17" x14ac:dyDescent="0.3">
      <c r="A74" t="s">
        <v>528</v>
      </c>
      <c r="B74" s="15"/>
      <c r="C74" s="44">
        <v>372</v>
      </c>
      <c r="D74" s="44">
        <v>928</v>
      </c>
      <c r="E74" s="365"/>
      <c r="F74" s="15"/>
      <c r="G74" s="15"/>
      <c r="H74" s="15"/>
      <c r="I74" s="369"/>
      <c r="J74" s="44">
        <v>1538</v>
      </c>
      <c r="K74" s="44"/>
      <c r="L74" s="44"/>
      <c r="M74" s="44"/>
      <c r="N74" s="44"/>
      <c r="O74" s="44"/>
      <c r="P74" s="44"/>
      <c r="Q74" s="44"/>
    </row>
    <row r="75" spans="1:17" x14ac:dyDescent="0.3">
      <c r="A75" t="s">
        <v>529</v>
      </c>
      <c r="B75" s="15"/>
      <c r="C75" s="44">
        <v>11791</v>
      </c>
      <c r="D75" s="44">
        <v>21400</v>
      </c>
      <c r="E75" s="365"/>
      <c r="F75" s="15"/>
      <c r="G75" s="15"/>
      <c r="H75" s="15"/>
      <c r="I75" s="369"/>
      <c r="J75" s="44">
        <v>24436</v>
      </c>
      <c r="K75" s="44"/>
      <c r="L75" s="44"/>
      <c r="M75" s="44"/>
      <c r="N75" s="44"/>
      <c r="O75" s="44"/>
      <c r="P75" s="44"/>
      <c r="Q75" s="44"/>
    </row>
    <row r="76" spans="1:17" x14ac:dyDescent="0.3">
      <c r="A76" t="s">
        <v>530</v>
      </c>
      <c r="B76" s="15"/>
      <c r="C76" s="44">
        <v>13421</v>
      </c>
      <c r="D76" s="44">
        <v>21968</v>
      </c>
      <c r="E76" s="365"/>
      <c r="F76" s="15"/>
      <c r="G76" s="15"/>
      <c r="H76" s="15"/>
      <c r="I76" s="369"/>
      <c r="J76" s="15"/>
      <c r="K76" s="15"/>
      <c r="L76" s="15"/>
      <c r="M76" s="15"/>
      <c r="N76" s="15"/>
      <c r="O76" s="15"/>
      <c r="P76" s="15"/>
      <c r="Q76" s="15"/>
    </row>
    <row r="77" spans="1:17" x14ac:dyDescent="0.3">
      <c r="A77" s="1" t="s">
        <v>531</v>
      </c>
      <c r="B77" s="15"/>
      <c r="C77" s="77">
        <v>31258</v>
      </c>
      <c r="D77" s="77">
        <v>50754</v>
      </c>
      <c r="E77" s="375"/>
      <c r="F77" s="15"/>
      <c r="G77" s="15"/>
      <c r="H77" s="15"/>
      <c r="I77" s="369"/>
      <c r="J77" s="77">
        <v>60512</v>
      </c>
      <c r="K77" s="77"/>
      <c r="L77" s="77"/>
      <c r="M77" s="77"/>
      <c r="N77" s="77"/>
      <c r="O77" s="77"/>
      <c r="P77" s="77"/>
      <c r="Q77" s="77"/>
    </row>
    <row r="78" spans="1:17" x14ac:dyDescent="0.3">
      <c r="A78" s="1"/>
      <c r="B78" s="15"/>
      <c r="C78" s="77"/>
      <c r="D78" s="77"/>
      <c r="E78" s="375"/>
      <c r="F78" s="15"/>
      <c r="G78" s="15"/>
      <c r="H78" s="15"/>
      <c r="I78" s="369"/>
      <c r="J78" s="77"/>
      <c r="K78" s="77"/>
      <c r="L78" s="77"/>
      <c r="M78" s="77"/>
      <c r="N78" s="77"/>
      <c r="O78" s="77"/>
      <c r="P78" s="77"/>
      <c r="Q78" s="77"/>
    </row>
    <row r="79" spans="1:17" x14ac:dyDescent="0.3">
      <c r="A79" t="s">
        <v>532</v>
      </c>
      <c r="B79" s="15"/>
      <c r="C79" s="44">
        <v>20941</v>
      </c>
      <c r="D79" s="44">
        <v>38752</v>
      </c>
      <c r="E79" s="365"/>
      <c r="F79" s="15"/>
      <c r="G79" s="15"/>
      <c r="H79" s="15"/>
      <c r="I79" s="369"/>
      <c r="J79" s="44">
        <v>7049</v>
      </c>
      <c r="K79" s="44"/>
      <c r="L79" s="44"/>
      <c r="M79" s="44"/>
      <c r="N79" s="44"/>
      <c r="O79" s="44"/>
      <c r="P79" s="44"/>
      <c r="Q79" s="44"/>
    </row>
    <row r="80" spans="1:17" x14ac:dyDescent="0.3">
      <c r="A80" s="1" t="s">
        <v>533</v>
      </c>
      <c r="B80" s="15"/>
      <c r="C80" s="77">
        <v>4863</v>
      </c>
      <c r="D80" s="77">
        <v>2573</v>
      </c>
      <c r="E80" s="375"/>
      <c r="F80" s="15"/>
      <c r="G80" s="15"/>
      <c r="H80" s="15"/>
      <c r="I80" s="369"/>
      <c r="J80" s="77">
        <v>34533</v>
      </c>
      <c r="K80" s="77"/>
      <c r="L80" s="77"/>
      <c r="M80" s="77"/>
      <c r="N80" s="77"/>
      <c r="O80" s="77"/>
      <c r="P80" s="77"/>
      <c r="Q80" s="77"/>
    </row>
    <row r="81" spans="1:17" x14ac:dyDescent="0.3">
      <c r="A81" s="1" t="s">
        <v>534</v>
      </c>
      <c r="B81" s="15"/>
      <c r="C81" s="387">
        <f>C74+C76</f>
        <v>13793</v>
      </c>
      <c r="D81" s="387">
        <f>D74+D76</f>
        <v>22896</v>
      </c>
      <c r="E81" s="374"/>
      <c r="F81" s="15"/>
      <c r="G81" s="15"/>
      <c r="H81" s="15"/>
      <c r="I81" s="369"/>
      <c r="J81" s="15"/>
      <c r="K81" s="15"/>
      <c r="L81" s="15"/>
      <c r="M81" s="15"/>
      <c r="N81" s="15"/>
      <c r="O81" s="15"/>
      <c r="P81" s="15"/>
      <c r="Q81" s="15"/>
    </row>
    <row r="82" spans="1:17" ht="15" thickBot="1" x14ac:dyDescent="0.35">
      <c r="A82" s="169" t="s">
        <v>535</v>
      </c>
      <c r="B82" s="18"/>
      <c r="C82" s="388">
        <f>C81-C68</f>
        <v>2408</v>
      </c>
      <c r="D82" s="388">
        <f>D81-D68</f>
        <v>-1851</v>
      </c>
      <c r="E82" s="376"/>
      <c r="F82" s="18"/>
      <c r="G82" s="18"/>
      <c r="H82" s="18"/>
      <c r="I82" s="384"/>
      <c r="J82" s="18"/>
      <c r="K82" s="18"/>
      <c r="L82" s="18"/>
      <c r="M82" s="18"/>
      <c r="N82" s="18"/>
      <c r="O82" s="18"/>
      <c r="P82" s="18"/>
      <c r="Q82" s="18"/>
    </row>
    <row r="83" spans="1:17" ht="15" thickTop="1" x14ac:dyDescent="0.3">
      <c r="B83" s="15"/>
      <c r="C83" s="15"/>
      <c r="D83" s="15"/>
      <c r="E83" s="369"/>
      <c r="F83" s="15"/>
      <c r="G83" s="15"/>
      <c r="H83" s="15"/>
      <c r="I83" s="369"/>
      <c r="J83" s="15"/>
      <c r="K83" s="15"/>
      <c r="L83" s="15"/>
      <c r="M83" s="15"/>
      <c r="N83" s="15"/>
      <c r="O83" s="15"/>
      <c r="P83" s="15"/>
      <c r="Q83" s="15"/>
    </row>
    <row r="84" spans="1:17" x14ac:dyDescent="0.3">
      <c r="A84" s="92" t="s">
        <v>536</v>
      </c>
      <c r="B84" s="106"/>
      <c r="C84" s="106"/>
      <c r="D84" s="106"/>
      <c r="E84" s="364"/>
      <c r="F84" s="106"/>
      <c r="G84" s="106"/>
      <c r="H84" s="106"/>
      <c r="I84" s="364"/>
      <c r="J84" s="106"/>
      <c r="K84" s="106"/>
      <c r="L84" s="106"/>
      <c r="M84" s="106"/>
      <c r="N84" s="106"/>
      <c r="O84" s="106"/>
      <c r="P84" s="106"/>
      <c r="Q84" s="106"/>
    </row>
    <row r="85" spans="1:17" x14ac:dyDescent="0.3">
      <c r="A85" s="1" t="s">
        <v>537</v>
      </c>
      <c r="B85" s="44">
        <v>4520</v>
      </c>
      <c r="C85" s="44">
        <v>5776</v>
      </c>
      <c r="D85" s="44">
        <v>6785</v>
      </c>
      <c r="E85" s="365"/>
      <c r="F85" s="44">
        <v>727</v>
      </c>
      <c r="G85" s="44"/>
      <c r="H85" s="44"/>
      <c r="I85" s="365"/>
      <c r="J85" s="44">
        <v>1047</v>
      </c>
      <c r="K85" s="44"/>
      <c r="L85" s="44"/>
      <c r="M85" s="44"/>
      <c r="N85" s="44"/>
      <c r="O85" s="44"/>
      <c r="P85" s="44"/>
      <c r="Q85" s="44"/>
    </row>
    <row r="86" spans="1:17" x14ac:dyDescent="0.3">
      <c r="A86" s="1" t="s">
        <v>538</v>
      </c>
      <c r="B86" s="71">
        <v>-4415</v>
      </c>
      <c r="C86" s="71">
        <v>-11163</v>
      </c>
      <c r="D86" s="71">
        <v>-20737</v>
      </c>
      <c r="E86" s="366"/>
      <c r="F86" s="71">
        <v>-4140</v>
      </c>
      <c r="G86" s="71"/>
      <c r="H86" s="71"/>
      <c r="I86" s="366"/>
      <c r="J86" s="71">
        <v>-10107</v>
      </c>
      <c r="K86" s="71"/>
      <c r="L86" s="71"/>
      <c r="M86" s="71"/>
      <c r="N86" s="71"/>
      <c r="O86" s="71"/>
      <c r="P86" s="71"/>
      <c r="Q86" s="71"/>
    </row>
    <row r="87" spans="1:17" x14ac:dyDescent="0.3">
      <c r="A87" s="1" t="s">
        <v>539</v>
      </c>
      <c r="B87" s="72">
        <f>B85+B86</f>
        <v>105</v>
      </c>
      <c r="C87" s="72">
        <f>C85+C86</f>
        <v>-5387</v>
      </c>
      <c r="D87" s="72">
        <f>D85+D86</f>
        <v>-13952</v>
      </c>
      <c r="E87" s="371"/>
      <c r="F87" s="72">
        <f>F85+F86</f>
        <v>-3413</v>
      </c>
      <c r="G87" s="75"/>
      <c r="H87" s="75"/>
      <c r="I87" s="371"/>
      <c r="J87" s="72">
        <f>J85+J86</f>
        <v>-9060</v>
      </c>
      <c r="K87" s="75"/>
      <c r="L87" s="75"/>
      <c r="M87" s="75"/>
      <c r="N87" s="75"/>
      <c r="O87" s="75"/>
      <c r="P87" s="75"/>
      <c r="Q87" s="75"/>
    </row>
    <row r="88" spans="1:17" x14ac:dyDescent="0.3">
      <c r="A88" s="1" t="s">
        <v>540</v>
      </c>
      <c r="B88" s="71">
        <v>-4867</v>
      </c>
      <c r="C88" s="71">
        <v>-10796</v>
      </c>
      <c r="D88" s="71">
        <v>-19575</v>
      </c>
      <c r="E88" s="366"/>
      <c r="F88" s="71">
        <v>-4170</v>
      </c>
      <c r="G88" s="71"/>
      <c r="H88" s="71"/>
      <c r="I88" s="366"/>
      <c r="J88" s="71">
        <v>-16724</v>
      </c>
      <c r="K88" s="71"/>
      <c r="L88" s="71"/>
      <c r="M88" s="71"/>
      <c r="N88" s="71"/>
      <c r="O88" s="71"/>
      <c r="P88" s="71"/>
      <c r="Q88" s="71"/>
    </row>
    <row r="89" spans="1:17" ht="15" thickBot="1" x14ac:dyDescent="0.35">
      <c r="A89" s="169" t="s">
        <v>541</v>
      </c>
      <c r="B89" s="238">
        <v>422</v>
      </c>
      <c r="C89" s="238">
        <v>11830</v>
      </c>
      <c r="D89" s="238">
        <v>26350</v>
      </c>
      <c r="E89" s="377"/>
      <c r="F89" s="238">
        <v>354</v>
      </c>
      <c r="G89" s="238"/>
      <c r="H89" s="238"/>
      <c r="I89" s="377"/>
      <c r="J89" s="238">
        <v>7125</v>
      </c>
      <c r="K89" s="238"/>
      <c r="L89" s="238"/>
      <c r="M89" s="238"/>
      <c r="N89" s="238"/>
      <c r="O89" s="238"/>
      <c r="P89" s="238"/>
      <c r="Q89" s="238"/>
    </row>
    <row r="90" spans="1:17" ht="15" thickTop="1" x14ac:dyDescent="0.3">
      <c r="B90" s="15"/>
      <c r="C90" s="15"/>
      <c r="D90" s="15"/>
      <c r="E90" s="369"/>
      <c r="F90" s="15"/>
      <c r="G90" s="15"/>
      <c r="H90" s="15"/>
      <c r="I90" s="369"/>
      <c r="J90" s="15"/>
      <c r="K90" s="15"/>
      <c r="L90" s="15"/>
      <c r="M90" s="15"/>
      <c r="N90" s="15"/>
      <c r="O90" s="15"/>
      <c r="P90" s="15"/>
      <c r="Q90" s="15"/>
    </row>
    <row r="91" spans="1:17" x14ac:dyDescent="0.3">
      <c r="A91" s="92" t="s">
        <v>542</v>
      </c>
      <c r="B91" s="106"/>
      <c r="C91" s="106"/>
      <c r="D91" s="106"/>
      <c r="E91" s="364"/>
      <c r="F91" s="106"/>
      <c r="G91" s="106"/>
      <c r="H91" s="106"/>
      <c r="I91" s="364"/>
      <c r="J91" s="106"/>
      <c r="K91" s="106"/>
      <c r="L91" s="106"/>
      <c r="M91" s="106"/>
      <c r="N91" s="106"/>
      <c r="O91" s="106"/>
      <c r="P91" s="106"/>
      <c r="Q91" s="106"/>
    </row>
    <row r="92" spans="1:17" x14ac:dyDescent="0.3">
      <c r="A92" s="1" t="s">
        <v>543</v>
      </c>
      <c r="B92" s="34">
        <v>2.2999999999999998</v>
      </c>
      <c r="C92" s="34">
        <v>4.4000000000000004</v>
      </c>
      <c r="D92" s="34">
        <v>8.9</v>
      </c>
      <c r="E92" s="378"/>
      <c r="F92" s="34">
        <v>5</v>
      </c>
      <c r="G92" s="34"/>
      <c r="H92" s="34"/>
      <c r="I92" s="378"/>
      <c r="J92" s="34">
        <v>10.3</v>
      </c>
      <c r="K92" s="34"/>
      <c r="L92" s="34"/>
      <c r="M92" s="34"/>
      <c r="N92" s="34"/>
      <c r="O92" s="34"/>
      <c r="P92" s="34"/>
      <c r="Q92" s="34"/>
    </row>
    <row r="93" spans="1:17" x14ac:dyDescent="0.3">
      <c r="A93" s="1" t="s">
        <v>544</v>
      </c>
      <c r="B93" s="39">
        <v>99</v>
      </c>
      <c r="C93" s="39">
        <v>91</v>
      </c>
      <c r="D93" s="39">
        <v>81</v>
      </c>
      <c r="E93" s="379"/>
      <c r="F93" s="39">
        <v>86</v>
      </c>
      <c r="G93" s="39"/>
      <c r="H93" s="39"/>
      <c r="I93" s="379"/>
      <c r="J93" s="39">
        <v>66</v>
      </c>
      <c r="K93" s="39"/>
      <c r="L93" s="39"/>
      <c r="M93" s="39"/>
      <c r="N93" s="39"/>
      <c r="O93" s="39"/>
      <c r="P93" s="39"/>
      <c r="Q93" s="39"/>
    </row>
    <row r="94" spans="1:17" x14ac:dyDescent="0.3">
      <c r="A94" s="1" t="s">
        <v>545</v>
      </c>
      <c r="B94" s="44">
        <v>98</v>
      </c>
      <c r="C94" s="44">
        <v>138</v>
      </c>
      <c r="D94" s="44">
        <v>170</v>
      </c>
      <c r="E94" s="365"/>
      <c r="F94" s="44">
        <v>38</v>
      </c>
      <c r="G94" s="44"/>
      <c r="H94" s="44"/>
      <c r="I94" s="365"/>
      <c r="J94" s="44">
        <v>40</v>
      </c>
      <c r="K94" s="44"/>
      <c r="L94" s="44"/>
      <c r="M94" s="44"/>
      <c r="N94" s="44"/>
      <c r="O94" s="44"/>
      <c r="P94" s="44"/>
      <c r="Q94" s="44"/>
    </row>
    <row r="95" spans="1:17" x14ac:dyDescent="0.3">
      <c r="A95" s="1" t="s">
        <v>546</v>
      </c>
      <c r="B95" s="44">
        <v>1210</v>
      </c>
      <c r="C95" s="44">
        <v>1699</v>
      </c>
      <c r="D95" s="44">
        <v>2213</v>
      </c>
      <c r="E95" s="365"/>
      <c r="F95" s="44">
        <v>450</v>
      </c>
      <c r="G95" s="44"/>
      <c r="H95" s="44"/>
      <c r="I95" s="365"/>
      <c r="J95" s="44">
        <v>556</v>
      </c>
      <c r="K95" s="44"/>
      <c r="L95" s="44"/>
      <c r="M95" s="44"/>
      <c r="N95" s="44"/>
      <c r="O95" s="44"/>
      <c r="P95" s="44"/>
      <c r="Q95" s="44"/>
    </row>
    <row r="96" spans="1:17" ht="15" thickBot="1" x14ac:dyDescent="0.35">
      <c r="A96" s="169" t="s">
        <v>547</v>
      </c>
      <c r="B96" s="239">
        <v>0</v>
      </c>
      <c r="C96" s="239">
        <v>0.3</v>
      </c>
      <c r="D96" s="239">
        <v>0.8</v>
      </c>
      <c r="E96" s="380"/>
      <c r="F96" s="239">
        <v>0.3</v>
      </c>
      <c r="G96" s="239"/>
      <c r="H96" s="239"/>
      <c r="I96" s="380"/>
      <c r="J96" s="239">
        <v>1</v>
      </c>
      <c r="K96" s="239"/>
      <c r="L96" s="239"/>
      <c r="M96" s="239"/>
      <c r="N96" s="239"/>
      <c r="O96" s="239"/>
      <c r="P96" s="239"/>
      <c r="Q96" s="239"/>
    </row>
    <row r="97" spans="1:17" ht="15" thickTop="1" x14ac:dyDescent="0.3">
      <c r="B97" s="15"/>
      <c r="C97" s="15"/>
      <c r="D97" s="15"/>
      <c r="E97" s="369"/>
      <c r="F97" s="15"/>
      <c r="G97" s="15"/>
      <c r="H97" s="15"/>
      <c r="I97" s="369"/>
      <c r="J97" s="15"/>
      <c r="K97" s="15"/>
      <c r="L97" s="15"/>
      <c r="M97" s="15"/>
      <c r="N97" s="15"/>
      <c r="O97" s="15"/>
      <c r="P97" s="15"/>
      <c r="Q97" s="15"/>
    </row>
    <row r="98" spans="1:17" x14ac:dyDescent="0.3">
      <c r="A98" s="92" t="s">
        <v>548</v>
      </c>
      <c r="B98" s="106"/>
      <c r="C98" s="106"/>
      <c r="D98" s="106"/>
      <c r="E98" s="364"/>
      <c r="F98" s="106"/>
      <c r="G98" s="106"/>
      <c r="H98" s="106"/>
      <c r="I98" s="364"/>
      <c r="J98" s="106"/>
      <c r="K98" s="106"/>
      <c r="L98" s="106"/>
      <c r="M98" s="106"/>
      <c r="N98" s="106"/>
      <c r="O98" s="106"/>
      <c r="P98" s="106"/>
      <c r="Q98" s="106"/>
    </row>
    <row r="99" spans="1:17" x14ac:dyDescent="0.3">
      <c r="A99" s="1" t="s">
        <v>549</v>
      </c>
      <c r="B99" s="15"/>
      <c r="C99" s="29">
        <f>C8/B8-1</f>
        <v>0.34928275729276992</v>
      </c>
      <c r="D99" s="29">
        <f>D8/C8-1</f>
        <v>0.3324295397788084</v>
      </c>
      <c r="E99" s="381"/>
      <c r="F99" s="15"/>
      <c r="G99" s="15"/>
      <c r="H99" s="15"/>
      <c r="I99" s="369"/>
      <c r="J99" s="29">
        <f>J8/F8-1</f>
        <v>0.15416769117285467</v>
      </c>
      <c r="K99" s="21"/>
      <c r="L99" s="21"/>
      <c r="M99" s="21"/>
      <c r="N99" s="21"/>
      <c r="O99" s="21"/>
      <c r="P99" s="21"/>
      <c r="Q99" s="21"/>
    </row>
    <row r="100" spans="1:17" x14ac:dyDescent="0.3">
      <c r="A100" s="1" t="s">
        <v>550</v>
      </c>
      <c r="B100" s="15"/>
      <c r="C100" s="29">
        <f>C29/B29-1</f>
        <v>6.7191453472027041E-2</v>
      </c>
      <c r="D100" s="29">
        <f>D29/C29-1</f>
        <v>7.6396206533192901E-2</v>
      </c>
      <c r="E100" s="381"/>
      <c r="F100" s="15"/>
      <c r="G100" s="15"/>
      <c r="H100" s="15"/>
      <c r="I100" s="369"/>
      <c r="J100" s="29">
        <f>J29/F29-1</f>
        <v>-0.284393063583815</v>
      </c>
      <c r="K100" s="21"/>
      <c r="L100" s="21"/>
      <c r="M100" s="21"/>
      <c r="N100" s="21"/>
      <c r="O100" s="21"/>
      <c r="P100" s="21"/>
      <c r="Q100" s="21"/>
    </row>
    <row r="101" spans="1:17" x14ac:dyDescent="0.3">
      <c r="A101" s="1" t="s">
        <v>551</v>
      </c>
      <c r="B101" s="15"/>
      <c r="C101" s="29">
        <f>C32/B32-1</f>
        <v>0.96407340398035668</v>
      </c>
      <c r="D101" s="29">
        <f>D32/C32-1</f>
        <v>0.49848664297933931</v>
      </c>
      <c r="E101" s="381"/>
      <c r="F101" s="15"/>
      <c r="G101" s="15"/>
      <c r="H101" s="15"/>
      <c r="I101" s="369"/>
      <c r="J101" s="29">
        <f>J32/F32-1</f>
        <v>0.315959595959596</v>
      </c>
      <c r="K101" s="21"/>
      <c r="L101" s="21"/>
      <c r="M101" s="21"/>
      <c r="N101" s="21"/>
      <c r="O101" s="21"/>
      <c r="P101" s="21"/>
      <c r="Q101" s="21"/>
    </row>
    <row r="102" spans="1:17" x14ac:dyDescent="0.3">
      <c r="A102" s="1" t="s">
        <v>552</v>
      </c>
      <c r="B102" s="15"/>
      <c r="C102" s="29">
        <f>C35/B35-1</f>
        <v>-0.11516379601485982</v>
      </c>
      <c r="D102" s="29">
        <f>D35/C35-1</f>
        <v>0.22175572519083975</v>
      </c>
      <c r="E102" s="381"/>
      <c r="F102" s="15"/>
      <c r="G102" s="15"/>
      <c r="H102" s="15"/>
      <c r="I102" s="369"/>
      <c r="J102" s="29">
        <f>J35/F35-1</f>
        <v>0.12517193947730409</v>
      </c>
      <c r="K102" s="21"/>
      <c r="L102" s="21"/>
      <c r="M102" s="21"/>
      <c r="N102" s="21"/>
      <c r="O102" s="21"/>
      <c r="P102" s="21"/>
      <c r="Q102" s="21"/>
    </row>
    <row r="103" spans="1:17" x14ac:dyDescent="0.3">
      <c r="A103" s="1" t="s">
        <v>553</v>
      </c>
      <c r="B103" s="15"/>
      <c r="C103" s="29">
        <f>C92/B92-1</f>
        <v>0.91304347826086985</v>
      </c>
      <c r="D103" s="29">
        <f>D92/C92-1</f>
        <v>1.0227272727272725</v>
      </c>
      <c r="E103" s="381"/>
      <c r="F103" s="15"/>
      <c r="G103" s="15"/>
      <c r="H103" s="15"/>
      <c r="I103" s="369"/>
      <c r="J103" s="29">
        <f>J92/F92-1</f>
        <v>1.06</v>
      </c>
      <c r="K103" s="21"/>
      <c r="L103" s="21"/>
      <c r="M103" s="21"/>
      <c r="N103" s="21"/>
      <c r="O103" s="21"/>
      <c r="P103" s="21"/>
      <c r="Q103" s="21"/>
    </row>
    <row r="104" spans="1:17" x14ac:dyDescent="0.3">
      <c r="A104" s="1" t="s">
        <v>554</v>
      </c>
      <c r="B104" s="15"/>
      <c r="C104" s="29">
        <f>C64/B64-1</f>
        <v>1.5284258210645527</v>
      </c>
      <c r="D104" s="29">
        <f>D64/C64-1</f>
        <v>0.8576547523067275</v>
      </c>
      <c r="E104" s="381"/>
      <c r="F104" s="15"/>
      <c r="G104" s="15"/>
      <c r="H104" s="15"/>
      <c r="I104" s="369"/>
      <c r="J104" s="29">
        <f>J64/F64-1</f>
        <v>1.4413043478260867</v>
      </c>
      <c r="K104" s="21"/>
      <c r="L104" s="21"/>
      <c r="M104" s="21"/>
      <c r="N104" s="21"/>
      <c r="O104" s="21"/>
      <c r="P104" s="21"/>
      <c r="Q104" s="21"/>
    </row>
    <row r="105" spans="1:17" x14ac:dyDescent="0.3">
      <c r="A105" s="1" t="s">
        <v>555</v>
      </c>
      <c r="B105" s="15"/>
      <c r="C105" s="29">
        <f>C85/B85-1</f>
        <v>0.27787610619469016</v>
      </c>
      <c r="D105" s="29">
        <f>D85/C85-1</f>
        <v>0.17468836565096946</v>
      </c>
      <c r="E105" s="381"/>
      <c r="F105" s="15"/>
      <c r="G105" s="15"/>
      <c r="H105" s="15"/>
      <c r="I105" s="369"/>
      <c r="J105" s="29">
        <f>J85/F85-1</f>
        <v>0.44016506189821181</v>
      </c>
      <c r="K105" s="21"/>
      <c r="L105" s="21"/>
      <c r="M105" s="21"/>
      <c r="N105" s="21"/>
      <c r="O105" s="21"/>
      <c r="P105" s="21"/>
      <c r="Q105" s="21"/>
    </row>
    <row r="106" spans="1:17" x14ac:dyDescent="0.3">
      <c r="B106" s="15"/>
      <c r="C106" s="15"/>
      <c r="D106" s="15"/>
      <c r="E106" s="369"/>
      <c r="F106" s="15"/>
      <c r="G106" s="15"/>
      <c r="H106" s="15"/>
      <c r="I106" s="369"/>
      <c r="J106" s="15"/>
      <c r="K106" s="15"/>
      <c r="L106" s="15"/>
      <c r="M106" s="15"/>
      <c r="N106" s="15"/>
      <c r="O106" s="15"/>
      <c r="P106" s="15"/>
      <c r="Q106" s="15"/>
    </row>
    <row r="107" spans="1:17" x14ac:dyDescent="0.3">
      <c r="A107" s="1" t="s">
        <v>556</v>
      </c>
      <c r="B107" s="15"/>
      <c r="C107" s="15"/>
      <c r="D107" s="44">
        <v>28377</v>
      </c>
      <c r="E107" s="365"/>
      <c r="F107" s="15"/>
      <c r="G107" s="15"/>
      <c r="H107" s="15"/>
      <c r="I107" s="369"/>
      <c r="J107" s="15"/>
      <c r="K107" s="15"/>
      <c r="L107" s="15"/>
      <c r="M107" s="15"/>
      <c r="N107" s="15"/>
      <c r="O107" s="15"/>
      <c r="P107" s="15"/>
      <c r="Q107" s="15"/>
    </row>
    <row r="108" spans="1:17" x14ac:dyDescent="0.3">
      <c r="A108" s="1" t="s">
        <v>557</v>
      </c>
      <c r="B108" s="15"/>
      <c r="C108" s="15"/>
      <c r="D108" s="44">
        <v>12116</v>
      </c>
      <c r="E108" s="365"/>
      <c r="F108" s="15"/>
      <c r="G108" s="15"/>
      <c r="H108" s="15"/>
      <c r="I108" s="369"/>
      <c r="J108" s="15"/>
      <c r="K108" s="15"/>
      <c r="L108" s="15"/>
      <c r="M108" s="15"/>
      <c r="N108" s="15"/>
      <c r="O108" s="15"/>
      <c r="P108" s="15"/>
      <c r="Q108" s="15"/>
    </row>
    <row r="109" spans="1:17" ht="15" thickBot="1" x14ac:dyDescent="0.35">
      <c r="A109" s="169" t="s">
        <v>558</v>
      </c>
      <c r="B109" s="240">
        <v>2759</v>
      </c>
      <c r="C109" s="240">
        <v>2848</v>
      </c>
      <c r="D109" s="240">
        <v>2926</v>
      </c>
      <c r="E109" s="382"/>
      <c r="F109" s="18"/>
      <c r="G109" s="18"/>
      <c r="H109" s="18"/>
      <c r="I109" s="384"/>
      <c r="J109" s="18"/>
      <c r="K109" s="18"/>
      <c r="L109" s="18"/>
      <c r="M109" s="18"/>
      <c r="N109" s="18"/>
      <c r="O109" s="18"/>
      <c r="P109" s="18"/>
      <c r="Q109" s="18"/>
    </row>
    <row r="110" spans="1:17" ht="15" thickTop="1" x14ac:dyDescent="0.3">
      <c r="B110" s="15"/>
      <c r="C110" s="15"/>
      <c r="D110" s="15"/>
      <c r="E110" s="369"/>
      <c r="F110" s="15"/>
      <c r="G110" s="15"/>
      <c r="H110" s="15"/>
      <c r="I110" s="369"/>
      <c r="J110" s="15"/>
      <c r="K110" s="15"/>
      <c r="L110" s="15"/>
      <c r="M110" s="15"/>
      <c r="N110" s="15"/>
      <c r="O110" s="15"/>
      <c r="P110" s="15"/>
      <c r="Q110" s="15"/>
    </row>
    <row r="111" spans="1:17" x14ac:dyDescent="0.3">
      <c r="B111" s="15"/>
      <c r="C111" s="15"/>
      <c r="D111" s="15"/>
      <c r="E111" s="369"/>
      <c r="F111" s="15"/>
      <c r="G111" s="15"/>
      <c r="H111" s="15"/>
      <c r="I111" s="369"/>
      <c r="J111" s="15"/>
      <c r="K111" s="15"/>
      <c r="L111" s="15"/>
      <c r="M111" s="15"/>
      <c r="N111" s="15"/>
      <c r="O111" s="15"/>
      <c r="P111" s="15"/>
      <c r="Q111" s="15"/>
    </row>
    <row r="112" spans="1:17" x14ac:dyDescent="0.3">
      <c r="B112" s="15"/>
      <c r="C112" s="15"/>
      <c r="D112" s="15"/>
      <c r="E112" s="369"/>
      <c r="F112" s="15"/>
      <c r="G112" s="15"/>
      <c r="H112" s="15"/>
      <c r="I112" s="369"/>
      <c r="J112" s="15"/>
      <c r="K112" s="15"/>
      <c r="L112" s="15"/>
      <c r="M112" s="15"/>
      <c r="N112" s="15"/>
      <c r="O112" s="15"/>
      <c r="P112" s="15"/>
      <c r="Q112" s="15"/>
    </row>
    <row r="113" spans="2:17" x14ac:dyDescent="0.3">
      <c r="B113" s="15"/>
      <c r="C113" s="15"/>
      <c r="D113" s="15"/>
      <c r="E113" s="369"/>
      <c r="F113" s="15"/>
      <c r="G113" s="15"/>
      <c r="H113" s="15"/>
      <c r="I113" s="369"/>
      <c r="J113" s="15"/>
      <c r="K113" s="15"/>
      <c r="L113" s="15"/>
      <c r="M113" s="15"/>
      <c r="N113" s="15"/>
      <c r="O113" s="15"/>
      <c r="P113" s="15"/>
      <c r="Q113" s="15"/>
    </row>
    <row r="114" spans="2:17" x14ac:dyDescent="0.3">
      <c r="B114" s="15"/>
      <c r="C114" s="15"/>
      <c r="D114" s="15"/>
      <c r="E114" s="369"/>
      <c r="F114" s="15"/>
      <c r="G114" s="15"/>
      <c r="H114" s="15"/>
      <c r="I114" s="369"/>
      <c r="J114" s="15"/>
      <c r="K114" s="15"/>
      <c r="L114" s="15"/>
      <c r="M114" s="15"/>
      <c r="N114" s="15"/>
      <c r="O114" s="15"/>
      <c r="P114" s="15"/>
      <c r="Q114" s="15"/>
    </row>
    <row r="115" spans="2:17" x14ac:dyDescent="0.3">
      <c r="B115" s="15"/>
      <c r="C115" s="15"/>
      <c r="D115" s="15"/>
      <c r="E115" s="369"/>
      <c r="F115" s="15"/>
      <c r="G115" s="15"/>
      <c r="H115" s="15"/>
      <c r="I115" s="369"/>
      <c r="J115" s="15"/>
      <c r="K115" s="15"/>
      <c r="L115" s="15"/>
      <c r="M115" s="15"/>
      <c r="N115" s="15"/>
      <c r="O115" s="15"/>
      <c r="P115" s="15"/>
      <c r="Q115" s="15"/>
    </row>
    <row r="116" spans="2:17" x14ac:dyDescent="0.3">
      <c r="B116" s="15"/>
      <c r="C116" s="15"/>
      <c r="D116" s="15"/>
      <c r="E116" s="369"/>
      <c r="F116" s="15"/>
      <c r="G116" s="15"/>
      <c r="H116" s="15"/>
      <c r="I116" s="369"/>
      <c r="J116" s="15"/>
      <c r="K116" s="15"/>
      <c r="L116" s="15"/>
      <c r="M116" s="15"/>
      <c r="N116" s="15"/>
      <c r="O116" s="15"/>
      <c r="P116" s="15"/>
      <c r="Q116" s="15"/>
    </row>
    <row r="117" spans="2:17" x14ac:dyDescent="0.3">
      <c r="B117" s="15"/>
      <c r="C117" s="15"/>
      <c r="D117" s="15"/>
      <c r="E117" s="369"/>
      <c r="F117" s="15"/>
      <c r="G117" s="15"/>
      <c r="H117" s="15"/>
      <c r="I117" s="369"/>
      <c r="J117" s="15"/>
      <c r="K117" s="15"/>
      <c r="L117" s="15"/>
      <c r="M117" s="15"/>
      <c r="N117" s="15"/>
      <c r="O117" s="15"/>
      <c r="P117" s="15"/>
      <c r="Q117" s="15"/>
    </row>
    <row r="118" spans="2:17" x14ac:dyDescent="0.3">
      <c r="B118" s="15"/>
      <c r="C118" s="15"/>
      <c r="D118" s="15"/>
      <c r="E118" s="369"/>
      <c r="F118" s="15"/>
      <c r="G118" s="15"/>
      <c r="H118" s="15"/>
      <c r="I118" s="369"/>
      <c r="J118" s="15"/>
      <c r="K118" s="15"/>
      <c r="L118" s="15"/>
      <c r="M118" s="15"/>
      <c r="N118" s="15"/>
      <c r="O118" s="15"/>
      <c r="P118" s="15"/>
      <c r="Q118" s="15"/>
    </row>
    <row r="119" spans="2:17" x14ac:dyDescent="0.3">
      <c r="B119" s="15"/>
      <c r="C119" s="15"/>
      <c r="D119" s="15"/>
      <c r="E119" s="369"/>
      <c r="F119" s="15"/>
      <c r="G119" s="15"/>
      <c r="H119" s="15"/>
      <c r="I119" s="369"/>
      <c r="J119" s="15"/>
      <c r="K119" s="15"/>
      <c r="L119" s="15"/>
      <c r="M119" s="15"/>
      <c r="N119" s="15"/>
      <c r="O119" s="15"/>
      <c r="P119" s="15"/>
      <c r="Q119" s="15"/>
    </row>
    <row r="120" spans="2:17" x14ac:dyDescent="0.3">
      <c r="B120" s="15"/>
      <c r="C120" s="15"/>
      <c r="D120" s="15"/>
      <c r="E120" s="369"/>
      <c r="F120" s="15"/>
      <c r="G120" s="15"/>
      <c r="H120" s="15"/>
      <c r="I120" s="369"/>
      <c r="J120" s="15"/>
      <c r="K120" s="15"/>
      <c r="L120" s="15"/>
      <c r="M120" s="15"/>
      <c r="N120" s="15"/>
      <c r="O120" s="15"/>
      <c r="P120" s="15"/>
      <c r="Q120" s="15"/>
    </row>
    <row r="121" spans="2:17" x14ac:dyDescent="0.3">
      <c r="B121" s="15"/>
      <c r="C121" s="15"/>
      <c r="D121" s="15"/>
      <c r="E121" s="369"/>
      <c r="F121" s="15"/>
      <c r="G121" s="15"/>
      <c r="H121" s="15"/>
      <c r="I121" s="369"/>
      <c r="J121" s="15"/>
      <c r="K121" s="15"/>
      <c r="L121" s="15"/>
      <c r="M121" s="15"/>
      <c r="N121" s="15"/>
      <c r="O121" s="15"/>
      <c r="P121" s="15"/>
      <c r="Q121" s="15"/>
    </row>
    <row r="122" spans="2:17" x14ac:dyDescent="0.3">
      <c r="B122" s="15"/>
      <c r="C122" s="15"/>
      <c r="D122" s="15"/>
      <c r="E122" s="369"/>
      <c r="F122" s="15"/>
      <c r="G122" s="15"/>
      <c r="H122" s="15"/>
      <c r="I122" s="369"/>
      <c r="J122" s="15"/>
      <c r="K122" s="15"/>
      <c r="L122" s="15"/>
      <c r="M122" s="15"/>
      <c r="N122" s="15"/>
      <c r="O122" s="15"/>
      <c r="P122" s="15"/>
      <c r="Q122" s="15"/>
    </row>
    <row r="123" spans="2:17" x14ac:dyDescent="0.3">
      <c r="B123" s="15"/>
      <c r="C123" s="15"/>
      <c r="D123" s="15"/>
      <c r="E123" s="369"/>
      <c r="F123" s="15"/>
      <c r="G123" s="15"/>
      <c r="H123" s="15"/>
      <c r="I123" s="369"/>
      <c r="J123" s="15"/>
      <c r="K123" s="15"/>
      <c r="L123" s="15"/>
      <c r="M123" s="15"/>
      <c r="N123" s="15"/>
      <c r="O123" s="15"/>
      <c r="P123" s="15"/>
      <c r="Q123" s="15"/>
    </row>
    <row r="124" spans="2:17" x14ac:dyDescent="0.3">
      <c r="B124" s="15"/>
      <c r="C124" s="15"/>
      <c r="D124" s="15"/>
      <c r="E124" s="369"/>
      <c r="F124" s="15"/>
      <c r="G124" s="15"/>
      <c r="H124" s="15"/>
      <c r="I124" s="369"/>
      <c r="J124" s="15"/>
      <c r="K124" s="15"/>
      <c r="L124" s="15"/>
      <c r="M124" s="15"/>
      <c r="N124" s="15"/>
      <c r="O124" s="15"/>
      <c r="P124" s="15"/>
      <c r="Q124" s="15"/>
    </row>
    <row r="125" spans="2:17" x14ac:dyDescent="0.3">
      <c r="B125" s="15"/>
      <c r="C125" s="15"/>
      <c r="D125" s="15"/>
      <c r="E125" s="369"/>
      <c r="F125" s="15"/>
      <c r="G125" s="15"/>
      <c r="H125" s="15"/>
      <c r="I125" s="369"/>
      <c r="J125" s="15"/>
      <c r="K125" s="15"/>
      <c r="L125" s="15"/>
      <c r="M125" s="15"/>
      <c r="N125" s="15"/>
      <c r="O125" s="15"/>
      <c r="P125" s="15"/>
      <c r="Q125" s="15"/>
    </row>
    <row r="126" spans="2:17" x14ac:dyDescent="0.3">
      <c r="B126" s="15"/>
      <c r="C126" s="15"/>
      <c r="D126" s="15"/>
      <c r="E126" s="369"/>
      <c r="F126" s="15"/>
      <c r="G126" s="15"/>
      <c r="H126" s="15"/>
      <c r="I126" s="369"/>
      <c r="J126" s="15"/>
      <c r="K126" s="15"/>
      <c r="L126" s="15"/>
      <c r="M126" s="15"/>
      <c r="N126" s="15"/>
      <c r="O126" s="15"/>
      <c r="P126" s="15"/>
      <c r="Q126" s="15"/>
    </row>
    <row r="127" spans="2:17" x14ac:dyDescent="0.3">
      <c r="B127" s="15"/>
      <c r="C127" s="15"/>
      <c r="D127" s="15"/>
      <c r="E127" s="369"/>
      <c r="F127" s="15"/>
      <c r="G127" s="15"/>
      <c r="H127" s="15"/>
      <c r="I127" s="369"/>
      <c r="J127" s="15"/>
      <c r="K127" s="15"/>
      <c r="L127" s="15"/>
      <c r="M127" s="15"/>
      <c r="N127" s="15"/>
      <c r="O127" s="15"/>
      <c r="P127" s="15"/>
      <c r="Q127" s="15"/>
    </row>
    <row r="128" spans="2:17" x14ac:dyDescent="0.3">
      <c r="B128" s="15"/>
      <c r="C128" s="15"/>
      <c r="D128" s="15"/>
      <c r="E128" s="369"/>
      <c r="F128" s="15"/>
      <c r="G128" s="15"/>
      <c r="H128" s="15"/>
      <c r="I128" s="369"/>
      <c r="J128" s="15"/>
      <c r="K128" s="15"/>
      <c r="L128" s="15"/>
      <c r="M128" s="15"/>
      <c r="N128" s="15"/>
      <c r="O128" s="15"/>
      <c r="P128" s="15"/>
      <c r="Q128" s="15"/>
    </row>
    <row r="129" spans="2:17" x14ac:dyDescent="0.3">
      <c r="B129" s="15"/>
      <c r="C129" s="15"/>
      <c r="D129" s="15"/>
      <c r="E129" s="369"/>
      <c r="F129" s="15"/>
      <c r="G129" s="15"/>
      <c r="H129" s="15"/>
      <c r="I129" s="369"/>
      <c r="J129" s="15"/>
      <c r="K129" s="15"/>
      <c r="L129" s="15"/>
      <c r="M129" s="15"/>
      <c r="N129" s="15"/>
      <c r="O129" s="15"/>
      <c r="P129" s="15"/>
      <c r="Q129" s="15"/>
    </row>
    <row r="130" spans="2:17" x14ac:dyDescent="0.3">
      <c r="B130" s="15"/>
      <c r="C130" s="15"/>
      <c r="D130" s="15"/>
      <c r="E130" s="369"/>
      <c r="F130" s="15"/>
      <c r="G130" s="15"/>
      <c r="H130" s="15"/>
      <c r="I130" s="369"/>
      <c r="J130" s="15"/>
      <c r="K130" s="15"/>
      <c r="L130" s="15"/>
      <c r="M130" s="15"/>
      <c r="N130" s="15"/>
      <c r="O130" s="15"/>
      <c r="P130" s="15"/>
      <c r="Q130" s="15"/>
    </row>
    <row r="131" spans="2:17" x14ac:dyDescent="0.3">
      <c r="B131" s="15"/>
      <c r="C131" s="15"/>
      <c r="D131" s="15"/>
      <c r="E131" s="369"/>
      <c r="F131" s="15"/>
      <c r="G131" s="15"/>
      <c r="H131" s="15"/>
      <c r="I131" s="369"/>
      <c r="J131" s="15"/>
      <c r="K131" s="15"/>
      <c r="L131" s="15"/>
      <c r="M131" s="15"/>
      <c r="N131" s="15"/>
      <c r="O131" s="15"/>
      <c r="P131" s="15"/>
      <c r="Q131" s="15"/>
    </row>
    <row r="132" spans="2:17" x14ac:dyDescent="0.3">
      <c r="B132" s="15"/>
      <c r="C132" s="15"/>
      <c r="D132" s="15"/>
      <c r="E132" s="369"/>
      <c r="F132" s="15"/>
      <c r="G132" s="15"/>
      <c r="H132" s="15"/>
      <c r="I132" s="369"/>
      <c r="J132" s="15"/>
      <c r="K132" s="15"/>
      <c r="L132" s="15"/>
      <c r="M132" s="15"/>
      <c r="N132" s="15"/>
      <c r="O132" s="15"/>
      <c r="P132" s="15"/>
      <c r="Q132" s="15"/>
    </row>
    <row r="133" spans="2:17" x14ac:dyDescent="0.3">
      <c r="B133" s="15"/>
      <c r="C133" s="15"/>
      <c r="D133" s="15"/>
      <c r="E133" s="369"/>
      <c r="F133" s="15"/>
      <c r="G133" s="15"/>
      <c r="H133" s="15"/>
      <c r="I133" s="369"/>
      <c r="J133" s="15"/>
      <c r="K133" s="15"/>
      <c r="L133" s="15"/>
      <c r="M133" s="15"/>
      <c r="N133" s="15"/>
      <c r="O133" s="15"/>
      <c r="P133" s="15"/>
      <c r="Q133" s="15"/>
    </row>
    <row r="134" spans="2:17" x14ac:dyDescent="0.3">
      <c r="B134" s="15"/>
      <c r="C134" s="15"/>
      <c r="D134" s="15"/>
      <c r="E134" s="369"/>
      <c r="F134" s="15"/>
      <c r="G134" s="15"/>
      <c r="H134" s="15"/>
      <c r="I134" s="369"/>
      <c r="J134" s="15"/>
      <c r="K134" s="15"/>
      <c r="L134" s="15"/>
      <c r="M134" s="15"/>
      <c r="N134" s="15"/>
      <c r="O134" s="15"/>
      <c r="P134" s="15"/>
      <c r="Q134" s="15"/>
    </row>
    <row r="135" spans="2:17" x14ac:dyDescent="0.3">
      <c r="B135" s="15"/>
      <c r="C135" s="15"/>
      <c r="D135" s="15"/>
      <c r="E135" s="369"/>
      <c r="F135" s="15"/>
      <c r="G135" s="15"/>
      <c r="H135" s="15"/>
      <c r="I135" s="369"/>
      <c r="J135" s="15"/>
      <c r="K135" s="15"/>
      <c r="L135" s="15"/>
      <c r="M135" s="15"/>
      <c r="N135" s="15"/>
      <c r="O135" s="15"/>
      <c r="P135" s="15"/>
      <c r="Q135" s="15"/>
    </row>
    <row r="136" spans="2:17" x14ac:dyDescent="0.3">
      <c r="B136" s="15"/>
      <c r="C136" s="15"/>
      <c r="D136" s="15"/>
      <c r="E136" s="369"/>
      <c r="F136" s="15"/>
      <c r="G136" s="15"/>
      <c r="H136" s="15"/>
      <c r="I136" s="369"/>
      <c r="J136" s="15"/>
      <c r="K136" s="15"/>
      <c r="L136" s="15"/>
      <c r="M136" s="15"/>
      <c r="N136" s="15"/>
      <c r="O136" s="15"/>
      <c r="P136" s="15"/>
      <c r="Q136" s="15"/>
    </row>
    <row r="137" spans="2:17" x14ac:dyDescent="0.3">
      <c r="B137" s="15"/>
      <c r="C137" s="15"/>
      <c r="D137" s="15"/>
      <c r="E137" s="369"/>
      <c r="F137" s="15"/>
      <c r="G137" s="15"/>
      <c r="H137" s="15"/>
      <c r="I137" s="369"/>
      <c r="J137" s="15"/>
      <c r="K137" s="15"/>
      <c r="L137" s="15"/>
      <c r="M137" s="15"/>
      <c r="N137" s="15"/>
      <c r="O137" s="15"/>
      <c r="P137" s="15"/>
      <c r="Q137" s="15"/>
    </row>
    <row r="138" spans="2:17" x14ac:dyDescent="0.3">
      <c r="B138" s="15"/>
      <c r="C138" s="15"/>
      <c r="D138" s="15"/>
      <c r="E138" s="369"/>
      <c r="F138" s="15"/>
      <c r="G138" s="15"/>
      <c r="H138" s="15"/>
      <c r="I138" s="369"/>
      <c r="J138" s="15"/>
      <c r="K138" s="15"/>
      <c r="L138" s="15"/>
      <c r="M138" s="15"/>
      <c r="N138" s="15"/>
      <c r="O138" s="15"/>
      <c r="P138" s="15"/>
      <c r="Q138" s="15"/>
    </row>
    <row r="139" spans="2:17" x14ac:dyDescent="0.3">
      <c r="B139" s="15"/>
      <c r="C139" s="15"/>
      <c r="D139" s="15"/>
      <c r="E139" s="369"/>
      <c r="F139" s="15"/>
      <c r="G139" s="15"/>
      <c r="H139" s="15"/>
      <c r="I139" s="369"/>
      <c r="J139" s="15"/>
      <c r="K139" s="15"/>
      <c r="L139" s="15"/>
      <c r="M139" s="15"/>
      <c r="N139" s="15"/>
      <c r="O139" s="15"/>
      <c r="P139" s="15"/>
      <c r="Q139" s="15"/>
    </row>
    <row r="140" spans="2:17" x14ac:dyDescent="0.3">
      <c r="B140" s="15"/>
      <c r="C140" s="15"/>
      <c r="D140" s="15"/>
      <c r="E140" s="369"/>
      <c r="F140" s="15"/>
      <c r="G140" s="15"/>
      <c r="H140" s="15"/>
      <c r="I140" s="369"/>
      <c r="J140" s="15"/>
      <c r="K140" s="15"/>
      <c r="L140" s="15"/>
      <c r="M140" s="15"/>
      <c r="N140" s="15"/>
      <c r="O140" s="15"/>
      <c r="P140" s="15"/>
      <c r="Q140" s="15"/>
    </row>
    <row r="141" spans="2:17" x14ac:dyDescent="0.3">
      <c r="B141" s="15"/>
      <c r="C141" s="15"/>
      <c r="D141" s="15"/>
      <c r="E141" s="369"/>
      <c r="F141" s="15"/>
      <c r="G141" s="15"/>
      <c r="H141" s="15"/>
      <c r="I141" s="369"/>
      <c r="J141" s="15"/>
      <c r="K141" s="15"/>
      <c r="L141" s="15"/>
      <c r="M141" s="15"/>
      <c r="N141" s="15"/>
      <c r="O141" s="15"/>
      <c r="P141" s="15"/>
      <c r="Q141" s="15"/>
    </row>
    <row r="142" spans="2:17" x14ac:dyDescent="0.3">
      <c r="B142" s="15"/>
      <c r="C142" s="15"/>
      <c r="D142" s="15"/>
      <c r="E142" s="369"/>
      <c r="F142" s="15"/>
      <c r="G142" s="15"/>
      <c r="H142" s="15"/>
      <c r="I142" s="369"/>
      <c r="J142" s="15"/>
      <c r="K142" s="15"/>
      <c r="L142" s="15"/>
      <c r="M142" s="15"/>
      <c r="N142" s="15"/>
      <c r="O142" s="15"/>
      <c r="P142" s="15"/>
      <c r="Q142" s="15"/>
    </row>
    <row r="143" spans="2:17" x14ac:dyDescent="0.3">
      <c r="B143" s="15"/>
      <c r="C143" s="15"/>
      <c r="D143" s="15"/>
      <c r="E143" s="369"/>
      <c r="F143" s="15"/>
      <c r="G143" s="15"/>
      <c r="H143" s="15"/>
      <c r="I143" s="369"/>
      <c r="J143" s="15"/>
      <c r="K143" s="15"/>
      <c r="L143" s="15"/>
      <c r="M143" s="15"/>
      <c r="N143" s="15"/>
      <c r="O143" s="15"/>
      <c r="P143" s="15"/>
      <c r="Q143" s="15"/>
    </row>
    <row r="144" spans="2:17" x14ac:dyDescent="0.3">
      <c r="B144" s="15"/>
      <c r="C144" s="15"/>
      <c r="D144" s="15"/>
      <c r="E144" s="369"/>
      <c r="F144" s="15"/>
      <c r="G144" s="15"/>
      <c r="H144" s="15"/>
      <c r="I144" s="369"/>
      <c r="J144" s="15"/>
      <c r="K144" s="15"/>
      <c r="L144" s="15"/>
      <c r="M144" s="15"/>
      <c r="N144" s="15"/>
      <c r="O144" s="15"/>
      <c r="P144" s="15"/>
      <c r="Q144" s="15"/>
    </row>
    <row r="145" spans="2:17" x14ac:dyDescent="0.3">
      <c r="B145" s="15"/>
      <c r="C145" s="15"/>
      <c r="D145" s="15"/>
      <c r="E145" s="369"/>
      <c r="F145" s="15"/>
      <c r="G145" s="15"/>
      <c r="H145" s="15"/>
      <c r="I145" s="369"/>
      <c r="J145" s="15"/>
      <c r="K145" s="15"/>
      <c r="L145" s="15"/>
      <c r="M145" s="15"/>
      <c r="N145" s="15"/>
      <c r="O145" s="15"/>
      <c r="P145" s="15"/>
      <c r="Q145" s="15"/>
    </row>
    <row r="146" spans="2:17" x14ac:dyDescent="0.3">
      <c r="B146" s="15"/>
      <c r="C146" s="15"/>
      <c r="D146" s="15"/>
      <c r="E146" s="369"/>
      <c r="F146" s="15"/>
      <c r="G146" s="15"/>
      <c r="H146" s="15"/>
      <c r="I146" s="369"/>
      <c r="J146" s="15"/>
      <c r="K146" s="15"/>
      <c r="L146" s="15"/>
      <c r="M146" s="15"/>
      <c r="N146" s="15"/>
      <c r="O146" s="15"/>
      <c r="P146" s="15"/>
      <c r="Q146" s="15"/>
    </row>
    <row r="147" spans="2:17" x14ac:dyDescent="0.3">
      <c r="B147" s="15"/>
      <c r="C147" s="15"/>
      <c r="D147" s="15"/>
      <c r="E147" s="369"/>
      <c r="F147" s="15"/>
      <c r="G147" s="15"/>
      <c r="H147" s="15"/>
      <c r="I147" s="369"/>
      <c r="J147" s="15"/>
      <c r="K147" s="15"/>
      <c r="L147" s="15"/>
      <c r="M147" s="15"/>
      <c r="N147" s="15"/>
      <c r="O147" s="15"/>
      <c r="P147" s="15"/>
      <c r="Q147" s="15"/>
    </row>
    <row r="148" spans="2:17" x14ac:dyDescent="0.3">
      <c r="B148" s="15"/>
      <c r="C148" s="15"/>
      <c r="D148" s="15"/>
      <c r="E148" s="369"/>
      <c r="F148" s="15"/>
      <c r="G148" s="15"/>
      <c r="H148" s="15"/>
      <c r="I148" s="369"/>
      <c r="J148" s="15"/>
      <c r="K148" s="15"/>
      <c r="L148" s="15"/>
      <c r="M148" s="15"/>
      <c r="N148" s="15"/>
      <c r="O148" s="15"/>
      <c r="P148" s="15"/>
      <c r="Q148" s="15"/>
    </row>
    <row r="149" spans="2:17" x14ac:dyDescent="0.3">
      <c r="B149" s="15"/>
      <c r="C149" s="15"/>
      <c r="D149" s="15"/>
      <c r="E149" s="369"/>
      <c r="F149" s="15"/>
      <c r="G149" s="15"/>
      <c r="H149" s="15"/>
      <c r="I149" s="369"/>
      <c r="J149" s="15"/>
      <c r="K149" s="15"/>
      <c r="L149" s="15"/>
      <c r="M149" s="15"/>
      <c r="N149" s="15"/>
      <c r="O149" s="15"/>
      <c r="P149" s="15"/>
      <c r="Q149" s="15"/>
    </row>
    <row r="150" spans="2:17" x14ac:dyDescent="0.3">
      <c r="B150" s="15"/>
      <c r="C150" s="15"/>
      <c r="D150" s="15"/>
      <c r="E150" s="369"/>
      <c r="F150" s="15"/>
      <c r="G150" s="15"/>
      <c r="H150" s="15"/>
      <c r="I150" s="369"/>
      <c r="J150" s="15"/>
      <c r="K150" s="15"/>
      <c r="L150" s="15"/>
      <c r="M150" s="15"/>
      <c r="N150" s="15"/>
      <c r="O150" s="15"/>
      <c r="P150" s="15"/>
      <c r="Q150" s="15"/>
    </row>
    <row r="151" spans="2:17" x14ac:dyDescent="0.3">
      <c r="B151" s="15"/>
      <c r="C151" s="15"/>
      <c r="D151" s="15"/>
      <c r="E151" s="369"/>
      <c r="F151" s="15"/>
      <c r="G151" s="15"/>
      <c r="H151" s="15"/>
      <c r="I151" s="369"/>
      <c r="J151" s="15"/>
      <c r="K151" s="15"/>
      <c r="L151" s="15"/>
      <c r="M151" s="15"/>
      <c r="N151" s="15"/>
      <c r="O151" s="15"/>
      <c r="P151" s="15"/>
      <c r="Q151" s="15"/>
    </row>
    <row r="152" spans="2:17" x14ac:dyDescent="0.3">
      <c r="B152" s="15"/>
      <c r="C152" s="15"/>
      <c r="D152" s="15"/>
      <c r="E152" s="369"/>
      <c r="F152" s="15"/>
      <c r="G152" s="15"/>
      <c r="H152" s="15"/>
      <c r="I152" s="369"/>
      <c r="J152" s="15"/>
      <c r="K152" s="15"/>
      <c r="L152" s="15"/>
      <c r="M152" s="15"/>
      <c r="N152" s="15"/>
      <c r="O152" s="15"/>
      <c r="P152" s="15"/>
      <c r="Q152" s="15"/>
    </row>
    <row r="153" spans="2:17" x14ac:dyDescent="0.3">
      <c r="B153" s="15"/>
      <c r="C153" s="15"/>
      <c r="D153" s="15"/>
      <c r="E153" s="369"/>
      <c r="F153" s="15"/>
      <c r="G153" s="15"/>
      <c r="H153" s="15"/>
      <c r="I153" s="369"/>
      <c r="J153" s="15"/>
      <c r="K153" s="15"/>
      <c r="L153" s="15"/>
      <c r="M153" s="15"/>
      <c r="N153" s="15"/>
      <c r="O153" s="15"/>
      <c r="P153" s="15"/>
      <c r="Q153" s="15"/>
    </row>
    <row r="154" spans="2:17" x14ac:dyDescent="0.3">
      <c r="B154" s="15"/>
      <c r="C154" s="15"/>
      <c r="D154" s="15"/>
      <c r="E154" s="369"/>
      <c r="F154" s="15"/>
      <c r="G154" s="15"/>
      <c r="H154" s="15"/>
      <c r="I154" s="369"/>
      <c r="J154" s="15"/>
      <c r="K154" s="15"/>
      <c r="L154" s="15"/>
      <c r="M154" s="15"/>
      <c r="N154" s="15"/>
      <c r="O154" s="15"/>
      <c r="P154" s="15"/>
      <c r="Q154" s="15"/>
    </row>
    <row r="155" spans="2:17" x14ac:dyDescent="0.3">
      <c r="B155" s="15"/>
      <c r="C155" s="15"/>
      <c r="D155" s="15"/>
      <c r="E155" s="369"/>
      <c r="F155" s="15"/>
      <c r="G155" s="15"/>
      <c r="H155" s="15"/>
      <c r="I155" s="369"/>
      <c r="J155" s="15"/>
      <c r="K155" s="15"/>
      <c r="L155" s="15"/>
      <c r="M155" s="15"/>
      <c r="N155" s="15"/>
      <c r="O155" s="15"/>
      <c r="P155" s="15"/>
      <c r="Q155" s="15"/>
    </row>
    <row r="156" spans="2:17" x14ac:dyDescent="0.3">
      <c r="B156" s="15"/>
      <c r="C156" s="15"/>
      <c r="D156" s="15"/>
      <c r="E156" s="369"/>
      <c r="F156" s="15"/>
      <c r="G156" s="15"/>
      <c r="H156" s="15"/>
      <c r="I156" s="369"/>
      <c r="J156" s="15"/>
      <c r="K156" s="15"/>
      <c r="L156" s="15"/>
      <c r="M156" s="15"/>
      <c r="N156" s="15"/>
      <c r="O156" s="15"/>
      <c r="P156" s="15"/>
      <c r="Q156" s="15"/>
    </row>
    <row r="157" spans="2:17" x14ac:dyDescent="0.3">
      <c r="B157" s="15"/>
      <c r="C157" s="15"/>
      <c r="D157" s="15"/>
      <c r="E157" s="369"/>
      <c r="F157" s="15"/>
      <c r="G157" s="15"/>
      <c r="H157" s="15"/>
      <c r="I157" s="369"/>
      <c r="J157" s="15"/>
      <c r="K157" s="15"/>
      <c r="L157" s="15"/>
      <c r="M157" s="15"/>
      <c r="N157" s="15"/>
      <c r="O157" s="15"/>
      <c r="P157" s="15"/>
      <c r="Q157" s="15"/>
    </row>
    <row r="158" spans="2:17" x14ac:dyDescent="0.3">
      <c r="B158" s="15"/>
      <c r="C158" s="15"/>
      <c r="D158" s="15"/>
      <c r="E158" s="369"/>
      <c r="F158" s="15"/>
      <c r="G158" s="15"/>
      <c r="H158" s="15"/>
      <c r="I158" s="369"/>
      <c r="J158" s="15"/>
      <c r="K158" s="15"/>
      <c r="L158" s="15"/>
      <c r="M158" s="15"/>
      <c r="N158" s="15"/>
      <c r="O158" s="15"/>
      <c r="P158" s="15"/>
      <c r="Q158" s="15"/>
    </row>
    <row r="159" spans="2:17" x14ac:dyDescent="0.3">
      <c r="B159" s="15"/>
      <c r="C159" s="15"/>
      <c r="D159" s="15"/>
      <c r="E159" s="369"/>
      <c r="F159" s="15"/>
      <c r="G159" s="15"/>
      <c r="H159" s="15"/>
      <c r="I159" s="369"/>
      <c r="J159" s="15"/>
      <c r="K159" s="15"/>
      <c r="L159" s="15"/>
      <c r="M159" s="15"/>
      <c r="N159" s="15"/>
      <c r="O159" s="15"/>
      <c r="P159" s="15"/>
      <c r="Q159" s="15"/>
    </row>
    <row r="160" spans="2:17" x14ac:dyDescent="0.3">
      <c r="B160" s="15"/>
      <c r="C160" s="15"/>
      <c r="D160" s="15"/>
      <c r="E160" s="369"/>
      <c r="F160" s="15"/>
      <c r="G160" s="15"/>
      <c r="H160" s="15"/>
      <c r="I160" s="369"/>
      <c r="J160" s="15"/>
      <c r="K160" s="15"/>
      <c r="L160" s="15"/>
      <c r="M160" s="15"/>
      <c r="N160" s="15"/>
      <c r="O160" s="15"/>
      <c r="P160" s="15"/>
      <c r="Q160" s="15"/>
    </row>
    <row r="161" spans="2:17" x14ac:dyDescent="0.3">
      <c r="B161" s="15"/>
      <c r="C161" s="15"/>
      <c r="D161" s="15"/>
      <c r="E161" s="369"/>
      <c r="F161" s="15"/>
      <c r="G161" s="15"/>
      <c r="H161" s="15"/>
      <c r="I161" s="369"/>
      <c r="J161" s="15"/>
      <c r="K161" s="15"/>
      <c r="L161" s="15"/>
      <c r="M161" s="15"/>
      <c r="N161" s="15"/>
      <c r="O161" s="15"/>
      <c r="P161" s="15"/>
      <c r="Q161" s="15"/>
    </row>
    <row r="162" spans="2:17" x14ac:dyDescent="0.3">
      <c r="B162" s="15"/>
      <c r="C162" s="15"/>
      <c r="D162" s="15"/>
      <c r="E162" s="369"/>
      <c r="F162" s="15"/>
      <c r="G162" s="15"/>
      <c r="H162" s="15"/>
      <c r="I162" s="369"/>
      <c r="J162" s="15"/>
      <c r="K162" s="15"/>
      <c r="L162" s="15"/>
      <c r="M162" s="15"/>
      <c r="N162" s="15"/>
      <c r="O162" s="15"/>
      <c r="P162" s="15"/>
      <c r="Q162" s="15"/>
    </row>
    <row r="163" spans="2:17" x14ac:dyDescent="0.3">
      <c r="B163" s="15"/>
      <c r="C163" s="15"/>
      <c r="D163" s="15"/>
      <c r="E163" s="369"/>
      <c r="F163" s="15"/>
      <c r="G163" s="15"/>
      <c r="H163" s="15"/>
      <c r="I163" s="369"/>
      <c r="J163" s="15"/>
      <c r="K163" s="15"/>
      <c r="L163" s="15"/>
      <c r="M163" s="15"/>
      <c r="N163" s="15"/>
      <c r="O163" s="15"/>
      <c r="P163" s="15"/>
      <c r="Q163" s="15"/>
    </row>
    <row r="164" spans="2:17" x14ac:dyDescent="0.3">
      <c r="E164" s="361"/>
      <c r="I164" s="361"/>
    </row>
    <row r="165" spans="2:17" x14ac:dyDescent="0.3">
      <c r="E165" s="361"/>
      <c r="I165" s="361"/>
    </row>
    <row r="166" spans="2:17" x14ac:dyDescent="0.3">
      <c r="E166" s="361"/>
      <c r="I166" s="361"/>
    </row>
    <row r="167" spans="2:17" x14ac:dyDescent="0.3">
      <c r="E167" s="361"/>
      <c r="I167" s="361"/>
    </row>
    <row r="168" spans="2:17" x14ac:dyDescent="0.3">
      <c r="E168" s="361"/>
      <c r="I168" s="361"/>
    </row>
    <row r="169" spans="2:17" x14ac:dyDescent="0.3">
      <c r="E169" s="361"/>
      <c r="I169" s="361"/>
    </row>
    <row r="170" spans="2:17" x14ac:dyDescent="0.3">
      <c r="E170" s="361"/>
      <c r="I170" s="361"/>
    </row>
    <row r="171" spans="2:17" x14ac:dyDescent="0.3">
      <c r="E171" s="361"/>
      <c r="I171" s="361"/>
    </row>
    <row r="172" spans="2:17" x14ac:dyDescent="0.3">
      <c r="E172" s="361"/>
      <c r="I172" s="361"/>
    </row>
    <row r="173" spans="2:17" x14ac:dyDescent="0.3">
      <c r="E173" s="361"/>
      <c r="I173" s="361"/>
    </row>
    <row r="174" spans="2:17" x14ac:dyDescent="0.3">
      <c r="E174" s="361"/>
      <c r="I174" s="361"/>
    </row>
    <row r="175" spans="2:17" x14ac:dyDescent="0.3">
      <c r="E175" s="361"/>
      <c r="I175" s="361"/>
    </row>
    <row r="176" spans="2:17" x14ac:dyDescent="0.3">
      <c r="E176" s="361"/>
      <c r="I176" s="361"/>
    </row>
    <row r="177" spans="5:9" x14ac:dyDescent="0.3">
      <c r="E177" s="361"/>
      <c r="I177" s="361"/>
    </row>
    <row r="178" spans="5:9" x14ac:dyDescent="0.3">
      <c r="E178" s="361"/>
      <c r="I178" s="361"/>
    </row>
    <row r="179" spans="5:9" x14ac:dyDescent="0.3">
      <c r="E179" s="361"/>
      <c r="I179" s="361"/>
    </row>
    <row r="180" spans="5:9" x14ac:dyDescent="0.3">
      <c r="E180" s="361"/>
      <c r="I180" s="361"/>
    </row>
    <row r="181" spans="5:9" x14ac:dyDescent="0.3">
      <c r="E181" s="361"/>
      <c r="I181" s="361"/>
    </row>
    <row r="182" spans="5:9" x14ac:dyDescent="0.3">
      <c r="E182" s="361"/>
      <c r="I182" s="361"/>
    </row>
    <row r="183" spans="5:9" x14ac:dyDescent="0.3">
      <c r="E183" s="361"/>
      <c r="I183" s="361"/>
    </row>
    <row r="184" spans="5:9" x14ac:dyDescent="0.3">
      <c r="E184" s="361"/>
      <c r="I184" s="361"/>
    </row>
    <row r="185" spans="5:9" x14ac:dyDescent="0.3">
      <c r="E185" s="361"/>
      <c r="I185" s="361"/>
    </row>
    <row r="186" spans="5:9" x14ac:dyDescent="0.3">
      <c r="E186" s="361"/>
      <c r="I186" s="361"/>
    </row>
    <row r="187" spans="5:9" x14ac:dyDescent="0.3">
      <c r="E187" s="361"/>
      <c r="I187" s="361"/>
    </row>
    <row r="188" spans="5:9" x14ac:dyDescent="0.3">
      <c r="E188" s="361"/>
      <c r="I188" s="361"/>
    </row>
    <row r="189" spans="5:9" x14ac:dyDescent="0.3">
      <c r="E189" s="361"/>
      <c r="I189" s="361"/>
    </row>
    <row r="190" spans="5:9" x14ac:dyDescent="0.3">
      <c r="E190" s="361"/>
      <c r="I190" s="361"/>
    </row>
    <row r="191" spans="5:9" x14ac:dyDescent="0.3">
      <c r="E191" s="361"/>
      <c r="I191" s="361"/>
    </row>
    <row r="192" spans="5:9" x14ac:dyDescent="0.3">
      <c r="E192" s="361"/>
      <c r="I192" s="361"/>
    </row>
    <row r="193" spans="5:9" x14ac:dyDescent="0.3">
      <c r="E193" s="361"/>
      <c r="I193" s="361"/>
    </row>
    <row r="194" spans="5:9" x14ac:dyDescent="0.3">
      <c r="E194" s="361"/>
      <c r="I194" s="361"/>
    </row>
    <row r="195" spans="5:9" x14ac:dyDescent="0.3">
      <c r="E195" s="361"/>
      <c r="I195" s="361"/>
    </row>
    <row r="196" spans="5:9" x14ac:dyDescent="0.3">
      <c r="E196" s="361"/>
      <c r="I196" s="361"/>
    </row>
    <row r="197" spans="5:9" x14ac:dyDescent="0.3">
      <c r="E197" s="361"/>
      <c r="I197" s="361"/>
    </row>
    <row r="198" spans="5:9" x14ac:dyDescent="0.3">
      <c r="E198" s="361"/>
      <c r="I198" s="361"/>
    </row>
    <row r="199" spans="5:9" x14ac:dyDescent="0.3">
      <c r="E199" s="361"/>
      <c r="I199" s="361"/>
    </row>
    <row r="200" spans="5:9" x14ac:dyDescent="0.3">
      <c r="E200" s="361"/>
      <c r="I200" s="361"/>
    </row>
  </sheetData>
  <sheetProtection algorithmName="SHA-512" hashValue="gqh5d6ills0//mKs3NgapXFccQEdIITajF/QSPR9KvXnk9XybdxG3fRMHXisXQZz1E/dYY5Den6E9LIb4VrUTg==" saltValue="WBVdAXhVVGPWWMNXreovCg==" spinCount="100000" sheet="1" objects="1" scenarios="1"/>
  <pageMargins left="0.7" right="0.7" top="0.75" bottom="0.75" header="0.3" footer="0.3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Exec Summary</vt:lpstr>
      <vt:lpstr>Dashboard</vt:lpstr>
      <vt:lpstr>SOTP</vt:lpstr>
      <vt:lpstr>Conn DCF</vt:lpstr>
      <vt:lpstr>Space DCF</vt:lpstr>
      <vt:lpstr>AI DCF</vt:lpstr>
      <vt:lpstr>WACC</vt:lpstr>
      <vt:lpstr>Conn Comps</vt:lpstr>
      <vt:lpstr>Space Comps</vt:lpstr>
      <vt:lpstr>AI Comps</vt:lpstr>
      <vt:lpstr>Ratios</vt:lpstr>
      <vt:lpstr>Graphs</vt:lpstr>
      <vt:lpstr>Actuals</vt:lpstr>
      <vt:lpstr>Historicals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SpaceX Valuation Jan 22 2026</dc:title>
  <dc:subject/>
  <dc:creator>Dr. Brian Scott Glassman</dc:creator>
  <cp:keywords/>
  <dc:description/>
  <cp:lastModifiedBy>Rifat Tahmid</cp:lastModifiedBy>
  <cp:revision>0</cp:revision>
  <cp:lastPrinted>2026-01-22T23:23:29Z</cp:lastPrinted>
  <dcterms:created xsi:type="dcterms:W3CDTF">2026-01-20T04:15:13Z</dcterms:created>
  <dcterms:modified xsi:type="dcterms:W3CDTF">2026-06-24T15:54:43Z</dcterms:modified>
  <cp:category/>
  <dc:language>en-US</dc:language>
</cp:coreProperties>
</file>